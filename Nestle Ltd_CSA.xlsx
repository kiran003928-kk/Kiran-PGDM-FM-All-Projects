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CSA\"/>
    </mc:Choice>
  </mc:AlternateContent>
  <xr:revisionPtr revIDLastSave="0" documentId="13_ncr:1_{AF23A9FE-2840-427F-9248-29E60924274B}" xr6:coauthVersionLast="47" xr6:coauthVersionMax="47" xr10:uidLastSave="{00000000-0000-0000-0000-000000000000}"/>
  <bookViews>
    <workbookView xWindow="-110" yWindow="-110" windowWidth="19420" windowHeight="11500" tabRatio="500" firstSheet="11" activeTab="14" xr2:uid="{00000000-000D-0000-FFFF-FFFF00000000}"/>
  </bookViews>
  <sheets>
    <sheet name="About" sheetId="1" r:id="rId1"/>
    <sheet name="Holdings" sheetId="2" r:id="rId2"/>
    <sheet name="Consolodated Financials" sheetId="3" r:id="rId3"/>
    <sheet name="Peers" sheetId="4" r:id="rId4"/>
    <sheet name="Standalone Financials" sheetId="5" r:id="rId5"/>
    <sheet name="Beta" sheetId="6" r:id="rId6"/>
    <sheet name="Assumptions" sheetId="7" r:id="rId7"/>
    <sheet name="Fixed asset schedule" sheetId="8" r:id="rId8"/>
    <sheet name="Change In WC" sheetId="9" r:id="rId9"/>
    <sheet name="FCFF" sheetId="10" r:id="rId10"/>
    <sheet name="Cost Of Capital" sheetId="11" r:id="rId11"/>
    <sheet name="Raw FS valuation" sheetId="12" r:id="rId12"/>
    <sheet name="Relative VAluation" sheetId="13" r:id="rId13"/>
    <sheet name="Growth Scenerio" sheetId="14" r:id="rId14"/>
    <sheet name="DCF"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6" i="15" l="1"/>
  <c r="O28" i="13"/>
  <c r="P28" i="13" s="1"/>
  <c r="Q28" i="13" s="1"/>
  <c r="L14" i="13"/>
  <c r="M14" i="13" s="1"/>
  <c r="Q14" i="13" s="1"/>
  <c r="K14" i="13"/>
  <c r="J14" i="13"/>
  <c r="G14" i="13"/>
  <c r="F14" i="13"/>
  <c r="D14" i="13"/>
  <c r="C14" i="13"/>
  <c r="E14" i="13" s="1"/>
  <c r="H14" i="13" s="1"/>
  <c r="M13" i="13"/>
  <c r="Q13" i="13" s="1"/>
  <c r="L13" i="13"/>
  <c r="K13" i="13"/>
  <c r="J13" i="13"/>
  <c r="G13" i="13"/>
  <c r="F13" i="13"/>
  <c r="D13" i="13"/>
  <c r="C13" i="13"/>
  <c r="E13" i="13" s="1"/>
  <c r="H13" i="13" s="1"/>
  <c r="L12" i="13"/>
  <c r="M12" i="13" s="1"/>
  <c r="Q12" i="13" s="1"/>
  <c r="K12" i="13"/>
  <c r="J12" i="13"/>
  <c r="G12" i="13"/>
  <c r="F12" i="13"/>
  <c r="D12" i="13"/>
  <c r="C12" i="13"/>
  <c r="E12" i="13" s="1"/>
  <c r="H12" i="13" s="1"/>
  <c r="M11" i="13"/>
  <c r="L11" i="13"/>
  <c r="K11" i="13"/>
  <c r="J11" i="13"/>
  <c r="G11" i="13"/>
  <c r="F11" i="13"/>
  <c r="D11" i="13"/>
  <c r="Q11" i="13" s="1"/>
  <c r="C11" i="13"/>
  <c r="E11" i="13" s="1"/>
  <c r="H11" i="13" s="1"/>
  <c r="L10" i="13"/>
  <c r="M10" i="13" s="1"/>
  <c r="K10" i="13"/>
  <c r="J10" i="13"/>
  <c r="G10" i="13"/>
  <c r="F10" i="13"/>
  <c r="D10" i="13"/>
  <c r="Q10" i="13" s="1"/>
  <c r="C10" i="13"/>
  <c r="E10" i="13" s="1"/>
  <c r="H10" i="13" s="1"/>
  <c r="L9" i="13"/>
  <c r="M9" i="13" s="1"/>
  <c r="K9" i="13"/>
  <c r="J9" i="13"/>
  <c r="G9" i="13"/>
  <c r="F9" i="13"/>
  <c r="D9" i="13"/>
  <c r="C9" i="13"/>
  <c r="L8" i="13"/>
  <c r="M8" i="13" s="1"/>
  <c r="Q8" i="13" s="1"/>
  <c r="K8" i="13"/>
  <c r="J8" i="13"/>
  <c r="G8" i="13"/>
  <c r="F8" i="13"/>
  <c r="D8" i="13"/>
  <c r="C8" i="13"/>
  <c r="O30" i="13" s="1"/>
  <c r="P30" i="13" s="1"/>
  <c r="Q30" i="13" s="1"/>
  <c r="I6" i="11"/>
  <c r="C6" i="11"/>
  <c r="C10" i="11" s="1"/>
  <c r="I5" i="11"/>
  <c r="I7" i="11" s="1"/>
  <c r="D14" i="11" s="1"/>
  <c r="C5" i="11"/>
  <c r="C8" i="10"/>
  <c r="D6" i="9"/>
  <c r="H5" i="9"/>
  <c r="G5" i="9"/>
  <c r="G6" i="9" s="1"/>
  <c r="F5" i="9"/>
  <c r="E5" i="9"/>
  <c r="D5" i="9"/>
  <c r="C5" i="9"/>
  <c r="H4" i="9"/>
  <c r="G4" i="9"/>
  <c r="F4" i="9"/>
  <c r="E4" i="9"/>
  <c r="D4" i="9"/>
  <c r="C4" i="9"/>
  <c r="H3" i="9"/>
  <c r="H6" i="9" s="1"/>
  <c r="H7" i="9" s="1"/>
  <c r="G3" i="9"/>
  <c r="F3" i="9"/>
  <c r="F6" i="9" s="1"/>
  <c r="F7" i="9" s="1"/>
  <c r="E3" i="9"/>
  <c r="E6" i="9" s="1"/>
  <c r="E7" i="9" s="1"/>
  <c r="D3" i="9"/>
  <c r="C3" i="9"/>
  <c r="C6" i="9" s="1"/>
  <c r="H7" i="8"/>
  <c r="H5" i="8" s="1"/>
  <c r="H4" i="8" s="1"/>
  <c r="H9" i="8" s="1"/>
  <c r="G7" i="8"/>
  <c r="H3" i="8" s="1"/>
  <c r="F7" i="8"/>
  <c r="G3" i="8" s="1"/>
  <c r="G4" i="8" s="1"/>
  <c r="G9" i="8" s="1"/>
  <c r="E7" i="8"/>
  <c r="F3" i="8" s="1"/>
  <c r="D7" i="8"/>
  <c r="E3" i="8" s="1"/>
  <c r="C7" i="8"/>
  <c r="D3" i="8" s="1"/>
  <c r="H6" i="8"/>
  <c r="G6" i="8"/>
  <c r="F6" i="8"/>
  <c r="E6" i="8"/>
  <c r="E5" i="8" s="1"/>
  <c r="D6" i="8"/>
  <c r="C6" i="8"/>
  <c r="G5" i="8"/>
  <c r="D5" i="8"/>
  <c r="D4" i="8" s="1"/>
  <c r="D9" i="8" s="1"/>
  <c r="C5" i="8"/>
  <c r="C44" i="7"/>
  <c r="C37" i="7"/>
  <c r="H36" i="7"/>
  <c r="D26" i="15" s="1"/>
  <c r="G36" i="7"/>
  <c r="F36" i="7"/>
  <c r="E36" i="7"/>
  <c r="D36" i="7"/>
  <c r="C36" i="7"/>
  <c r="H35" i="7"/>
  <c r="D27" i="15" s="1"/>
  <c r="G35" i="7"/>
  <c r="F35" i="7"/>
  <c r="F37" i="7" s="1"/>
  <c r="E35" i="7"/>
  <c r="D35" i="7"/>
  <c r="C35" i="7"/>
  <c r="H34" i="7"/>
  <c r="H37" i="7" s="1"/>
  <c r="G34" i="7"/>
  <c r="G37" i="7" s="1"/>
  <c r="F34" i="7"/>
  <c r="E34" i="7"/>
  <c r="E37" i="7" s="1"/>
  <c r="D34" i="7"/>
  <c r="D37" i="7" s="1"/>
  <c r="C34" i="7"/>
  <c r="H15" i="7"/>
  <c r="G15" i="7"/>
  <c r="F15" i="7"/>
  <c r="E15" i="7"/>
  <c r="D15" i="7"/>
  <c r="C15" i="7"/>
  <c r="H13" i="7"/>
  <c r="G13" i="7"/>
  <c r="F13" i="7"/>
  <c r="E13" i="7"/>
  <c r="D13" i="7"/>
  <c r="C13" i="7"/>
  <c r="H12" i="7"/>
  <c r="G12" i="7"/>
  <c r="F12" i="7"/>
  <c r="E12" i="7"/>
  <c r="D12" i="7"/>
  <c r="C12" i="7"/>
  <c r="H10" i="7"/>
  <c r="G10" i="7"/>
  <c r="F10" i="7"/>
  <c r="E10" i="7"/>
  <c r="D10" i="7"/>
  <c r="C10" i="7"/>
  <c r="H9" i="7"/>
  <c r="H11" i="7" s="1"/>
  <c r="H8" i="7"/>
  <c r="H7" i="7"/>
  <c r="G7" i="7"/>
  <c r="F7" i="7"/>
  <c r="E7" i="7"/>
  <c r="D7" i="7"/>
  <c r="C7" i="7"/>
  <c r="H6" i="7"/>
  <c r="G6" i="7"/>
  <c r="F6" i="7"/>
  <c r="E6" i="7"/>
  <c r="D6" i="7"/>
  <c r="D8" i="7" s="1"/>
  <c r="C6" i="7"/>
  <c r="H5" i="7"/>
  <c r="G5" i="7"/>
  <c r="G8" i="7" s="1"/>
  <c r="G9" i="7" s="1"/>
  <c r="F5" i="7"/>
  <c r="F8" i="7" s="1"/>
  <c r="E5" i="7"/>
  <c r="E8" i="7" s="1"/>
  <c r="D5" i="7"/>
  <c r="C5" i="7"/>
  <c r="C8" i="7" s="1"/>
  <c r="C9" i="7" s="1"/>
  <c r="H4" i="7"/>
  <c r="G4" i="7"/>
  <c r="F4" i="7"/>
  <c r="E4" i="7"/>
  <c r="C43" i="7" s="1"/>
  <c r="D4" i="7"/>
  <c r="C20" i="7" s="1"/>
  <c r="P10" i="14" s="1"/>
  <c r="H3" i="7"/>
  <c r="C21" i="7" s="1"/>
  <c r="G3" i="7"/>
  <c r="F3" i="7"/>
  <c r="E3" i="7"/>
  <c r="D3" i="7"/>
  <c r="C3" i="7"/>
  <c r="G1485" i="6"/>
  <c r="C1485" i="6"/>
  <c r="G1484" i="6"/>
  <c r="C1484" i="6"/>
  <c r="G1483" i="6"/>
  <c r="C1483" i="6"/>
  <c r="G1482" i="6"/>
  <c r="C1482" i="6"/>
  <c r="G1481" i="6"/>
  <c r="C1481" i="6"/>
  <c r="G1480" i="6"/>
  <c r="C1480" i="6"/>
  <c r="G1479" i="6"/>
  <c r="C1479" i="6"/>
  <c r="G1478" i="6"/>
  <c r="C1478" i="6"/>
  <c r="G1477" i="6"/>
  <c r="C1477" i="6"/>
  <c r="G1476" i="6"/>
  <c r="C1476" i="6"/>
  <c r="G1475" i="6"/>
  <c r="C1475" i="6"/>
  <c r="G1474" i="6"/>
  <c r="C1474" i="6"/>
  <c r="G1473" i="6"/>
  <c r="C1473" i="6"/>
  <c r="G1472" i="6"/>
  <c r="C1472" i="6"/>
  <c r="G1471" i="6"/>
  <c r="C1471" i="6"/>
  <c r="G1470" i="6"/>
  <c r="C1470" i="6"/>
  <c r="G1469" i="6"/>
  <c r="C1469" i="6"/>
  <c r="G1468" i="6"/>
  <c r="C1468" i="6"/>
  <c r="G1467" i="6"/>
  <c r="C1467" i="6"/>
  <c r="G1466" i="6"/>
  <c r="C1466" i="6"/>
  <c r="G1465" i="6"/>
  <c r="C1465" i="6"/>
  <c r="G1464" i="6"/>
  <c r="C1464" i="6"/>
  <c r="G1463" i="6"/>
  <c r="C1463" i="6"/>
  <c r="G1462" i="6"/>
  <c r="C1462" i="6"/>
  <c r="G1461" i="6"/>
  <c r="C1461" i="6"/>
  <c r="G1460" i="6"/>
  <c r="C1460" i="6"/>
  <c r="G1459" i="6"/>
  <c r="C1459" i="6"/>
  <c r="G1458" i="6"/>
  <c r="C1458" i="6"/>
  <c r="G1457" i="6"/>
  <c r="C1457" i="6"/>
  <c r="G1456" i="6"/>
  <c r="C1456" i="6"/>
  <c r="G1455" i="6"/>
  <c r="C1455" i="6"/>
  <c r="G1454" i="6"/>
  <c r="C1454" i="6"/>
  <c r="G1453" i="6"/>
  <c r="C1453" i="6"/>
  <c r="G1452" i="6"/>
  <c r="C1452" i="6"/>
  <c r="G1451" i="6"/>
  <c r="C1451" i="6"/>
  <c r="G1450" i="6"/>
  <c r="C1450" i="6"/>
  <c r="G1449" i="6"/>
  <c r="C1449" i="6"/>
  <c r="G1448" i="6"/>
  <c r="C1448" i="6"/>
  <c r="G1447" i="6"/>
  <c r="C1447" i="6"/>
  <c r="G1446" i="6"/>
  <c r="C1446" i="6"/>
  <c r="G1445" i="6"/>
  <c r="C1445" i="6"/>
  <c r="G1444" i="6"/>
  <c r="C1444" i="6"/>
  <c r="G1443" i="6"/>
  <c r="C1443" i="6"/>
  <c r="G1442" i="6"/>
  <c r="C1442" i="6"/>
  <c r="G1441" i="6"/>
  <c r="C1441" i="6"/>
  <c r="G1440" i="6"/>
  <c r="C1440" i="6"/>
  <c r="G1439" i="6"/>
  <c r="C1439" i="6"/>
  <c r="G1438" i="6"/>
  <c r="C1438" i="6"/>
  <c r="G1437" i="6"/>
  <c r="C1437" i="6"/>
  <c r="G1436" i="6"/>
  <c r="C1436" i="6"/>
  <c r="G1435" i="6"/>
  <c r="C1435" i="6"/>
  <c r="G1434" i="6"/>
  <c r="C1434" i="6"/>
  <c r="G1433" i="6"/>
  <c r="C1433" i="6"/>
  <c r="G1432" i="6"/>
  <c r="C1432" i="6"/>
  <c r="G1431" i="6"/>
  <c r="C1431" i="6"/>
  <c r="G1430" i="6"/>
  <c r="C1430" i="6"/>
  <c r="G1429" i="6"/>
  <c r="C1429" i="6"/>
  <c r="G1428" i="6"/>
  <c r="C1428" i="6"/>
  <c r="G1427" i="6"/>
  <c r="C1427" i="6"/>
  <c r="G1426" i="6"/>
  <c r="C1426" i="6"/>
  <c r="G1425" i="6"/>
  <c r="C1425" i="6"/>
  <c r="G1424" i="6"/>
  <c r="C1424" i="6"/>
  <c r="G1423" i="6"/>
  <c r="C1423" i="6"/>
  <c r="G1422" i="6"/>
  <c r="C1422" i="6"/>
  <c r="G1421" i="6"/>
  <c r="C1421" i="6"/>
  <c r="G1420" i="6"/>
  <c r="C1420" i="6"/>
  <c r="G1419" i="6"/>
  <c r="C1419" i="6"/>
  <c r="G1418" i="6"/>
  <c r="C1418" i="6"/>
  <c r="G1417" i="6"/>
  <c r="C1417" i="6"/>
  <c r="G1416" i="6"/>
  <c r="C1416" i="6"/>
  <c r="G1415" i="6"/>
  <c r="C1415" i="6"/>
  <c r="G1414" i="6"/>
  <c r="C1414" i="6"/>
  <c r="G1413" i="6"/>
  <c r="C1413" i="6"/>
  <c r="G1412" i="6"/>
  <c r="C1412" i="6"/>
  <c r="G1411" i="6"/>
  <c r="C1411" i="6"/>
  <c r="G1410" i="6"/>
  <c r="C1410" i="6"/>
  <c r="G1409" i="6"/>
  <c r="C1409" i="6"/>
  <c r="G1408" i="6"/>
  <c r="C1408" i="6"/>
  <c r="G1407" i="6"/>
  <c r="C1407" i="6"/>
  <c r="G1406" i="6"/>
  <c r="C1406" i="6"/>
  <c r="G1405" i="6"/>
  <c r="C1405" i="6"/>
  <c r="G1404" i="6"/>
  <c r="C1404" i="6"/>
  <c r="G1403" i="6"/>
  <c r="C1403" i="6"/>
  <c r="G1402" i="6"/>
  <c r="C1402" i="6"/>
  <c r="G1401" i="6"/>
  <c r="C1401" i="6"/>
  <c r="G1400" i="6"/>
  <c r="C1400" i="6"/>
  <c r="G1399" i="6"/>
  <c r="C1399" i="6"/>
  <c r="G1398" i="6"/>
  <c r="C1398" i="6"/>
  <c r="G1397" i="6"/>
  <c r="C1397" i="6"/>
  <c r="G1396" i="6"/>
  <c r="C1396" i="6"/>
  <c r="G1395" i="6"/>
  <c r="C1395" i="6"/>
  <c r="G1394" i="6"/>
  <c r="C1394" i="6"/>
  <c r="G1393" i="6"/>
  <c r="C1393" i="6"/>
  <c r="G1392" i="6"/>
  <c r="C1392" i="6"/>
  <c r="G1391" i="6"/>
  <c r="C1391" i="6"/>
  <c r="G1390" i="6"/>
  <c r="C1390" i="6"/>
  <c r="G1389" i="6"/>
  <c r="C1389" i="6"/>
  <c r="G1388" i="6"/>
  <c r="C1388" i="6"/>
  <c r="G1387" i="6"/>
  <c r="C1387" i="6"/>
  <c r="G1386" i="6"/>
  <c r="C1386" i="6"/>
  <c r="G1385" i="6"/>
  <c r="C1385" i="6"/>
  <c r="G1384" i="6"/>
  <c r="C1384" i="6"/>
  <c r="G1383" i="6"/>
  <c r="C1383" i="6"/>
  <c r="G1382" i="6"/>
  <c r="C1382" i="6"/>
  <c r="G1381" i="6"/>
  <c r="C1381" i="6"/>
  <c r="G1380" i="6"/>
  <c r="C1380" i="6"/>
  <c r="G1379" i="6"/>
  <c r="C1379" i="6"/>
  <c r="G1378" i="6"/>
  <c r="C1378" i="6"/>
  <c r="G1377" i="6"/>
  <c r="C1377" i="6"/>
  <c r="G1376" i="6"/>
  <c r="C1376" i="6"/>
  <c r="G1375" i="6"/>
  <c r="C1375" i="6"/>
  <c r="G1374" i="6"/>
  <c r="C1374" i="6"/>
  <c r="G1373" i="6"/>
  <c r="C1373" i="6"/>
  <c r="G1372" i="6"/>
  <c r="C1372" i="6"/>
  <c r="G1371" i="6"/>
  <c r="C1371" i="6"/>
  <c r="G1370" i="6"/>
  <c r="C1370" i="6"/>
  <c r="G1369" i="6"/>
  <c r="C1369" i="6"/>
  <c r="G1368" i="6"/>
  <c r="C1368" i="6"/>
  <c r="G1367" i="6"/>
  <c r="C1367" i="6"/>
  <c r="G1366" i="6"/>
  <c r="C1366" i="6"/>
  <c r="G1365" i="6"/>
  <c r="C1365" i="6"/>
  <c r="G1364" i="6"/>
  <c r="C1364" i="6"/>
  <c r="G1363" i="6"/>
  <c r="C1363" i="6"/>
  <c r="G1362" i="6"/>
  <c r="C1362" i="6"/>
  <c r="G1361" i="6"/>
  <c r="C1361" i="6"/>
  <c r="G1360" i="6"/>
  <c r="C1360" i="6"/>
  <c r="G1359" i="6"/>
  <c r="C1359" i="6"/>
  <c r="G1358" i="6"/>
  <c r="C1358" i="6"/>
  <c r="G1357" i="6"/>
  <c r="C1357" i="6"/>
  <c r="G1356" i="6"/>
  <c r="C1356" i="6"/>
  <c r="G1355" i="6"/>
  <c r="C1355" i="6"/>
  <c r="G1354" i="6"/>
  <c r="C1354" i="6"/>
  <c r="G1353" i="6"/>
  <c r="C1353" i="6"/>
  <c r="G1352" i="6"/>
  <c r="C1352" i="6"/>
  <c r="G1351" i="6"/>
  <c r="C1351" i="6"/>
  <c r="G1350" i="6"/>
  <c r="C1350" i="6"/>
  <c r="G1349" i="6"/>
  <c r="C1349" i="6"/>
  <c r="G1348" i="6"/>
  <c r="C1348" i="6"/>
  <c r="G1347" i="6"/>
  <c r="C1347" i="6"/>
  <c r="G1346" i="6"/>
  <c r="C1346" i="6"/>
  <c r="G1345" i="6"/>
  <c r="C1345" i="6"/>
  <c r="G1344" i="6"/>
  <c r="C1344" i="6"/>
  <c r="G1343" i="6"/>
  <c r="C1343" i="6"/>
  <c r="G1342" i="6"/>
  <c r="C1342" i="6"/>
  <c r="G1341" i="6"/>
  <c r="C1341" i="6"/>
  <c r="G1340" i="6"/>
  <c r="C1340" i="6"/>
  <c r="G1339" i="6"/>
  <c r="C1339" i="6"/>
  <c r="G1338" i="6"/>
  <c r="C1338" i="6"/>
  <c r="G1337" i="6"/>
  <c r="C1337" i="6"/>
  <c r="G1336" i="6"/>
  <c r="C1336" i="6"/>
  <c r="G1335" i="6"/>
  <c r="C1335" i="6"/>
  <c r="G1334" i="6"/>
  <c r="C1334" i="6"/>
  <c r="G1333" i="6"/>
  <c r="C1333" i="6"/>
  <c r="G1332" i="6"/>
  <c r="C1332" i="6"/>
  <c r="G1331" i="6"/>
  <c r="C1331" i="6"/>
  <c r="G1330" i="6"/>
  <c r="C1330" i="6"/>
  <c r="G1329" i="6"/>
  <c r="C1329" i="6"/>
  <c r="G1328" i="6"/>
  <c r="C1328" i="6"/>
  <c r="G1327" i="6"/>
  <c r="C1327" i="6"/>
  <c r="G1326" i="6"/>
  <c r="C1326" i="6"/>
  <c r="G1325" i="6"/>
  <c r="C1325" i="6"/>
  <c r="G1324" i="6"/>
  <c r="C1324" i="6"/>
  <c r="G1323" i="6"/>
  <c r="C1323" i="6"/>
  <c r="G1322" i="6"/>
  <c r="C1322" i="6"/>
  <c r="G1321" i="6"/>
  <c r="C1321" i="6"/>
  <c r="G1320" i="6"/>
  <c r="C1320" i="6"/>
  <c r="G1319" i="6"/>
  <c r="C1319" i="6"/>
  <c r="G1318" i="6"/>
  <c r="C1318" i="6"/>
  <c r="G1317" i="6"/>
  <c r="C1317" i="6"/>
  <c r="G1316" i="6"/>
  <c r="C1316" i="6"/>
  <c r="G1315" i="6"/>
  <c r="C1315" i="6"/>
  <c r="G1314" i="6"/>
  <c r="C1314" i="6"/>
  <c r="G1313" i="6"/>
  <c r="C1313" i="6"/>
  <c r="G1312" i="6"/>
  <c r="C1312" i="6"/>
  <c r="G1311" i="6"/>
  <c r="C1311" i="6"/>
  <c r="G1310" i="6"/>
  <c r="C1310" i="6"/>
  <c r="G1309" i="6"/>
  <c r="C1309" i="6"/>
  <c r="G1308" i="6"/>
  <c r="C1308" i="6"/>
  <c r="G1307" i="6"/>
  <c r="C1307" i="6"/>
  <c r="G1306" i="6"/>
  <c r="C1306" i="6"/>
  <c r="G1305" i="6"/>
  <c r="C1305" i="6"/>
  <c r="G1304" i="6"/>
  <c r="C1304" i="6"/>
  <c r="G1303" i="6"/>
  <c r="C1303" i="6"/>
  <c r="G1302" i="6"/>
  <c r="C1302" i="6"/>
  <c r="G1301" i="6"/>
  <c r="C1301" i="6"/>
  <c r="G1300" i="6"/>
  <c r="C1300" i="6"/>
  <c r="G1299" i="6"/>
  <c r="C1299" i="6"/>
  <c r="G1298" i="6"/>
  <c r="C1298" i="6"/>
  <c r="G1297" i="6"/>
  <c r="C1297" i="6"/>
  <c r="G1296" i="6"/>
  <c r="C1296" i="6"/>
  <c r="G1295" i="6"/>
  <c r="C1295" i="6"/>
  <c r="G1294" i="6"/>
  <c r="C1294" i="6"/>
  <c r="G1293" i="6"/>
  <c r="C1293" i="6"/>
  <c r="G1292" i="6"/>
  <c r="C1292" i="6"/>
  <c r="G1291" i="6"/>
  <c r="C1291" i="6"/>
  <c r="G1290" i="6"/>
  <c r="C1290" i="6"/>
  <c r="G1289" i="6"/>
  <c r="C1289" i="6"/>
  <c r="G1288" i="6"/>
  <c r="C1288" i="6"/>
  <c r="G1287" i="6"/>
  <c r="C1287" i="6"/>
  <c r="G1286" i="6"/>
  <c r="C1286" i="6"/>
  <c r="G1285" i="6"/>
  <c r="C1285" i="6"/>
  <c r="G1284" i="6"/>
  <c r="C1284" i="6"/>
  <c r="G1283" i="6"/>
  <c r="C1283" i="6"/>
  <c r="G1282" i="6"/>
  <c r="C1282" i="6"/>
  <c r="G1281" i="6"/>
  <c r="C1281" i="6"/>
  <c r="G1280" i="6"/>
  <c r="C1280" i="6"/>
  <c r="G1279" i="6"/>
  <c r="C1279" i="6"/>
  <c r="G1278" i="6"/>
  <c r="C1278" i="6"/>
  <c r="G1277" i="6"/>
  <c r="C1277" i="6"/>
  <c r="G1276" i="6"/>
  <c r="C1276" i="6"/>
  <c r="G1275" i="6"/>
  <c r="C1275" i="6"/>
  <c r="G1274" i="6"/>
  <c r="C1274" i="6"/>
  <c r="G1273" i="6"/>
  <c r="C1273" i="6"/>
  <c r="G1272" i="6"/>
  <c r="C1272" i="6"/>
  <c r="G1271" i="6"/>
  <c r="C1271" i="6"/>
  <c r="G1270" i="6"/>
  <c r="C1270" i="6"/>
  <c r="G1269" i="6"/>
  <c r="C1269" i="6"/>
  <c r="G1268" i="6"/>
  <c r="C1268" i="6"/>
  <c r="G1267" i="6"/>
  <c r="C1267" i="6"/>
  <c r="G1266" i="6"/>
  <c r="C1266" i="6"/>
  <c r="G1265" i="6"/>
  <c r="C1265" i="6"/>
  <c r="G1264" i="6"/>
  <c r="C1264" i="6"/>
  <c r="G1263" i="6"/>
  <c r="C1263" i="6"/>
  <c r="G1262" i="6"/>
  <c r="C1262" i="6"/>
  <c r="G1261" i="6"/>
  <c r="C1261" i="6"/>
  <c r="G1260" i="6"/>
  <c r="C1260" i="6"/>
  <c r="G1259" i="6"/>
  <c r="C1259" i="6"/>
  <c r="G1258" i="6"/>
  <c r="C1258" i="6"/>
  <c r="G1257" i="6"/>
  <c r="C1257" i="6"/>
  <c r="G1256" i="6"/>
  <c r="C1256" i="6"/>
  <c r="G1255" i="6"/>
  <c r="C1255" i="6"/>
  <c r="G1254" i="6"/>
  <c r="C1254" i="6"/>
  <c r="G1253" i="6"/>
  <c r="C1253" i="6"/>
  <c r="G1252" i="6"/>
  <c r="C1252" i="6"/>
  <c r="G1251" i="6"/>
  <c r="C1251" i="6"/>
  <c r="G1250" i="6"/>
  <c r="C1250" i="6"/>
  <c r="G1249" i="6"/>
  <c r="C1249" i="6"/>
  <c r="G1248" i="6"/>
  <c r="C1248" i="6"/>
  <c r="G1247" i="6"/>
  <c r="C1247" i="6"/>
  <c r="G1246" i="6"/>
  <c r="C1246" i="6"/>
  <c r="G1245" i="6"/>
  <c r="C1245" i="6"/>
  <c r="G1244" i="6"/>
  <c r="C1244" i="6"/>
  <c r="G1243" i="6"/>
  <c r="C1243" i="6"/>
  <c r="G1242" i="6"/>
  <c r="C1242" i="6"/>
  <c r="G1241" i="6"/>
  <c r="C1241" i="6"/>
  <c r="G1240" i="6"/>
  <c r="C1240" i="6"/>
  <c r="G1239" i="6"/>
  <c r="C1239" i="6"/>
  <c r="G1238" i="6"/>
  <c r="C1238" i="6"/>
  <c r="G1237" i="6"/>
  <c r="C1237" i="6"/>
  <c r="G1236" i="6"/>
  <c r="C1236" i="6"/>
  <c r="G1235" i="6"/>
  <c r="C1235" i="6"/>
  <c r="G1234" i="6"/>
  <c r="C1234" i="6"/>
  <c r="G1233" i="6"/>
  <c r="C1233" i="6"/>
  <c r="G1232" i="6"/>
  <c r="C1232" i="6"/>
  <c r="G1231" i="6"/>
  <c r="C1231" i="6"/>
  <c r="G1230" i="6"/>
  <c r="C1230" i="6"/>
  <c r="G1229" i="6"/>
  <c r="C1229" i="6"/>
  <c r="G1228" i="6"/>
  <c r="C1228" i="6"/>
  <c r="G1227" i="6"/>
  <c r="C1227" i="6"/>
  <c r="G1226" i="6"/>
  <c r="C1226" i="6"/>
  <c r="G1225" i="6"/>
  <c r="C1225" i="6"/>
  <c r="G1224" i="6"/>
  <c r="C1224" i="6"/>
  <c r="G1223" i="6"/>
  <c r="C1223" i="6"/>
  <c r="G1222" i="6"/>
  <c r="C1222" i="6"/>
  <c r="G1221" i="6"/>
  <c r="C1221" i="6"/>
  <c r="G1220" i="6"/>
  <c r="C1220" i="6"/>
  <c r="G1219" i="6"/>
  <c r="C1219" i="6"/>
  <c r="G1218" i="6"/>
  <c r="C1218" i="6"/>
  <c r="G1217" i="6"/>
  <c r="C1217" i="6"/>
  <c r="G1216" i="6"/>
  <c r="C1216" i="6"/>
  <c r="G1215" i="6"/>
  <c r="C1215" i="6"/>
  <c r="G1214" i="6"/>
  <c r="C1214" i="6"/>
  <c r="G1213" i="6"/>
  <c r="C1213" i="6"/>
  <c r="G1212" i="6"/>
  <c r="C1212" i="6"/>
  <c r="G1211" i="6"/>
  <c r="C1211" i="6"/>
  <c r="G1210" i="6"/>
  <c r="C1210" i="6"/>
  <c r="G1209" i="6"/>
  <c r="C1209" i="6"/>
  <c r="G1208" i="6"/>
  <c r="C1208" i="6"/>
  <c r="G1207" i="6"/>
  <c r="C1207" i="6"/>
  <c r="G1206" i="6"/>
  <c r="C1206" i="6"/>
  <c r="G1205" i="6"/>
  <c r="C1205" i="6"/>
  <c r="G1204" i="6"/>
  <c r="C1204" i="6"/>
  <c r="G1203" i="6"/>
  <c r="C1203" i="6"/>
  <c r="G1202" i="6"/>
  <c r="C1202" i="6"/>
  <c r="G1201" i="6"/>
  <c r="C1201" i="6"/>
  <c r="G1200" i="6"/>
  <c r="C1200" i="6"/>
  <c r="G1199" i="6"/>
  <c r="C1199" i="6"/>
  <c r="G1198" i="6"/>
  <c r="C1198" i="6"/>
  <c r="G1197" i="6"/>
  <c r="C1197" i="6"/>
  <c r="G1196" i="6"/>
  <c r="C1196" i="6"/>
  <c r="G1195" i="6"/>
  <c r="C1195" i="6"/>
  <c r="G1194" i="6"/>
  <c r="C1194" i="6"/>
  <c r="G1193" i="6"/>
  <c r="C1193" i="6"/>
  <c r="G1192" i="6"/>
  <c r="C1192" i="6"/>
  <c r="G1191" i="6"/>
  <c r="C1191" i="6"/>
  <c r="G1190" i="6"/>
  <c r="C1190" i="6"/>
  <c r="G1189" i="6"/>
  <c r="C1189" i="6"/>
  <c r="G1188" i="6"/>
  <c r="C1188" i="6"/>
  <c r="G1187" i="6"/>
  <c r="C1187" i="6"/>
  <c r="G1186" i="6"/>
  <c r="C1186" i="6"/>
  <c r="G1185" i="6"/>
  <c r="C1185" i="6"/>
  <c r="G1184" i="6"/>
  <c r="C1184" i="6"/>
  <c r="G1183" i="6"/>
  <c r="C1183" i="6"/>
  <c r="G1182" i="6"/>
  <c r="C1182" i="6"/>
  <c r="G1181" i="6"/>
  <c r="C1181" i="6"/>
  <c r="G1180" i="6"/>
  <c r="C1180" i="6"/>
  <c r="G1179" i="6"/>
  <c r="C1179" i="6"/>
  <c r="G1178" i="6"/>
  <c r="C1178" i="6"/>
  <c r="G1177" i="6"/>
  <c r="C1177" i="6"/>
  <c r="G1176" i="6"/>
  <c r="C1176" i="6"/>
  <c r="G1175" i="6"/>
  <c r="C1175" i="6"/>
  <c r="G1174" i="6"/>
  <c r="C1174" i="6"/>
  <c r="G1173" i="6"/>
  <c r="C1173" i="6"/>
  <c r="G1172" i="6"/>
  <c r="C1172" i="6"/>
  <c r="G1171" i="6"/>
  <c r="C1171" i="6"/>
  <c r="G1170" i="6"/>
  <c r="C1170" i="6"/>
  <c r="G1169" i="6"/>
  <c r="C1169" i="6"/>
  <c r="G1168" i="6"/>
  <c r="C1168" i="6"/>
  <c r="G1167" i="6"/>
  <c r="C1167" i="6"/>
  <c r="G1166" i="6"/>
  <c r="C1166" i="6"/>
  <c r="G1165" i="6"/>
  <c r="C1165" i="6"/>
  <c r="G1164" i="6"/>
  <c r="C1164" i="6"/>
  <c r="G1163" i="6"/>
  <c r="C1163" i="6"/>
  <c r="G1162" i="6"/>
  <c r="C1162" i="6"/>
  <c r="G1161" i="6"/>
  <c r="C1161" i="6"/>
  <c r="G1160" i="6"/>
  <c r="C1160" i="6"/>
  <c r="G1159" i="6"/>
  <c r="C1159" i="6"/>
  <c r="G1158" i="6"/>
  <c r="C1158" i="6"/>
  <c r="G1157" i="6"/>
  <c r="C1157" i="6"/>
  <c r="G1156" i="6"/>
  <c r="C1156" i="6"/>
  <c r="G1155" i="6"/>
  <c r="C1155" i="6"/>
  <c r="G1154" i="6"/>
  <c r="C1154" i="6"/>
  <c r="G1153" i="6"/>
  <c r="C1153" i="6"/>
  <c r="G1152" i="6"/>
  <c r="C1152" i="6"/>
  <c r="G1151" i="6"/>
  <c r="C1151" i="6"/>
  <c r="G1150" i="6"/>
  <c r="C1150" i="6"/>
  <c r="G1149" i="6"/>
  <c r="C1149" i="6"/>
  <c r="G1148" i="6"/>
  <c r="C1148" i="6"/>
  <c r="G1147" i="6"/>
  <c r="C1147" i="6"/>
  <c r="G1146" i="6"/>
  <c r="C1146" i="6"/>
  <c r="G1145" i="6"/>
  <c r="C1145" i="6"/>
  <c r="G1144" i="6"/>
  <c r="C1144" i="6"/>
  <c r="G1143" i="6"/>
  <c r="C1143" i="6"/>
  <c r="G1142" i="6"/>
  <c r="C1142" i="6"/>
  <c r="G1141" i="6"/>
  <c r="C1141" i="6"/>
  <c r="G1140" i="6"/>
  <c r="C1140" i="6"/>
  <c r="G1139" i="6"/>
  <c r="C1139" i="6"/>
  <c r="G1138" i="6"/>
  <c r="C1138" i="6"/>
  <c r="G1137" i="6"/>
  <c r="C1137" i="6"/>
  <c r="G1136" i="6"/>
  <c r="C1136" i="6"/>
  <c r="G1135" i="6"/>
  <c r="C1135" i="6"/>
  <c r="G1134" i="6"/>
  <c r="C1134" i="6"/>
  <c r="G1133" i="6"/>
  <c r="C1133" i="6"/>
  <c r="G1132" i="6"/>
  <c r="C1132" i="6"/>
  <c r="G1131" i="6"/>
  <c r="C1131" i="6"/>
  <c r="G1130" i="6"/>
  <c r="C1130" i="6"/>
  <c r="G1129" i="6"/>
  <c r="C1129" i="6"/>
  <c r="G1128" i="6"/>
  <c r="C1128" i="6"/>
  <c r="G1127" i="6"/>
  <c r="C1127" i="6"/>
  <c r="G1126" i="6"/>
  <c r="C1126" i="6"/>
  <c r="G1125" i="6"/>
  <c r="C1125" i="6"/>
  <c r="G1124" i="6"/>
  <c r="C1124" i="6"/>
  <c r="G1123" i="6"/>
  <c r="C1123" i="6"/>
  <c r="G1122" i="6"/>
  <c r="C1122" i="6"/>
  <c r="G1121" i="6"/>
  <c r="C1121" i="6"/>
  <c r="G1120" i="6"/>
  <c r="C1120" i="6"/>
  <c r="G1119" i="6"/>
  <c r="C1119" i="6"/>
  <c r="G1118" i="6"/>
  <c r="C1118" i="6"/>
  <c r="G1117" i="6"/>
  <c r="C1117" i="6"/>
  <c r="G1116" i="6"/>
  <c r="C1116" i="6"/>
  <c r="G1115" i="6"/>
  <c r="C1115" i="6"/>
  <c r="G1114" i="6"/>
  <c r="C1114" i="6"/>
  <c r="G1113" i="6"/>
  <c r="C1113" i="6"/>
  <c r="G1112" i="6"/>
  <c r="C1112" i="6"/>
  <c r="G1111" i="6"/>
  <c r="C1111" i="6"/>
  <c r="G1110" i="6"/>
  <c r="C1110" i="6"/>
  <c r="G1109" i="6"/>
  <c r="C1109" i="6"/>
  <c r="G1108" i="6"/>
  <c r="C1108" i="6"/>
  <c r="G1107" i="6"/>
  <c r="C1107" i="6"/>
  <c r="G1106" i="6"/>
  <c r="C1106" i="6"/>
  <c r="G1105" i="6"/>
  <c r="C1105" i="6"/>
  <c r="G1104" i="6"/>
  <c r="C1104" i="6"/>
  <c r="G1103" i="6"/>
  <c r="C1103" i="6"/>
  <c r="G1102" i="6"/>
  <c r="C1102" i="6"/>
  <c r="G1101" i="6"/>
  <c r="C1101" i="6"/>
  <c r="G1100" i="6"/>
  <c r="C1100" i="6"/>
  <c r="G1099" i="6"/>
  <c r="C1099" i="6"/>
  <c r="G1098" i="6"/>
  <c r="C1098" i="6"/>
  <c r="G1097" i="6"/>
  <c r="C1097" i="6"/>
  <c r="G1096" i="6"/>
  <c r="C1096" i="6"/>
  <c r="G1095" i="6"/>
  <c r="C1095" i="6"/>
  <c r="G1094" i="6"/>
  <c r="C1094" i="6"/>
  <c r="G1093" i="6"/>
  <c r="C1093" i="6"/>
  <c r="G1092" i="6"/>
  <c r="C1092" i="6"/>
  <c r="G1091" i="6"/>
  <c r="C1091" i="6"/>
  <c r="G1090" i="6"/>
  <c r="C1090" i="6"/>
  <c r="G1089" i="6"/>
  <c r="C1089" i="6"/>
  <c r="G1088" i="6"/>
  <c r="C1088" i="6"/>
  <c r="G1087" i="6"/>
  <c r="C1087" i="6"/>
  <c r="G1086" i="6"/>
  <c r="C1086" i="6"/>
  <c r="G1085" i="6"/>
  <c r="C1085" i="6"/>
  <c r="G1084" i="6"/>
  <c r="C1084" i="6"/>
  <c r="G1083" i="6"/>
  <c r="C1083" i="6"/>
  <c r="G1082" i="6"/>
  <c r="C1082" i="6"/>
  <c r="G1081" i="6"/>
  <c r="C1081" i="6"/>
  <c r="G1080" i="6"/>
  <c r="C1080" i="6"/>
  <c r="G1079" i="6"/>
  <c r="C1079" i="6"/>
  <c r="G1078" i="6"/>
  <c r="C1078" i="6"/>
  <c r="G1077" i="6"/>
  <c r="C1077" i="6"/>
  <c r="G1076" i="6"/>
  <c r="C1076" i="6"/>
  <c r="G1075" i="6"/>
  <c r="C1075" i="6"/>
  <c r="G1074" i="6"/>
  <c r="C1074" i="6"/>
  <c r="G1073" i="6"/>
  <c r="C1073" i="6"/>
  <c r="G1072" i="6"/>
  <c r="C1072" i="6"/>
  <c r="G1071" i="6"/>
  <c r="C1071" i="6"/>
  <c r="G1070" i="6"/>
  <c r="C1070" i="6"/>
  <c r="G1069" i="6"/>
  <c r="C1069" i="6"/>
  <c r="G1068" i="6"/>
  <c r="C1068" i="6"/>
  <c r="G1067" i="6"/>
  <c r="C1067" i="6"/>
  <c r="G1066" i="6"/>
  <c r="C1066" i="6"/>
  <c r="G1065" i="6"/>
  <c r="C1065" i="6"/>
  <c r="G1064" i="6"/>
  <c r="C1064" i="6"/>
  <c r="G1063" i="6"/>
  <c r="C1063" i="6"/>
  <c r="G1062" i="6"/>
  <c r="C1062" i="6"/>
  <c r="G1061" i="6"/>
  <c r="C1061" i="6"/>
  <c r="G1060" i="6"/>
  <c r="C1060" i="6"/>
  <c r="G1059" i="6"/>
  <c r="C1059" i="6"/>
  <c r="G1058" i="6"/>
  <c r="C1058" i="6"/>
  <c r="G1057" i="6"/>
  <c r="C1057" i="6"/>
  <c r="G1056" i="6"/>
  <c r="C1056" i="6"/>
  <c r="G1055" i="6"/>
  <c r="C1055" i="6"/>
  <c r="G1054" i="6"/>
  <c r="C1054" i="6"/>
  <c r="G1053" i="6"/>
  <c r="C1053" i="6"/>
  <c r="G1052" i="6"/>
  <c r="C1052" i="6"/>
  <c r="G1051" i="6"/>
  <c r="C1051" i="6"/>
  <c r="G1050" i="6"/>
  <c r="C1050" i="6"/>
  <c r="G1049" i="6"/>
  <c r="C1049" i="6"/>
  <c r="G1048" i="6"/>
  <c r="C1048" i="6"/>
  <c r="G1047" i="6"/>
  <c r="C1047" i="6"/>
  <c r="G1046" i="6"/>
  <c r="C1046" i="6"/>
  <c r="G1045" i="6"/>
  <c r="C1045" i="6"/>
  <c r="G1044" i="6"/>
  <c r="C1044" i="6"/>
  <c r="G1043" i="6"/>
  <c r="C1043" i="6"/>
  <c r="G1042" i="6"/>
  <c r="C1042" i="6"/>
  <c r="G1041" i="6"/>
  <c r="C1041" i="6"/>
  <c r="G1040" i="6"/>
  <c r="C1040" i="6"/>
  <c r="G1039" i="6"/>
  <c r="C1039" i="6"/>
  <c r="G1038" i="6"/>
  <c r="C1038" i="6"/>
  <c r="G1037" i="6"/>
  <c r="C1037" i="6"/>
  <c r="G1036" i="6"/>
  <c r="C1036" i="6"/>
  <c r="G1035" i="6"/>
  <c r="C1035" i="6"/>
  <c r="G1034" i="6"/>
  <c r="C1034" i="6"/>
  <c r="G1033" i="6"/>
  <c r="C1033" i="6"/>
  <c r="G1032" i="6"/>
  <c r="C1032" i="6"/>
  <c r="G1031" i="6"/>
  <c r="C1031" i="6"/>
  <c r="G1030" i="6"/>
  <c r="C1030" i="6"/>
  <c r="G1029" i="6"/>
  <c r="C1029" i="6"/>
  <c r="G1028" i="6"/>
  <c r="C1028" i="6"/>
  <c r="G1027" i="6"/>
  <c r="C1027" i="6"/>
  <c r="G1026" i="6"/>
  <c r="C1026" i="6"/>
  <c r="G1025" i="6"/>
  <c r="C1025" i="6"/>
  <c r="G1024" i="6"/>
  <c r="C1024" i="6"/>
  <c r="G1023" i="6"/>
  <c r="C1023" i="6"/>
  <c r="G1022" i="6"/>
  <c r="C1022" i="6"/>
  <c r="G1021" i="6"/>
  <c r="C1021" i="6"/>
  <c r="G1020" i="6"/>
  <c r="C1020" i="6"/>
  <c r="G1019" i="6"/>
  <c r="C1019" i="6"/>
  <c r="G1018" i="6"/>
  <c r="C1018" i="6"/>
  <c r="G1017" i="6"/>
  <c r="C1017" i="6"/>
  <c r="G1016" i="6"/>
  <c r="C1016" i="6"/>
  <c r="G1015" i="6"/>
  <c r="C1015" i="6"/>
  <c r="G1014" i="6"/>
  <c r="C1014" i="6"/>
  <c r="G1013" i="6"/>
  <c r="C1013" i="6"/>
  <c r="G1012" i="6"/>
  <c r="C1012" i="6"/>
  <c r="G1011" i="6"/>
  <c r="C1011" i="6"/>
  <c r="G1010" i="6"/>
  <c r="C1010" i="6"/>
  <c r="G1009" i="6"/>
  <c r="C1009" i="6"/>
  <c r="G1008" i="6"/>
  <c r="C1008" i="6"/>
  <c r="G1007" i="6"/>
  <c r="C1007" i="6"/>
  <c r="G1006" i="6"/>
  <c r="C1006" i="6"/>
  <c r="G1005" i="6"/>
  <c r="C1005" i="6"/>
  <c r="G1004" i="6"/>
  <c r="C1004" i="6"/>
  <c r="G1003" i="6"/>
  <c r="C1003" i="6"/>
  <c r="G1002" i="6"/>
  <c r="C1002" i="6"/>
  <c r="G1001" i="6"/>
  <c r="C1001" i="6"/>
  <c r="G1000" i="6"/>
  <c r="C1000" i="6"/>
  <c r="G999" i="6"/>
  <c r="C999" i="6"/>
  <c r="G998" i="6"/>
  <c r="C998" i="6"/>
  <c r="G997" i="6"/>
  <c r="C997" i="6"/>
  <c r="G996" i="6"/>
  <c r="C996" i="6"/>
  <c r="G995" i="6"/>
  <c r="C995" i="6"/>
  <c r="G994" i="6"/>
  <c r="C994" i="6"/>
  <c r="G993" i="6"/>
  <c r="C993" i="6"/>
  <c r="G992" i="6"/>
  <c r="C992" i="6"/>
  <c r="G991" i="6"/>
  <c r="C991" i="6"/>
  <c r="G990" i="6"/>
  <c r="C990" i="6"/>
  <c r="G989" i="6"/>
  <c r="C989" i="6"/>
  <c r="G988" i="6"/>
  <c r="C988" i="6"/>
  <c r="G987" i="6"/>
  <c r="C987" i="6"/>
  <c r="G986" i="6"/>
  <c r="C986" i="6"/>
  <c r="G985" i="6"/>
  <c r="C985" i="6"/>
  <c r="G984" i="6"/>
  <c r="C984" i="6"/>
  <c r="G983" i="6"/>
  <c r="C983" i="6"/>
  <c r="G982" i="6"/>
  <c r="C982" i="6"/>
  <c r="G981" i="6"/>
  <c r="C981" i="6"/>
  <c r="G980" i="6"/>
  <c r="C980" i="6"/>
  <c r="G979" i="6"/>
  <c r="C979" i="6"/>
  <c r="G978" i="6"/>
  <c r="C978" i="6"/>
  <c r="G977" i="6"/>
  <c r="C977" i="6"/>
  <c r="G976" i="6"/>
  <c r="C976" i="6"/>
  <c r="G975" i="6"/>
  <c r="C975" i="6"/>
  <c r="G974" i="6"/>
  <c r="C974" i="6"/>
  <c r="G973" i="6"/>
  <c r="C973" i="6"/>
  <c r="G972" i="6"/>
  <c r="C972" i="6"/>
  <c r="G971" i="6"/>
  <c r="C971" i="6"/>
  <c r="G970" i="6"/>
  <c r="C970" i="6"/>
  <c r="G969" i="6"/>
  <c r="C969" i="6"/>
  <c r="G968" i="6"/>
  <c r="C968" i="6"/>
  <c r="G967" i="6"/>
  <c r="C967" i="6"/>
  <c r="G966" i="6"/>
  <c r="C966" i="6"/>
  <c r="G965" i="6"/>
  <c r="C965" i="6"/>
  <c r="G964" i="6"/>
  <c r="C964" i="6"/>
  <c r="G963" i="6"/>
  <c r="C963" i="6"/>
  <c r="G962" i="6"/>
  <c r="C962" i="6"/>
  <c r="G961" i="6"/>
  <c r="C961" i="6"/>
  <c r="G960" i="6"/>
  <c r="C960" i="6"/>
  <c r="G959" i="6"/>
  <c r="C959" i="6"/>
  <c r="G958" i="6"/>
  <c r="C958" i="6"/>
  <c r="G957" i="6"/>
  <c r="C957" i="6"/>
  <c r="G956" i="6"/>
  <c r="C956" i="6"/>
  <c r="G955" i="6"/>
  <c r="C955" i="6"/>
  <c r="G954" i="6"/>
  <c r="C954" i="6"/>
  <c r="G953" i="6"/>
  <c r="C953" i="6"/>
  <c r="G952" i="6"/>
  <c r="C952" i="6"/>
  <c r="G951" i="6"/>
  <c r="C951" i="6"/>
  <c r="G950" i="6"/>
  <c r="C950" i="6"/>
  <c r="G949" i="6"/>
  <c r="C949" i="6"/>
  <c r="G948" i="6"/>
  <c r="C948" i="6"/>
  <c r="G947" i="6"/>
  <c r="C947" i="6"/>
  <c r="G946" i="6"/>
  <c r="C946" i="6"/>
  <c r="G945" i="6"/>
  <c r="C945" i="6"/>
  <c r="G944" i="6"/>
  <c r="C944" i="6"/>
  <c r="G943" i="6"/>
  <c r="C943" i="6"/>
  <c r="G942" i="6"/>
  <c r="C942" i="6"/>
  <c r="G941" i="6"/>
  <c r="C941" i="6"/>
  <c r="G940" i="6"/>
  <c r="C940" i="6"/>
  <c r="G939" i="6"/>
  <c r="C939" i="6"/>
  <c r="G938" i="6"/>
  <c r="C938" i="6"/>
  <c r="G937" i="6"/>
  <c r="C937" i="6"/>
  <c r="G936" i="6"/>
  <c r="C936" i="6"/>
  <c r="G935" i="6"/>
  <c r="C935" i="6"/>
  <c r="G934" i="6"/>
  <c r="C934" i="6"/>
  <c r="G933" i="6"/>
  <c r="C933" i="6"/>
  <c r="G932" i="6"/>
  <c r="C932" i="6"/>
  <c r="G931" i="6"/>
  <c r="C931" i="6"/>
  <c r="G930" i="6"/>
  <c r="C930" i="6"/>
  <c r="G929" i="6"/>
  <c r="C929" i="6"/>
  <c r="G928" i="6"/>
  <c r="C928" i="6"/>
  <c r="G927" i="6"/>
  <c r="C927" i="6"/>
  <c r="G926" i="6"/>
  <c r="C926" i="6"/>
  <c r="G925" i="6"/>
  <c r="C925" i="6"/>
  <c r="G924" i="6"/>
  <c r="C924" i="6"/>
  <c r="G923" i="6"/>
  <c r="C923" i="6"/>
  <c r="G922" i="6"/>
  <c r="C922" i="6"/>
  <c r="G921" i="6"/>
  <c r="C921" i="6"/>
  <c r="G920" i="6"/>
  <c r="C920" i="6"/>
  <c r="G919" i="6"/>
  <c r="C919" i="6"/>
  <c r="G918" i="6"/>
  <c r="C918" i="6"/>
  <c r="G917" i="6"/>
  <c r="C917" i="6"/>
  <c r="G916" i="6"/>
  <c r="C916" i="6"/>
  <c r="G915" i="6"/>
  <c r="C915" i="6"/>
  <c r="G914" i="6"/>
  <c r="C914" i="6"/>
  <c r="G913" i="6"/>
  <c r="C913" i="6"/>
  <c r="G912" i="6"/>
  <c r="C912" i="6"/>
  <c r="G911" i="6"/>
  <c r="C911" i="6"/>
  <c r="G910" i="6"/>
  <c r="C910" i="6"/>
  <c r="G909" i="6"/>
  <c r="C909" i="6"/>
  <c r="G908" i="6"/>
  <c r="C908" i="6"/>
  <c r="G907" i="6"/>
  <c r="C907" i="6"/>
  <c r="G906" i="6"/>
  <c r="C906" i="6"/>
  <c r="G905" i="6"/>
  <c r="C905" i="6"/>
  <c r="G904" i="6"/>
  <c r="C904" i="6"/>
  <c r="G903" i="6"/>
  <c r="C903" i="6"/>
  <c r="G902" i="6"/>
  <c r="C902" i="6"/>
  <c r="G901" i="6"/>
  <c r="C901" i="6"/>
  <c r="G900" i="6"/>
  <c r="C900" i="6"/>
  <c r="G899" i="6"/>
  <c r="C899" i="6"/>
  <c r="G898" i="6"/>
  <c r="C898" i="6"/>
  <c r="G897" i="6"/>
  <c r="C897" i="6"/>
  <c r="G896" i="6"/>
  <c r="C896" i="6"/>
  <c r="G895" i="6"/>
  <c r="C895" i="6"/>
  <c r="G894" i="6"/>
  <c r="C894" i="6"/>
  <c r="G893" i="6"/>
  <c r="C893" i="6"/>
  <c r="G892" i="6"/>
  <c r="C892" i="6"/>
  <c r="G891" i="6"/>
  <c r="C891" i="6"/>
  <c r="G890" i="6"/>
  <c r="C890" i="6"/>
  <c r="G889" i="6"/>
  <c r="C889" i="6"/>
  <c r="G888" i="6"/>
  <c r="C888" i="6"/>
  <c r="G887" i="6"/>
  <c r="C887" i="6"/>
  <c r="G886" i="6"/>
  <c r="C886" i="6"/>
  <c r="G885" i="6"/>
  <c r="C885" i="6"/>
  <c r="G884" i="6"/>
  <c r="C884" i="6"/>
  <c r="G883" i="6"/>
  <c r="C883" i="6"/>
  <c r="G882" i="6"/>
  <c r="C882" i="6"/>
  <c r="G881" i="6"/>
  <c r="C881" i="6"/>
  <c r="G880" i="6"/>
  <c r="C880" i="6"/>
  <c r="G879" i="6"/>
  <c r="C879" i="6"/>
  <c r="G878" i="6"/>
  <c r="C878" i="6"/>
  <c r="G877" i="6"/>
  <c r="C877" i="6"/>
  <c r="G876" i="6"/>
  <c r="C876" i="6"/>
  <c r="G875" i="6"/>
  <c r="C875" i="6"/>
  <c r="G874" i="6"/>
  <c r="C874" i="6"/>
  <c r="G873" i="6"/>
  <c r="C873" i="6"/>
  <c r="G872" i="6"/>
  <c r="C872" i="6"/>
  <c r="G871" i="6"/>
  <c r="C871" i="6"/>
  <c r="G870" i="6"/>
  <c r="C870" i="6"/>
  <c r="G869" i="6"/>
  <c r="C869" i="6"/>
  <c r="G868" i="6"/>
  <c r="C868" i="6"/>
  <c r="G867" i="6"/>
  <c r="C867" i="6"/>
  <c r="G866" i="6"/>
  <c r="C866" i="6"/>
  <c r="G865" i="6"/>
  <c r="C865" i="6"/>
  <c r="G864" i="6"/>
  <c r="C864" i="6"/>
  <c r="G863" i="6"/>
  <c r="C863" i="6"/>
  <c r="G862" i="6"/>
  <c r="C862" i="6"/>
  <c r="G861" i="6"/>
  <c r="C861" i="6"/>
  <c r="G860" i="6"/>
  <c r="C860" i="6"/>
  <c r="G859" i="6"/>
  <c r="C859" i="6"/>
  <c r="G858" i="6"/>
  <c r="C858" i="6"/>
  <c r="G857" i="6"/>
  <c r="C857" i="6"/>
  <c r="G856" i="6"/>
  <c r="C856" i="6"/>
  <c r="G855" i="6"/>
  <c r="C855" i="6"/>
  <c r="G854" i="6"/>
  <c r="C854" i="6"/>
  <c r="G853" i="6"/>
  <c r="C853" i="6"/>
  <c r="G852" i="6"/>
  <c r="C852" i="6"/>
  <c r="G851" i="6"/>
  <c r="C851" i="6"/>
  <c r="G850" i="6"/>
  <c r="C850" i="6"/>
  <c r="G849" i="6"/>
  <c r="C849" i="6"/>
  <c r="G848" i="6"/>
  <c r="C848" i="6"/>
  <c r="G847" i="6"/>
  <c r="C847" i="6"/>
  <c r="G846" i="6"/>
  <c r="C846" i="6"/>
  <c r="G845" i="6"/>
  <c r="C845" i="6"/>
  <c r="G844" i="6"/>
  <c r="C844" i="6"/>
  <c r="G843" i="6"/>
  <c r="C843" i="6"/>
  <c r="G842" i="6"/>
  <c r="C842" i="6"/>
  <c r="G841" i="6"/>
  <c r="C841" i="6"/>
  <c r="G840" i="6"/>
  <c r="C840" i="6"/>
  <c r="G839" i="6"/>
  <c r="C839" i="6"/>
  <c r="G838" i="6"/>
  <c r="C838" i="6"/>
  <c r="G837" i="6"/>
  <c r="C837" i="6"/>
  <c r="G836" i="6"/>
  <c r="C836" i="6"/>
  <c r="G835" i="6"/>
  <c r="C835" i="6"/>
  <c r="G834" i="6"/>
  <c r="C834" i="6"/>
  <c r="G833" i="6"/>
  <c r="C833" i="6"/>
  <c r="G832" i="6"/>
  <c r="C832" i="6"/>
  <c r="G831" i="6"/>
  <c r="C831" i="6"/>
  <c r="G830" i="6"/>
  <c r="C830" i="6"/>
  <c r="G829" i="6"/>
  <c r="C829" i="6"/>
  <c r="G828" i="6"/>
  <c r="C828" i="6"/>
  <c r="G827" i="6"/>
  <c r="C827" i="6"/>
  <c r="G826" i="6"/>
  <c r="C826" i="6"/>
  <c r="G825" i="6"/>
  <c r="C825" i="6"/>
  <c r="G824" i="6"/>
  <c r="C824" i="6"/>
  <c r="G823" i="6"/>
  <c r="C823" i="6"/>
  <c r="G822" i="6"/>
  <c r="C822" i="6"/>
  <c r="G821" i="6"/>
  <c r="C821" i="6"/>
  <c r="G820" i="6"/>
  <c r="C820" i="6"/>
  <c r="G819" i="6"/>
  <c r="C819" i="6"/>
  <c r="G818" i="6"/>
  <c r="C818" i="6"/>
  <c r="G817" i="6"/>
  <c r="C817" i="6"/>
  <c r="G816" i="6"/>
  <c r="C816" i="6"/>
  <c r="G815" i="6"/>
  <c r="C815" i="6"/>
  <c r="G814" i="6"/>
  <c r="C814" i="6"/>
  <c r="G813" i="6"/>
  <c r="C813" i="6"/>
  <c r="G812" i="6"/>
  <c r="C812" i="6"/>
  <c r="G811" i="6"/>
  <c r="C811" i="6"/>
  <c r="G810" i="6"/>
  <c r="C810" i="6"/>
  <c r="G809" i="6"/>
  <c r="C809" i="6"/>
  <c r="G808" i="6"/>
  <c r="C808" i="6"/>
  <c r="G807" i="6"/>
  <c r="C807" i="6"/>
  <c r="G806" i="6"/>
  <c r="C806" i="6"/>
  <c r="G805" i="6"/>
  <c r="C805" i="6"/>
  <c r="G804" i="6"/>
  <c r="C804" i="6"/>
  <c r="G803" i="6"/>
  <c r="C803" i="6"/>
  <c r="G802" i="6"/>
  <c r="C802" i="6"/>
  <c r="G801" i="6"/>
  <c r="C801" i="6"/>
  <c r="G800" i="6"/>
  <c r="C800" i="6"/>
  <c r="G799" i="6"/>
  <c r="C799" i="6"/>
  <c r="G798" i="6"/>
  <c r="C798" i="6"/>
  <c r="G797" i="6"/>
  <c r="C797" i="6"/>
  <c r="G796" i="6"/>
  <c r="C796" i="6"/>
  <c r="G795" i="6"/>
  <c r="C795" i="6"/>
  <c r="G794" i="6"/>
  <c r="C794" i="6"/>
  <c r="G793" i="6"/>
  <c r="C793" i="6"/>
  <c r="G792" i="6"/>
  <c r="C792" i="6"/>
  <c r="G791" i="6"/>
  <c r="C791" i="6"/>
  <c r="G790" i="6"/>
  <c r="C790" i="6"/>
  <c r="G789" i="6"/>
  <c r="C789" i="6"/>
  <c r="G788" i="6"/>
  <c r="C788" i="6"/>
  <c r="G787" i="6"/>
  <c r="C787" i="6"/>
  <c r="G786" i="6"/>
  <c r="C786" i="6"/>
  <c r="G785" i="6"/>
  <c r="C785" i="6"/>
  <c r="G784" i="6"/>
  <c r="C784" i="6"/>
  <c r="G783" i="6"/>
  <c r="C783" i="6"/>
  <c r="G782" i="6"/>
  <c r="C782" i="6"/>
  <c r="G781" i="6"/>
  <c r="C781" i="6"/>
  <c r="G780" i="6"/>
  <c r="C780" i="6"/>
  <c r="G779" i="6"/>
  <c r="C779" i="6"/>
  <c r="G778" i="6"/>
  <c r="C778" i="6"/>
  <c r="G777" i="6"/>
  <c r="C777" i="6"/>
  <c r="G776" i="6"/>
  <c r="C776" i="6"/>
  <c r="G775" i="6"/>
  <c r="C775" i="6"/>
  <c r="G774" i="6"/>
  <c r="C774" i="6"/>
  <c r="G773" i="6"/>
  <c r="C773" i="6"/>
  <c r="G772" i="6"/>
  <c r="C772" i="6"/>
  <c r="G771" i="6"/>
  <c r="C771" i="6"/>
  <c r="G770" i="6"/>
  <c r="C770" i="6"/>
  <c r="G769" i="6"/>
  <c r="C769" i="6"/>
  <c r="G768" i="6"/>
  <c r="C768" i="6"/>
  <c r="G767" i="6"/>
  <c r="C767" i="6"/>
  <c r="G766" i="6"/>
  <c r="C766" i="6"/>
  <c r="G765" i="6"/>
  <c r="C765" i="6"/>
  <c r="G764" i="6"/>
  <c r="C764" i="6"/>
  <c r="G763" i="6"/>
  <c r="C763" i="6"/>
  <c r="G762" i="6"/>
  <c r="C762" i="6"/>
  <c r="G761" i="6"/>
  <c r="C761" i="6"/>
  <c r="G760" i="6"/>
  <c r="C760" i="6"/>
  <c r="G759" i="6"/>
  <c r="C759" i="6"/>
  <c r="G758" i="6"/>
  <c r="C758" i="6"/>
  <c r="G757" i="6"/>
  <c r="C757" i="6"/>
  <c r="G756" i="6"/>
  <c r="C756" i="6"/>
  <c r="G755" i="6"/>
  <c r="C755" i="6"/>
  <c r="G754" i="6"/>
  <c r="C754" i="6"/>
  <c r="G753" i="6"/>
  <c r="C753" i="6"/>
  <c r="G752" i="6"/>
  <c r="C752" i="6"/>
  <c r="G751" i="6"/>
  <c r="C751" i="6"/>
  <c r="G750" i="6"/>
  <c r="C750" i="6"/>
  <c r="G749" i="6"/>
  <c r="C749" i="6"/>
  <c r="G748" i="6"/>
  <c r="C748" i="6"/>
  <c r="G747" i="6"/>
  <c r="C747" i="6"/>
  <c r="G746" i="6"/>
  <c r="C746" i="6"/>
  <c r="G745" i="6"/>
  <c r="C745" i="6"/>
  <c r="G744" i="6"/>
  <c r="C744" i="6"/>
  <c r="G743" i="6"/>
  <c r="C743" i="6"/>
  <c r="G742" i="6"/>
  <c r="C742" i="6"/>
  <c r="G741" i="6"/>
  <c r="C741" i="6"/>
  <c r="G740" i="6"/>
  <c r="C740" i="6"/>
  <c r="G739" i="6"/>
  <c r="C739" i="6"/>
  <c r="G738" i="6"/>
  <c r="C738" i="6"/>
  <c r="G737" i="6"/>
  <c r="C737" i="6"/>
  <c r="G736" i="6"/>
  <c r="C736" i="6"/>
  <c r="G735" i="6"/>
  <c r="C735" i="6"/>
  <c r="G734" i="6"/>
  <c r="C734" i="6"/>
  <c r="G733" i="6"/>
  <c r="C733" i="6"/>
  <c r="G732" i="6"/>
  <c r="C732" i="6"/>
  <c r="G731" i="6"/>
  <c r="C731" i="6"/>
  <c r="G730" i="6"/>
  <c r="C730" i="6"/>
  <c r="G729" i="6"/>
  <c r="C729" i="6"/>
  <c r="G728" i="6"/>
  <c r="C728" i="6"/>
  <c r="G727" i="6"/>
  <c r="C727" i="6"/>
  <c r="G726" i="6"/>
  <c r="C726" i="6"/>
  <c r="G725" i="6"/>
  <c r="C725" i="6"/>
  <c r="G724" i="6"/>
  <c r="C724" i="6"/>
  <c r="G723" i="6"/>
  <c r="C723" i="6"/>
  <c r="G722" i="6"/>
  <c r="C722" i="6"/>
  <c r="G721" i="6"/>
  <c r="C721" i="6"/>
  <c r="G720" i="6"/>
  <c r="C720" i="6"/>
  <c r="G719" i="6"/>
  <c r="C719" i="6"/>
  <c r="G718" i="6"/>
  <c r="C718" i="6"/>
  <c r="G717" i="6"/>
  <c r="C717" i="6"/>
  <c r="G716" i="6"/>
  <c r="C716" i="6"/>
  <c r="G715" i="6"/>
  <c r="C715" i="6"/>
  <c r="G714" i="6"/>
  <c r="C714" i="6"/>
  <c r="G713" i="6"/>
  <c r="C713" i="6"/>
  <c r="G712" i="6"/>
  <c r="C712" i="6"/>
  <c r="G711" i="6"/>
  <c r="C711" i="6"/>
  <c r="G710" i="6"/>
  <c r="C710" i="6"/>
  <c r="G709" i="6"/>
  <c r="C709" i="6"/>
  <c r="G708" i="6"/>
  <c r="C708" i="6"/>
  <c r="G707" i="6"/>
  <c r="C707" i="6"/>
  <c r="G706" i="6"/>
  <c r="C706" i="6"/>
  <c r="G705" i="6"/>
  <c r="C705" i="6"/>
  <c r="G704" i="6"/>
  <c r="C704" i="6"/>
  <c r="G703" i="6"/>
  <c r="C703" i="6"/>
  <c r="G702" i="6"/>
  <c r="C702" i="6"/>
  <c r="G701" i="6"/>
  <c r="C701" i="6"/>
  <c r="G700" i="6"/>
  <c r="C700" i="6"/>
  <c r="G699" i="6"/>
  <c r="C699" i="6"/>
  <c r="G698" i="6"/>
  <c r="C698" i="6"/>
  <c r="G697" i="6"/>
  <c r="C697" i="6"/>
  <c r="G696" i="6"/>
  <c r="C696" i="6"/>
  <c r="G695" i="6"/>
  <c r="C695" i="6"/>
  <c r="G694" i="6"/>
  <c r="C694" i="6"/>
  <c r="G693" i="6"/>
  <c r="C693" i="6"/>
  <c r="G692" i="6"/>
  <c r="C692" i="6"/>
  <c r="G691" i="6"/>
  <c r="C691" i="6"/>
  <c r="G690" i="6"/>
  <c r="C690" i="6"/>
  <c r="G689" i="6"/>
  <c r="C689" i="6"/>
  <c r="G688" i="6"/>
  <c r="C688" i="6"/>
  <c r="G687" i="6"/>
  <c r="C687" i="6"/>
  <c r="G686" i="6"/>
  <c r="C686" i="6"/>
  <c r="G685" i="6"/>
  <c r="C685" i="6"/>
  <c r="G684" i="6"/>
  <c r="C684" i="6"/>
  <c r="G683" i="6"/>
  <c r="C683" i="6"/>
  <c r="G682" i="6"/>
  <c r="C682" i="6"/>
  <c r="G681" i="6"/>
  <c r="C681" i="6"/>
  <c r="G680" i="6"/>
  <c r="C680" i="6"/>
  <c r="G679" i="6"/>
  <c r="C679" i="6"/>
  <c r="G678" i="6"/>
  <c r="C678" i="6"/>
  <c r="G677" i="6"/>
  <c r="C677" i="6"/>
  <c r="G676" i="6"/>
  <c r="C676" i="6"/>
  <c r="G675" i="6"/>
  <c r="C675" i="6"/>
  <c r="G674" i="6"/>
  <c r="C674" i="6"/>
  <c r="G673" i="6"/>
  <c r="C673" i="6"/>
  <c r="G672" i="6"/>
  <c r="C672" i="6"/>
  <c r="G671" i="6"/>
  <c r="C671" i="6"/>
  <c r="G670" i="6"/>
  <c r="C670" i="6"/>
  <c r="G669" i="6"/>
  <c r="C669" i="6"/>
  <c r="G668" i="6"/>
  <c r="C668" i="6"/>
  <c r="G667" i="6"/>
  <c r="C667" i="6"/>
  <c r="G666" i="6"/>
  <c r="C666" i="6"/>
  <c r="G665" i="6"/>
  <c r="C665" i="6"/>
  <c r="G664" i="6"/>
  <c r="C664" i="6"/>
  <c r="G663" i="6"/>
  <c r="C663" i="6"/>
  <c r="G662" i="6"/>
  <c r="C662" i="6"/>
  <c r="G661" i="6"/>
  <c r="C661" i="6"/>
  <c r="G660" i="6"/>
  <c r="C660" i="6"/>
  <c r="G659" i="6"/>
  <c r="C659" i="6"/>
  <c r="G658" i="6"/>
  <c r="C658" i="6"/>
  <c r="G657" i="6"/>
  <c r="C657" i="6"/>
  <c r="G656" i="6"/>
  <c r="C656" i="6"/>
  <c r="G655" i="6"/>
  <c r="C655" i="6"/>
  <c r="G654" i="6"/>
  <c r="C654" i="6"/>
  <c r="G653" i="6"/>
  <c r="C653" i="6"/>
  <c r="G652" i="6"/>
  <c r="C652" i="6"/>
  <c r="G651" i="6"/>
  <c r="C651" i="6"/>
  <c r="G650" i="6"/>
  <c r="C650" i="6"/>
  <c r="G649" i="6"/>
  <c r="C649" i="6"/>
  <c r="G648" i="6"/>
  <c r="C648" i="6"/>
  <c r="G647" i="6"/>
  <c r="C647" i="6"/>
  <c r="G646" i="6"/>
  <c r="C646" i="6"/>
  <c r="G645" i="6"/>
  <c r="C645" i="6"/>
  <c r="G644" i="6"/>
  <c r="C644" i="6"/>
  <c r="G643" i="6"/>
  <c r="C643" i="6"/>
  <c r="G642" i="6"/>
  <c r="C642" i="6"/>
  <c r="G641" i="6"/>
  <c r="C641" i="6"/>
  <c r="G640" i="6"/>
  <c r="C640" i="6"/>
  <c r="G639" i="6"/>
  <c r="C639" i="6"/>
  <c r="G638" i="6"/>
  <c r="C638" i="6"/>
  <c r="G637" i="6"/>
  <c r="C637" i="6"/>
  <c r="G636" i="6"/>
  <c r="C636" i="6"/>
  <c r="G635" i="6"/>
  <c r="C635" i="6"/>
  <c r="G634" i="6"/>
  <c r="C634" i="6"/>
  <c r="G633" i="6"/>
  <c r="C633" i="6"/>
  <c r="G632" i="6"/>
  <c r="C632" i="6"/>
  <c r="G631" i="6"/>
  <c r="C631" i="6"/>
  <c r="G630" i="6"/>
  <c r="C630" i="6"/>
  <c r="G629" i="6"/>
  <c r="C629" i="6"/>
  <c r="G628" i="6"/>
  <c r="C628" i="6"/>
  <c r="G627" i="6"/>
  <c r="C627" i="6"/>
  <c r="G626" i="6"/>
  <c r="C626" i="6"/>
  <c r="G625" i="6"/>
  <c r="C625" i="6"/>
  <c r="G624" i="6"/>
  <c r="C624" i="6"/>
  <c r="G623" i="6"/>
  <c r="C623" i="6"/>
  <c r="G622" i="6"/>
  <c r="C622" i="6"/>
  <c r="G621" i="6"/>
  <c r="C621" i="6"/>
  <c r="G620" i="6"/>
  <c r="C620" i="6"/>
  <c r="G619" i="6"/>
  <c r="C619" i="6"/>
  <c r="G618" i="6"/>
  <c r="C618" i="6"/>
  <c r="G617" i="6"/>
  <c r="C617" i="6"/>
  <c r="G616" i="6"/>
  <c r="C616" i="6"/>
  <c r="G615" i="6"/>
  <c r="C615" i="6"/>
  <c r="G614" i="6"/>
  <c r="C614" i="6"/>
  <c r="G613" i="6"/>
  <c r="C613" i="6"/>
  <c r="G612" i="6"/>
  <c r="C612" i="6"/>
  <c r="G611" i="6"/>
  <c r="C611" i="6"/>
  <c r="G610" i="6"/>
  <c r="C610" i="6"/>
  <c r="G609" i="6"/>
  <c r="C609" i="6"/>
  <c r="G608" i="6"/>
  <c r="C608" i="6"/>
  <c r="G607" i="6"/>
  <c r="C607" i="6"/>
  <c r="G606" i="6"/>
  <c r="C606" i="6"/>
  <c r="G605" i="6"/>
  <c r="C605" i="6"/>
  <c r="G604" i="6"/>
  <c r="C604" i="6"/>
  <c r="G603" i="6"/>
  <c r="C603" i="6"/>
  <c r="G602" i="6"/>
  <c r="C602" i="6"/>
  <c r="G601" i="6"/>
  <c r="C601" i="6"/>
  <c r="G600" i="6"/>
  <c r="C600" i="6"/>
  <c r="G599" i="6"/>
  <c r="C599" i="6"/>
  <c r="G598" i="6"/>
  <c r="C598" i="6"/>
  <c r="G597" i="6"/>
  <c r="C597" i="6"/>
  <c r="G596" i="6"/>
  <c r="C596" i="6"/>
  <c r="G595" i="6"/>
  <c r="C595" i="6"/>
  <c r="G594" i="6"/>
  <c r="C594" i="6"/>
  <c r="G593" i="6"/>
  <c r="C593" i="6"/>
  <c r="G592" i="6"/>
  <c r="C592" i="6"/>
  <c r="G591" i="6"/>
  <c r="C591" i="6"/>
  <c r="G590" i="6"/>
  <c r="C590" i="6"/>
  <c r="G589" i="6"/>
  <c r="C589" i="6"/>
  <c r="G588" i="6"/>
  <c r="C588" i="6"/>
  <c r="G587" i="6"/>
  <c r="C587" i="6"/>
  <c r="G586" i="6"/>
  <c r="C586" i="6"/>
  <c r="G585" i="6"/>
  <c r="C585" i="6"/>
  <c r="G584" i="6"/>
  <c r="C584" i="6"/>
  <c r="G583" i="6"/>
  <c r="C583" i="6"/>
  <c r="G582" i="6"/>
  <c r="C582" i="6"/>
  <c r="G581" i="6"/>
  <c r="C581" i="6"/>
  <c r="G580" i="6"/>
  <c r="C580" i="6"/>
  <c r="G579" i="6"/>
  <c r="C579" i="6"/>
  <c r="G578" i="6"/>
  <c r="C578" i="6"/>
  <c r="G577" i="6"/>
  <c r="C577" i="6"/>
  <c r="G576" i="6"/>
  <c r="C576" i="6"/>
  <c r="G575" i="6"/>
  <c r="C575" i="6"/>
  <c r="G574" i="6"/>
  <c r="C574" i="6"/>
  <c r="G573" i="6"/>
  <c r="C573" i="6"/>
  <c r="G572" i="6"/>
  <c r="C572" i="6"/>
  <c r="G571" i="6"/>
  <c r="C571" i="6"/>
  <c r="G570" i="6"/>
  <c r="C570" i="6"/>
  <c r="G569" i="6"/>
  <c r="C569" i="6"/>
  <c r="G568" i="6"/>
  <c r="C568" i="6"/>
  <c r="G567" i="6"/>
  <c r="C567" i="6"/>
  <c r="G566" i="6"/>
  <c r="C566" i="6"/>
  <c r="G565" i="6"/>
  <c r="C565" i="6"/>
  <c r="G564" i="6"/>
  <c r="C564" i="6"/>
  <c r="G563" i="6"/>
  <c r="C563" i="6"/>
  <c r="G562" i="6"/>
  <c r="C562" i="6"/>
  <c r="G561" i="6"/>
  <c r="C561" i="6"/>
  <c r="G560" i="6"/>
  <c r="C560" i="6"/>
  <c r="G559" i="6"/>
  <c r="C559" i="6"/>
  <c r="G558" i="6"/>
  <c r="C558" i="6"/>
  <c r="G557" i="6"/>
  <c r="C557" i="6"/>
  <c r="G556" i="6"/>
  <c r="C556" i="6"/>
  <c r="G555" i="6"/>
  <c r="C555" i="6"/>
  <c r="G554" i="6"/>
  <c r="C554" i="6"/>
  <c r="G553" i="6"/>
  <c r="C553" i="6"/>
  <c r="G552" i="6"/>
  <c r="C552" i="6"/>
  <c r="G551" i="6"/>
  <c r="C551" i="6"/>
  <c r="G550" i="6"/>
  <c r="C550" i="6"/>
  <c r="G549" i="6"/>
  <c r="C549" i="6"/>
  <c r="G548" i="6"/>
  <c r="C548" i="6"/>
  <c r="G547" i="6"/>
  <c r="C547" i="6"/>
  <c r="G546" i="6"/>
  <c r="C546" i="6"/>
  <c r="G545" i="6"/>
  <c r="C545" i="6"/>
  <c r="G544" i="6"/>
  <c r="C544" i="6"/>
  <c r="G543" i="6"/>
  <c r="C543" i="6"/>
  <c r="G542" i="6"/>
  <c r="C542" i="6"/>
  <c r="G541" i="6"/>
  <c r="C541" i="6"/>
  <c r="G540" i="6"/>
  <c r="C540" i="6"/>
  <c r="G539" i="6"/>
  <c r="C539" i="6"/>
  <c r="G538" i="6"/>
  <c r="C538" i="6"/>
  <c r="G537" i="6"/>
  <c r="C537" i="6"/>
  <c r="G536" i="6"/>
  <c r="C536" i="6"/>
  <c r="G535" i="6"/>
  <c r="C535" i="6"/>
  <c r="G534" i="6"/>
  <c r="C534" i="6"/>
  <c r="G533" i="6"/>
  <c r="C533" i="6"/>
  <c r="G532" i="6"/>
  <c r="C532" i="6"/>
  <c r="G531" i="6"/>
  <c r="C531" i="6"/>
  <c r="G530" i="6"/>
  <c r="C530" i="6"/>
  <c r="G529" i="6"/>
  <c r="C529" i="6"/>
  <c r="G528" i="6"/>
  <c r="C528" i="6"/>
  <c r="G527" i="6"/>
  <c r="C527" i="6"/>
  <c r="G526" i="6"/>
  <c r="C526" i="6"/>
  <c r="G525" i="6"/>
  <c r="C525" i="6"/>
  <c r="G524" i="6"/>
  <c r="C524" i="6"/>
  <c r="G523" i="6"/>
  <c r="C523" i="6"/>
  <c r="G522" i="6"/>
  <c r="C522" i="6"/>
  <c r="G521" i="6"/>
  <c r="C521" i="6"/>
  <c r="G520" i="6"/>
  <c r="C520" i="6"/>
  <c r="G519" i="6"/>
  <c r="C519" i="6"/>
  <c r="G518" i="6"/>
  <c r="C518" i="6"/>
  <c r="G517" i="6"/>
  <c r="C517" i="6"/>
  <c r="G516" i="6"/>
  <c r="C516" i="6"/>
  <c r="G515" i="6"/>
  <c r="C515" i="6"/>
  <c r="G514" i="6"/>
  <c r="C514" i="6"/>
  <c r="G513" i="6"/>
  <c r="C513" i="6"/>
  <c r="G512" i="6"/>
  <c r="C512" i="6"/>
  <c r="G511" i="6"/>
  <c r="C511" i="6"/>
  <c r="G510" i="6"/>
  <c r="C510" i="6"/>
  <c r="G509" i="6"/>
  <c r="C509" i="6"/>
  <c r="G508" i="6"/>
  <c r="C508" i="6"/>
  <c r="G507" i="6"/>
  <c r="C507" i="6"/>
  <c r="G506" i="6"/>
  <c r="C506" i="6"/>
  <c r="G505" i="6"/>
  <c r="C505" i="6"/>
  <c r="G504" i="6"/>
  <c r="C504" i="6"/>
  <c r="G503" i="6"/>
  <c r="C503" i="6"/>
  <c r="G502" i="6"/>
  <c r="C502" i="6"/>
  <c r="G501" i="6"/>
  <c r="C501" i="6"/>
  <c r="G500" i="6"/>
  <c r="C500" i="6"/>
  <c r="G499" i="6"/>
  <c r="C499" i="6"/>
  <c r="G498" i="6"/>
  <c r="C498" i="6"/>
  <c r="G497" i="6"/>
  <c r="C497" i="6"/>
  <c r="G496" i="6"/>
  <c r="C496" i="6"/>
  <c r="G495" i="6"/>
  <c r="C495" i="6"/>
  <c r="G494" i="6"/>
  <c r="C494" i="6"/>
  <c r="G493" i="6"/>
  <c r="C493" i="6"/>
  <c r="G492" i="6"/>
  <c r="C492" i="6"/>
  <c r="G491" i="6"/>
  <c r="C491" i="6"/>
  <c r="G490" i="6"/>
  <c r="C490" i="6"/>
  <c r="G489" i="6"/>
  <c r="C489" i="6"/>
  <c r="G488" i="6"/>
  <c r="C488" i="6"/>
  <c r="G487" i="6"/>
  <c r="C487" i="6"/>
  <c r="G486" i="6"/>
  <c r="C486" i="6"/>
  <c r="G485" i="6"/>
  <c r="C485" i="6"/>
  <c r="G484" i="6"/>
  <c r="C484" i="6"/>
  <c r="G483" i="6"/>
  <c r="C483" i="6"/>
  <c r="G482" i="6"/>
  <c r="C482" i="6"/>
  <c r="G481" i="6"/>
  <c r="C481" i="6"/>
  <c r="G480" i="6"/>
  <c r="C480" i="6"/>
  <c r="G479" i="6"/>
  <c r="C479" i="6"/>
  <c r="G478" i="6"/>
  <c r="C478" i="6"/>
  <c r="G477" i="6"/>
  <c r="C477" i="6"/>
  <c r="G476" i="6"/>
  <c r="C476" i="6"/>
  <c r="G475" i="6"/>
  <c r="C475" i="6"/>
  <c r="G474" i="6"/>
  <c r="C474" i="6"/>
  <c r="G473" i="6"/>
  <c r="C473" i="6"/>
  <c r="G472" i="6"/>
  <c r="C472" i="6"/>
  <c r="G471" i="6"/>
  <c r="C471" i="6"/>
  <c r="G470" i="6"/>
  <c r="C470" i="6"/>
  <c r="G469" i="6"/>
  <c r="C469" i="6"/>
  <c r="G468" i="6"/>
  <c r="C468" i="6"/>
  <c r="G467" i="6"/>
  <c r="C467" i="6"/>
  <c r="G466" i="6"/>
  <c r="C466" i="6"/>
  <c r="G465" i="6"/>
  <c r="C465" i="6"/>
  <c r="G464" i="6"/>
  <c r="C464" i="6"/>
  <c r="G463" i="6"/>
  <c r="C463" i="6"/>
  <c r="G462" i="6"/>
  <c r="C462" i="6"/>
  <c r="G461" i="6"/>
  <c r="C461" i="6"/>
  <c r="G460" i="6"/>
  <c r="C460" i="6"/>
  <c r="G459" i="6"/>
  <c r="C459" i="6"/>
  <c r="G458" i="6"/>
  <c r="C458" i="6"/>
  <c r="G457" i="6"/>
  <c r="C457" i="6"/>
  <c r="G456" i="6"/>
  <c r="C456" i="6"/>
  <c r="G455" i="6"/>
  <c r="C455" i="6"/>
  <c r="G454" i="6"/>
  <c r="C454" i="6"/>
  <c r="G453" i="6"/>
  <c r="C453" i="6"/>
  <c r="G452" i="6"/>
  <c r="C452" i="6"/>
  <c r="G451" i="6"/>
  <c r="C451" i="6"/>
  <c r="G450" i="6"/>
  <c r="C450" i="6"/>
  <c r="G449" i="6"/>
  <c r="C449" i="6"/>
  <c r="G448" i="6"/>
  <c r="C448" i="6"/>
  <c r="G447" i="6"/>
  <c r="C447" i="6"/>
  <c r="G446" i="6"/>
  <c r="C446" i="6"/>
  <c r="G445" i="6"/>
  <c r="C445" i="6"/>
  <c r="G444" i="6"/>
  <c r="C444" i="6"/>
  <c r="G443" i="6"/>
  <c r="C443" i="6"/>
  <c r="G442" i="6"/>
  <c r="C442" i="6"/>
  <c r="G441" i="6"/>
  <c r="C441" i="6"/>
  <c r="G440" i="6"/>
  <c r="C440" i="6"/>
  <c r="G439" i="6"/>
  <c r="C439" i="6"/>
  <c r="G438" i="6"/>
  <c r="C438" i="6"/>
  <c r="G437" i="6"/>
  <c r="C437" i="6"/>
  <c r="G436" i="6"/>
  <c r="C436" i="6"/>
  <c r="G435" i="6"/>
  <c r="C435" i="6"/>
  <c r="G434" i="6"/>
  <c r="C434" i="6"/>
  <c r="G433" i="6"/>
  <c r="C433" i="6"/>
  <c r="G432" i="6"/>
  <c r="C432" i="6"/>
  <c r="G431" i="6"/>
  <c r="C431" i="6"/>
  <c r="G430" i="6"/>
  <c r="C430" i="6"/>
  <c r="G429" i="6"/>
  <c r="C429" i="6"/>
  <c r="G428" i="6"/>
  <c r="C428" i="6"/>
  <c r="G427" i="6"/>
  <c r="C427" i="6"/>
  <c r="G426" i="6"/>
  <c r="C426" i="6"/>
  <c r="G425" i="6"/>
  <c r="C425" i="6"/>
  <c r="G424" i="6"/>
  <c r="C424" i="6"/>
  <c r="G423" i="6"/>
  <c r="C423" i="6"/>
  <c r="G422" i="6"/>
  <c r="C422" i="6"/>
  <c r="G421" i="6"/>
  <c r="C421" i="6"/>
  <c r="G420" i="6"/>
  <c r="C420" i="6"/>
  <c r="G419" i="6"/>
  <c r="C419" i="6"/>
  <c r="G418" i="6"/>
  <c r="C418" i="6"/>
  <c r="G417" i="6"/>
  <c r="C417" i="6"/>
  <c r="G416" i="6"/>
  <c r="C416" i="6"/>
  <c r="G415" i="6"/>
  <c r="C415" i="6"/>
  <c r="G414" i="6"/>
  <c r="C414" i="6"/>
  <c r="G413" i="6"/>
  <c r="C413" i="6"/>
  <c r="G412" i="6"/>
  <c r="C412" i="6"/>
  <c r="G411" i="6"/>
  <c r="C411" i="6"/>
  <c r="G410" i="6"/>
  <c r="C410" i="6"/>
  <c r="G409" i="6"/>
  <c r="C409" i="6"/>
  <c r="G408" i="6"/>
  <c r="C408" i="6"/>
  <c r="G407" i="6"/>
  <c r="C407" i="6"/>
  <c r="G406" i="6"/>
  <c r="C406" i="6"/>
  <c r="G405" i="6"/>
  <c r="C405" i="6"/>
  <c r="G404" i="6"/>
  <c r="C404" i="6"/>
  <c r="G403" i="6"/>
  <c r="C403" i="6"/>
  <c r="G402" i="6"/>
  <c r="C402" i="6"/>
  <c r="G401" i="6"/>
  <c r="C401" i="6"/>
  <c r="G400" i="6"/>
  <c r="C400" i="6"/>
  <c r="G399" i="6"/>
  <c r="C399" i="6"/>
  <c r="G398" i="6"/>
  <c r="C398" i="6"/>
  <c r="G397" i="6"/>
  <c r="C397" i="6"/>
  <c r="G396" i="6"/>
  <c r="C396" i="6"/>
  <c r="G395" i="6"/>
  <c r="C395" i="6"/>
  <c r="G394" i="6"/>
  <c r="C394" i="6"/>
  <c r="G393" i="6"/>
  <c r="C393" i="6"/>
  <c r="G392" i="6"/>
  <c r="C392" i="6"/>
  <c r="G391" i="6"/>
  <c r="C391" i="6"/>
  <c r="G390" i="6"/>
  <c r="C390" i="6"/>
  <c r="G389" i="6"/>
  <c r="C389" i="6"/>
  <c r="G388" i="6"/>
  <c r="C388" i="6"/>
  <c r="G387" i="6"/>
  <c r="C387" i="6"/>
  <c r="G386" i="6"/>
  <c r="C386" i="6"/>
  <c r="G385" i="6"/>
  <c r="C385" i="6"/>
  <c r="G384" i="6"/>
  <c r="C384" i="6"/>
  <c r="G383" i="6"/>
  <c r="C383" i="6"/>
  <c r="G382" i="6"/>
  <c r="C382" i="6"/>
  <c r="G381" i="6"/>
  <c r="C381" i="6"/>
  <c r="G380" i="6"/>
  <c r="C380" i="6"/>
  <c r="G379" i="6"/>
  <c r="C379" i="6"/>
  <c r="G378" i="6"/>
  <c r="C378" i="6"/>
  <c r="G377" i="6"/>
  <c r="C377" i="6"/>
  <c r="G376" i="6"/>
  <c r="C376" i="6"/>
  <c r="G375" i="6"/>
  <c r="C375" i="6"/>
  <c r="G374" i="6"/>
  <c r="C374" i="6"/>
  <c r="G373" i="6"/>
  <c r="C373" i="6"/>
  <c r="G372" i="6"/>
  <c r="C372" i="6"/>
  <c r="G371" i="6"/>
  <c r="C371" i="6"/>
  <c r="G370" i="6"/>
  <c r="C370" i="6"/>
  <c r="G369" i="6"/>
  <c r="C369" i="6"/>
  <c r="G368" i="6"/>
  <c r="C368" i="6"/>
  <c r="G367" i="6"/>
  <c r="C367" i="6"/>
  <c r="G366" i="6"/>
  <c r="C366" i="6"/>
  <c r="G365" i="6"/>
  <c r="C365" i="6"/>
  <c r="G364" i="6"/>
  <c r="C364" i="6"/>
  <c r="G363" i="6"/>
  <c r="C363" i="6"/>
  <c r="G362" i="6"/>
  <c r="C362" i="6"/>
  <c r="G361" i="6"/>
  <c r="C361" i="6"/>
  <c r="G360" i="6"/>
  <c r="C360" i="6"/>
  <c r="G359" i="6"/>
  <c r="C359" i="6"/>
  <c r="G358" i="6"/>
  <c r="C358" i="6"/>
  <c r="G357" i="6"/>
  <c r="C357" i="6"/>
  <c r="G356" i="6"/>
  <c r="C356" i="6"/>
  <c r="G355" i="6"/>
  <c r="C355" i="6"/>
  <c r="G354" i="6"/>
  <c r="C354" i="6"/>
  <c r="G353" i="6"/>
  <c r="C353" i="6"/>
  <c r="G352" i="6"/>
  <c r="C352" i="6"/>
  <c r="G351" i="6"/>
  <c r="C351" i="6"/>
  <c r="G350" i="6"/>
  <c r="C350" i="6"/>
  <c r="G349" i="6"/>
  <c r="C349" i="6"/>
  <c r="G348" i="6"/>
  <c r="C348" i="6"/>
  <c r="G347" i="6"/>
  <c r="C347" i="6"/>
  <c r="G346" i="6"/>
  <c r="C346" i="6"/>
  <c r="G345" i="6"/>
  <c r="C345" i="6"/>
  <c r="G344" i="6"/>
  <c r="C344" i="6"/>
  <c r="G343" i="6"/>
  <c r="C343" i="6"/>
  <c r="G342" i="6"/>
  <c r="C342" i="6"/>
  <c r="G341" i="6"/>
  <c r="C341" i="6"/>
  <c r="G340" i="6"/>
  <c r="C340" i="6"/>
  <c r="G339" i="6"/>
  <c r="C339" i="6"/>
  <c r="G338" i="6"/>
  <c r="C338" i="6"/>
  <c r="G337" i="6"/>
  <c r="C337" i="6"/>
  <c r="G336" i="6"/>
  <c r="C336" i="6"/>
  <c r="G335" i="6"/>
  <c r="C335" i="6"/>
  <c r="G334" i="6"/>
  <c r="C334" i="6"/>
  <c r="G333" i="6"/>
  <c r="C333" i="6"/>
  <c r="G332" i="6"/>
  <c r="C332" i="6"/>
  <c r="G331" i="6"/>
  <c r="C331" i="6"/>
  <c r="G330" i="6"/>
  <c r="C330" i="6"/>
  <c r="G329" i="6"/>
  <c r="C329" i="6"/>
  <c r="G328" i="6"/>
  <c r="C328" i="6"/>
  <c r="G327" i="6"/>
  <c r="C327" i="6"/>
  <c r="G326" i="6"/>
  <c r="C326" i="6"/>
  <c r="G325" i="6"/>
  <c r="C325" i="6"/>
  <c r="G324" i="6"/>
  <c r="C324" i="6"/>
  <c r="G323" i="6"/>
  <c r="C323" i="6"/>
  <c r="G322" i="6"/>
  <c r="C322" i="6"/>
  <c r="G321" i="6"/>
  <c r="C321" i="6"/>
  <c r="G320" i="6"/>
  <c r="C320" i="6"/>
  <c r="G319" i="6"/>
  <c r="C319" i="6"/>
  <c r="G318" i="6"/>
  <c r="C318" i="6"/>
  <c r="G317" i="6"/>
  <c r="C317" i="6"/>
  <c r="G316" i="6"/>
  <c r="C316" i="6"/>
  <c r="G315" i="6"/>
  <c r="C315" i="6"/>
  <c r="G314" i="6"/>
  <c r="C314" i="6"/>
  <c r="G313" i="6"/>
  <c r="C313" i="6"/>
  <c r="G312" i="6"/>
  <c r="C312" i="6"/>
  <c r="G311" i="6"/>
  <c r="C311" i="6"/>
  <c r="G310" i="6"/>
  <c r="C310" i="6"/>
  <c r="G309" i="6"/>
  <c r="C309" i="6"/>
  <c r="G308" i="6"/>
  <c r="C308" i="6"/>
  <c r="G307" i="6"/>
  <c r="C307" i="6"/>
  <c r="G306" i="6"/>
  <c r="C306" i="6"/>
  <c r="G305" i="6"/>
  <c r="C305" i="6"/>
  <c r="G304" i="6"/>
  <c r="C304" i="6"/>
  <c r="G303" i="6"/>
  <c r="C303" i="6"/>
  <c r="G302" i="6"/>
  <c r="C302" i="6"/>
  <c r="G301" i="6"/>
  <c r="C301" i="6"/>
  <c r="G300" i="6"/>
  <c r="C300" i="6"/>
  <c r="G299" i="6"/>
  <c r="C299" i="6"/>
  <c r="G298" i="6"/>
  <c r="C298" i="6"/>
  <c r="G297" i="6"/>
  <c r="C297" i="6"/>
  <c r="G296" i="6"/>
  <c r="C296" i="6"/>
  <c r="G295" i="6"/>
  <c r="C295" i="6"/>
  <c r="G294" i="6"/>
  <c r="C294" i="6"/>
  <c r="G293" i="6"/>
  <c r="C293" i="6"/>
  <c r="G292" i="6"/>
  <c r="C292" i="6"/>
  <c r="G291" i="6"/>
  <c r="C291" i="6"/>
  <c r="G290" i="6"/>
  <c r="C290" i="6"/>
  <c r="G289" i="6"/>
  <c r="C289" i="6"/>
  <c r="G288" i="6"/>
  <c r="C288" i="6"/>
  <c r="G287" i="6"/>
  <c r="C287" i="6"/>
  <c r="G286" i="6"/>
  <c r="C286" i="6"/>
  <c r="G285" i="6"/>
  <c r="C285" i="6"/>
  <c r="G284" i="6"/>
  <c r="C284" i="6"/>
  <c r="G283" i="6"/>
  <c r="C283" i="6"/>
  <c r="G282" i="6"/>
  <c r="C282" i="6"/>
  <c r="G281" i="6"/>
  <c r="C281" i="6"/>
  <c r="G280" i="6"/>
  <c r="C280" i="6"/>
  <c r="G279" i="6"/>
  <c r="C279" i="6"/>
  <c r="G278" i="6"/>
  <c r="C278" i="6"/>
  <c r="G277" i="6"/>
  <c r="C277" i="6"/>
  <c r="G276" i="6"/>
  <c r="C276" i="6"/>
  <c r="G275" i="6"/>
  <c r="C275" i="6"/>
  <c r="G274" i="6"/>
  <c r="C274" i="6"/>
  <c r="G273" i="6"/>
  <c r="C273" i="6"/>
  <c r="G272" i="6"/>
  <c r="C272" i="6"/>
  <c r="G271" i="6"/>
  <c r="C271" i="6"/>
  <c r="G270" i="6"/>
  <c r="C270" i="6"/>
  <c r="G269" i="6"/>
  <c r="C269" i="6"/>
  <c r="G268" i="6"/>
  <c r="C268" i="6"/>
  <c r="G267" i="6"/>
  <c r="C267" i="6"/>
  <c r="G266" i="6"/>
  <c r="C266" i="6"/>
  <c r="G265" i="6"/>
  <c r="C265" i="6"/>
  <c r="G264" i="6"/>
  <c r="C264" i="6"/>
  <c r="G263" i="6"/>
  <c r="C263" i="6"/>
  <c r="G262" i="6"/>
  <c r="C262" i="6"/>
  <c r="G261" i="6"/>
  <c r="C261" i="6"/>
  <c r="G260" i="6"/>
  <c r="C260" i="6"/>
  <c r="G259" i="6"/>
  <c r="C259" i="6"/>
  <c r="G258" i="6"/>
  <c r="C258" i="6"/>
  <c r="G257" i="6"/>
  <c r="C257" i="6"/>
  <c r="G256" i="6"/>
  <c r="C256" i="6"/>
  <c r="G255" i="6"/>
  <c r="C255" i="6"/>
  <c r="G254" i="6"/>
  <c r="C254" i="6"/>
  <c r="G253" i="6"/>
  <c r="C253" i="6"/>
  <c r="G252" i="6"/>
  <c r="C252" i="6"/>
  <c r="G251" i="6"/>
  <c r="C251" i="6"/>
  <c r="G250" i="6"/>
  <c r="C250" i="6"/>
  <c r="G249" i="6"/>
  <c r="C249" i="6"/>
  <c r="G248" i="6"/>
  <c r="C248" i="6"/>
  <c r="G247" i="6"/>
  <c r="C247" i="6"/>
  <c r="G246" i="6"/>
  <c r="C246" i="6"/>
  <c r="G245" i="6"/>
  <c r="C245" i="6"/>
  <c r="G244" i="6"/>
  <c r="C244" i="6"/>
  <c r="G243" i="6"/>
  <c r="C243" i="6"/>
  <c r="G242" i="6"/>
  <c r="C242" i="6"/>
  <c r="G241" i="6"/>
  <c r="C241" i="6"/>
  <c r="G240" i="6"/>
  <c r="C240" i="6"/>
  <c r="G239" i="6"/>
  <c r="C239" i="6"/>
  <c r="G238" i="6"/>
  <c r="C238" i="6"/>
  <c r="G237" i="6"/>
  <c r="C237" i="6"/>
  <c r="G236" i="6"/>
  <c r="C236" i="6"/>
  <c r="G235" i="6"/>
  <c r="C235" i="6"/>
  <c r="G234" i="6"/>
  <c r="C234" i="6"/>
  <c r="G233" i="6"/>
  <c r="C233" i="6"/>
  <c r="G232" i="6"/>
  <c r="C232" i="6"/>
  <c r="G231" i="6"/>
  <c r="C231" i="6"/>
  <c r="G230" i="6"/>
  <c r="C230" i="6"/>
  <c r="G229" i="6"/>
  <c r="C229" i="6"/>
  <c r="G228" i="6"/>
  <c r="C228" i="6"/>
  <c r="G227" i="6"/>
  <c r="C227" i="6"/>
  <c r="G226" i="6"/>
  <c r="C226" i="6"/>
  <c r="G225" i="6"/>
  <c r="C225" i="6"/>
  <c r="G224" i="6"/>
  <c r="C224" i="6"/>
  <c r="G223" i="6"/>
  <c r="C223" i="6"/>
  <c r="G222" i="6"/>
  <c r="C222" i="6"/>
  <c r="G221" i="6"/>
  <c r="C221" i="6"/>
  <c r="G220" i="6"/>
  <c r="C220" i="6"/>
  <c r="G219" i="6"/>
  <c r="C219" i="6"/>
  <c r="G218" i="6"/>
  <c r="C218" i="6"/>
  <c r="G217" i="6"/>
  <c r="C217" i="6"/>
  <c r="G216" i="6"/>
  <c r="C216" i="6"/>
  <c r="G215" i="6"/>
  <c r="C215" i="6"/>
  <c r="G214" i="6"/>
  <c r="C214" i="6"/>
  <c r="G213" i="6"/>
  <c r="C213" i="6"/>
  <c r="G212" i="6"/>
  <c r="C212" i="6"/>
  <c r="G211" i="6"/>
  <c r="C211" i="6"/>
  <c r="G210" i="6"/>
  <c r="C210" i="6"/>
  <c r="G209" i="6"/>
  <c r="C209" i="6"/>
  <c r="G208" i="6"/>
  <c r="C208" i="6"/>
  <c r="G207" i="6"/>
  <c r="C207" i="6"/>
  <c r="G206" i="6"/>
  <c r="C206" i="6"/>
  <c r="G205" i="6"/>
  <c r="C205" i="6"/>
  <c r="G204" i="6"/>
  <c r="C204" i="6"/>
  <c r="G203" i="6"/>
  <c r="C203" i="6"/>
  <c r="G202" i="6"/>
  <c r="C202" i="6"/>
  <c r="G201" i="6"/>
  <c r="C201" i="6"/>
  <c r="G200" i="6"/>
  <c r="C200" i="6"/>
  <c r="G199" i="6"/>
  <c r="C199" i="6"/>
  <c r="G198" i="6"/>
  <c r="C198" i="6"/>
  <c r="G197" i="6"/>
  <c r="C197" i="6"/>
  <c r="G196" i="6"/>
  <c r="C196" i="6"/>
  <c r="G195" i="6"/>
  <c r="C195" i="6"/>
  <c r="G194" i="6"/>
  <c r="C194" i="6"/>
  <c r="G193" i="6"/>
  <c r="C193" i="6"/>
  <c r="G192" i="6"/>
  <c r="C192" i="6"/>
  <c r="G191" i="6"/>
  <c r="C191" i="6"/>
  <c r="G190" i="6"/>
  <c r="C190" i="6"/>
  <c r="G189" i="6"/>
  <c r="C189" i="6"/>
  <c r="G188" i="6"/>
  <c r="C188" i="6"/>
  <c r="G187" i="6"/>
  <c r="C187" i="6"/>
  <c r="G186" i="6"/>
  <c r="C186" i="6"/>
  <c r="G185" i="6"/>
  <c r="C185" i="6"/>
  <c r="G184" i="6"/>
  <c r="C184" i="6"/>
  <c r="G183" i="6"/>
  <c r="C183" i="6"/>
  <c r="G182" i="6"/>
  <c r="C182" i="6"/>
  <c r="G181" i="6"/>
  <c r="C181" i="6"/>
  <c r="G180" i="6"/>
  <c r="C180" i="6"/>
  <c r="G179" i="6"/>
  <c r="C179" i="6"/>
  <c r="G178" i="6"/>
  <c r="C178" i="6"/>
  <c r="G177" i="6"/>
  <c r="C177" i="6"/>
  <c r="G176" i="6"/>
  <c r="C176" i="6"/>
  <c r="G175" i="6"/>
  <c r="C175" i="6"/>
  <c r="G174" i="6"/>
  <c r="C174" i="6"/>
  <c r="G173" i="6"/>
  <c r="C173" i="6"/>
  <c r="G172" i="6"/>
  <c r="C172" i="6"/>
  <c r="G171" i="6"/>
  <c r="C171" i="6"/>
  <c r="G170" i="6"/>
  <c r="C170" i="6"/>
  <c r="G169" i="6"/>
  <c r="C169" i="6"/>
  <c r="G168" i="6"/>
  <c r="C168" i="6"/>
  <c r="G167" i="6"/>
  <c r="C167" i="6"/>
  <c r="G166" i="6"/>
  <c r="C166" i="6"/>
  <c r="G165" i="6"/>
  <c r="C165" i="6"/>
  <c r="G164" i="6"/>
  <c r="C164" i="6"/>
  <c r="G163" i="6"/>
  <c r="C163" i="6"/>
  <c r="G162" i="6"/>
  <c r="C162" i="6"/>
  <c r="G161" i="6"/>
  <c r="C161" i="6"/>
  <c r="G160" i="6"/>
  <c r="C160" i="6"/>
  <c r="G159" i="6"/>
  <c r="C159" i="6"/>
  <c r="G158" i="6"/>
  <c r="C158" i="6"/>
  <c r="G157" i="6"/>
  <c r="C157" i="6"/>
  <c r="G156" i="6"/>
  <c r="C156" i="6"/>
  <c r="G155" i="6"/>
  <c r="C155" i="6"/>
  <c r="G154" i="6"/>
  <c r="C154" i="6"/>
  <c r="G153" i="6"/>
  <c r="C153" i="6"/>
  <c r="G152" i="6"/>
  <c r="C152" i="6"/>
  <c r="G151" i="6"/>
  <c r="C151" i="6"/>
  <c r="G150" i="6"/>
  <c r="C150" i="6"/>
  <c r="G149" i="6"/>
  <c r="C149" i="6"/>
  <c r="G148" i="6"/>
  <c r="C148" i="6"/>
  <c r="G147" i="6"/>
  <c r="C147" i="6"/>
  <c r="G146" i="6"/>
  <c r="C146" i="6"/>
  <c r="G145" i="6"/>
  <c r="C145" i="6"/>
  <c r="G144" i="6"/>
  <c r="C144" i="6"/>
  <c r="G143" i="6"/>
  <c r="C143" i="6"/>
  <c r="G142" i="6"/>
  <c r="C142" i="6"/>
  <c r="G141" i="6"/>
  <c r="C141" i="6"/>
  <c r="G140" i="6"/>
  <c r="C140" i="6"/>
  <c r="G139" i="6"/>
  <c r="C139" i="6"/>
  <c r="G138" i="6"/>
  <c r="C138" i="6"/>
  <c r="G137" i="6"/>
  <c r="C137" i="6"/>
  <c r="G136" i="6"/>
  <c r="C136" i="6"/>
  <c r="G135" i="6"/>
  <c r="C135" i="6"/>
  <c r="G134" i="6"/>
  <c r="C134" i="6"/>
  <c r="G133" i="6"/>
  <c r="C133" i="6"/>
  <c r="G132" i="6"/>
  <c r="C132" i="6"/>
  <c r="G131" i="6"/>
  <c r="C131" i="6"/>
  <c r="G130" i="6"/>
  <c r="C130" i="6"/>
  <c r="G129" i="6"/>
  <c r="C129" i="6"/>
  <c r="G128" i="6"/>
  <c r="C128" i="6"/>
  <c r="G127" i="6"/>
  <c r="C127" i="6"/>
  <c r="G126" i="6"/>
  <c r="C126" i="6"/>
  <c r="G125" i="6"/>
  <c r="C125" i="6"/>
  <c r="G124" i="6"/>
  <c r="C124" i="6"/>
  <c r="G123" i="6"/>
  <c r="C123" i="6"/>
  <c r="G122" i="6"/>
  <c r="C122" i="6"/>
  <c r="G121" i="6"/>
  <c r="C121" i="6"/>
  <c r="G120" i="6"/>
  <c r="C120" i="6"/>
  <c r="G119" i="6"/>
  <c r="C119" i="6"/>
  <c r="G118" i="6"/>
  <c r="C118" i="6"/>
  <c r="G117" i="6"/>
  <c r="C117" i="6"/>
  <c r="G116" i="6"/>
  <c r="C116" i="6"/>
  <c r="G115" i="6"/>
  <c r="C115" i="6"/>
  <c r="G114" i="6"/>
  <c r="C114" i="6"/>
  <c r="G113" i="6"/>
  <c r="C113" i="6"/>
  <c r="G112" i="6"/>
  <c r="C112" i="6"/>
  <c r="G111" i="6"/>
  <c r="C111" i="6"/>
  <c r="G110" i="6"/>
  <c r="C110" i="6"/>
  <c r="G109" i="6"/>
  <c r="C109" i="6"/>
  <c r="G108" i="6"/>
  <c r="C108" i="6"/>
  <c r="G107" i="6"/>
  <c r="C107" i="6"/>
  <c r="G106" i="6"/>
  <c r="C106" i="6"/>
  <c r="G105" i="6"/>
  <c r="C105" i="6"/>
  <c r="G104" i="6"/>
  <c r="C104" i="6"/>
  <c r="G103" i="6"/>
  <c r="C103" i="6"/>
  <c r="G102" i="6"/>
  <c r="C102" i="6"/>
  <c r="G101" i="6"/>
  <c r="C101" i="6"/>
  <c r="G100" i="6"/>
  <c r="C100" i="6"/>
  <c r="G99" i="6"/>
  <c r="C99" i="6"/>
  <c r="G98" i="6"/>
  <c r="C98" i="6"/>
  <c r="G97" i="6"/>
  <c r="C97" i="6"/>
  <c r="G96" i="6"/>
  <c r="C96" i="6"/>
  <c r="G95" i="6"/>
  <c r="C95" i="6"/>
  <c r="G94" i="6"/>
  <c r="C94" i="6"/>
  <c r="G93" i="6"/>
  <c r="C93" i="6"/>
  <c r="G92" i="6"/>
  <c r="C92" i="6"/>
  <c r="G91" i="6"/>
  <c r="C91" i="6"/>
  <c r="G90" i="6"/>
  <c r="C90" i="6"/>
  <c r="G89" i="6"/>
  <c r="C89" i="6"/>
  <c r="G88" i="6"/>
  <c r="C88" i="6"/>
  <c r="G87" i="6"/>
  <c r="C87" i="6"/>
  <c r="G86" i="6"/>
  <c r="C86" i="6"/>
  <c r="G85" i="6"/>
  <c r="C85" i="6"/>
  <c r="G84" i="6"/>
  <c r="C84" i="6"/>
  <c r="G83" i="6"/>
  <c r="C83" i="6"/>
  <c r="G82" i="6"/>
  <c r="C82" i="6"/>
  <c r="G81" i="6"/>
  <c r="C81" i="6"/>
  <c r="G80" i="6"/>
  <c r="C80" i="6"/>
  <c r="G79" i="6"/>
  <c r="C79" i="6"/>
  <c r="G78" i="6"/>
  <c r="C78" i="6"/>
  <c r="G77" i="6"/>
  <c r="C77" i="6"/>
  <c r="G76" i="6"/>
  <c r="C76" i="6"/>
  <c r="G75" i="6"/>
  <c r="C75" i="6"/>
  <c r="G74" i="6"/>
  <c r="C74" i="6"/>
  <c r="G73" i="6"/>
  <c r="C73" i="6"/>
  <c r="G72" i="6"/>
  <c r="C72" i="6"/>
  <c r="G71" i="6"/>
  <c r="C71" i="6"/>
  <c r="G70" i="6"/>
  <c r="C70" i="6"/>
  <c r="G69" i="6"/>
  <c r="C69" i="6"/>
  <c r="G68" i="6"/>
  <c r="C68" i="6"/>
  <c r="G67" i="6"/>
  <c r="C67" i="6"/>
  <c r="G66" i="6"/>
  <c r="C66" i="6"/>
  <c r="G65" i="6"/>
  <c r="C65" i="6"/>
  <c r="G64" i="6"/>
  <c r="C64" i="6"/>
  <c r="G63" i="6"/>
  <c r="C63" i="6"/>
  <c r="G62" i="6"/>
  <c r="C62" i="6"/>
  <c r="G61" i="6"/>
  <c r="C61" i="6"/>
  <c r="G60" i="6"/>
  <c r="C60" i="6"/>
  <c r="G59" i="6"/>
  <c r="C59" i="6"/>
  <c r="G58" i="6"/>
  <c r="C58" i="6"/>
  <c r="G57" i="6"/>
  <c r="C57" i="6"/>
  <c r="G56" i="6"/>
  <c r="C56" i="6"/>
  <c r="G55" i="6"/>
  <c r="C55" i="6"/>
  <c r="G54" i="6"/>
  <c r="C54" i="6"/>
  <c r="G53" i="6"/>
  <c r="C53" i="6"/>
  <c r="G52" i="6"/>
  <c r="C52" i="6"/>
  <c r="G51" i="6"/>
  <c r="C51" i="6"/>
  <c r="G50" i="6"/>
  <c r="C50" i="6"/>
  <c r="G49" i="6"/>
  <c r="C49" i="6"/>
  <c r="G48" i="6"/>
  <c r="C48" i="6"/>
  <c r="G47" i="6"/>
  <c r="C47" i="6"/>
  <c r="G46" i="6"/>
  <c r="C46" i="6"/>
  <c r="G45" i="6"/>
  <c r="C45" i="6"/>
  <c r="G44" i="6"/>
  <c r="C44" i="6"/>
  <c r="G43" i="6"/>
  <c r="C43" i="6"/>
  <c r="G42" i="6"/>
  <c r="C42" i="6"/>
  <c r="G41" i="6"/>
  <c r="C41" i="6"/>
  <c r="G40" i="6"/>
  <c r="C40" i="6"/>
  <c r="G39" i="6"/>
  <c r="C39" i="6"/>
  <c r="G38" i="6"/>
  <c r="C38" i="6"/>
  <c r="G37" i="6"/>
  <c r="C37" i="6"/>
  <c r="G36" i="6"/>
  <c r="C36" i="6"/>
  <c r="G35" i="6"/>
  <c r="C35" i="6"/>
  <c r="G34" i="6"/>
  <c r="C34" i="6"/>
  <c r="G33" i="6"/>
  <c r="C33" i="6"/>
  <c r="G32" i="6"/>
  <c r="C32" i="6"/>
  <c r="G31" i="6"/>
  <c r="C31" i="6"/>
  <c r="G30" i="6"/>
  <c r="C30" i="6"/>
  <c r="G29" i="6"/>
  <c r="C29" i="6"/>
  <c r="G28" i="6"/>
  <c r="C28" i="6"/>
  <c r="G27" i="6"/>
  <c r="C27" i="6"/>
  <c r="G26" i="6"/>
  <c r="C26" i="6"/>
  <c r="G25" i="6"/>
  <c r="C25" i="6"/>
  <c r="G24" i="6"/>
  <c r="C24" i="6"/>
  <c r="G23" i="6"/>
  <c r="C23" i="6"/>
  <c r="G22" i="6"/>
  <c r="C22" i="6"/>
  <c r="G21" i="6"/>
  <c r="C21" i="6"/>
  <c r="G20" i="6"/>
  <c r="C20" i="6"/>
  <c r="G19" i="6"/>
  <c r="C19" i="6"/>
  <c r="G18" i="6"/>
  <c r="C18" i="6"/>
  <c r="G17" i="6"/>
  <c r="C17" i="6"/>
  <c r="G16" i="6"/>
  <c r="C16" i="6"/>
  <c r="G15" i="6"/>
  <c r="C15" i="6"/>
  <c r="G14" i="6"/>
  <c r="C14" i="6"/>
  <c r="G13" i="6"/>
  <c r="C13" i="6"/>
  <c r="G12" i="6"/>
  <c r="C12" i="6"/>
  <c r="G11" i="6"/>
  <c r="C11" i="6"/>
  <c r="G10" i="6"/>
  <c r="C10" i="6"/>
  <c r="G9" i="6"/>
  <c r="K7" i="6" s="1"/>
  <c r="C9" i="6"/>
  <c r="G8" i="6"/>
  <c r="C8" i="6"/>
  <c r="G7" i="6"/>
  <c r="C7" i="6"/>
  <c r="G6" i="6"/>
  <c r="C6" i="6"/>
  <c r="G5" i="6"/>
  <c r="C5" i="6"/>
  <c r="AB35" i="5"/>
  <c r="AA35" i="5"/>
  <c r="Z35" i="5"/>
  <c r="Y35" i="5"/>
  <c r="X35" i="5"/>
  <c r="AB34" i="5"/>
  <c r="AA34" i="5"/>
  <c r="Z34" i="5"/>
  <c r="Y34" i="5"/>
  <c r="X34" i="5"/>
  <c r="AB33" i="5"/>
  <c r="AA33" i="5"/>
  <c r="Z33" i="5"/>
  <c r="Y33" i="5"/>
  <c r="X33" i="5"/>
  <c r="AB32" i="5"/>
  <c r="AA32" i="5"/>
  <c r="Z32" i="5"/>
  <c r="Y32" i="5"/>
  <c r="X32" i="5"/>
  <c r="AB31" i="5"/>
  <c r="AA31" i="5"/>
  <c r="Z31" i="5"/>
  <c r="Y31" i="5"/>
  <c r="X31" i="5"/>
  <c r="N31" i="5"/>
  <c r="M31" i="5"/>
  <c r="L31" i="5"/>
  <c r="K31" i="5"/>
  <c r="J31" i="5"/>
  <c r="AB30" i="5"/>
  <c r="AA30" i="5"/>
  <c r="Z30" i="5"/>
  <c r="Y30" i="5"/>
  <c r="X30" i="5"/>
  <c r="N30" i="5"/>
  <c r="M30" i="5"/>
  <c r="L30" i="5"/>
  <c r="K30" i="5"/>
  <c r="J30" i="5"/>
  <c r="AB29" i="5"/>
  <c r="AA29" i="5"/>
  <c r="Z29" i="5"/>
  <c r="Y29" i="5"/>
  <c r="X29" i="5"/>
  <c r="N29" i="5"/>
  <c r="M29" i="5"/>
  <c r="L29" i="5"/>
  <c r="K29" i="5"/>
  <c r="J29" i="5"/>
  <c r="AB28" i="5"/>
  <c r="AA28" i="5"/>
  <c r="Y28" i="5"/>
  <c r="X28" i="5"/>
  <c r="N28" i="5"/>
  <c r="M28" i="5"/>
  <c r="L28" i="5"/>
  <c r="K28" i="5"/>
  <c r="J28" i="5"/>
  <c r="AB27" i="5"/>
  <c r="AA27" i="5"/>
  <c r="Z27" i="5"/>
  <c r="Y27" i="5"/>
  <c r="X27" i="5"/>
  <c r="AB26" i="5"/>
  <c r="AA26" i="5"/>
  <c r="Y26" i="5"/>
  <c r="X26" i="5"/>
  <c r="N26" i="5"/>
  <c r="M26" i="5"/>
  <c r="K26" i="5"/>
  <c r="J26" i="5"/>
  <c r="AB25" i="5"/>
  <c r="AA25" i="5"/>
  <c r="Y25" i="5"/>
  <c r="X25" i="5"/>
  <c r="N25" i="5"/>
  <c r="M25" i="5"/>
  <c r="L25" i="5"/>
  <c r="K25" i="5"/>
  <c r="J25" i="5"/>
  <c r="N24" i="5"/>
  <c r="M24" i="5"/>
  <c r="L24" i="5"/>
  <c r="K24" i="5"/>
  <c r="J24" i="5"/>
  <c r="N23" i="5"/>
  <c r="M23" i="5"/>
  <c r="L23" i="5"/>
  <c r="K23" i="5"/>
  <c r="J23" i="5"/>
  <c r="AB22" i="5"/>
  <c r="AA22" i="5"/>
  <c r="Y22" i="5"/>
  <c r="X22" i="5"/>
  <c r="N22" i="5"/>
  <c r="M22" i="5"/>
  <c r="L22" i="5"/>
  <c r="K22" i="5"/>
  <c r="J22" i="5"/>
  <c r="N21" i="5"/>
  <c r="M21" i="5"/>
  <c r="L21" i="5"/>
  <c r="K21" i="5"/>
  <c r="J21" i="5"/>
  <c r="AB20" i="5"/>
  <c r="AA20" i="5"/>
  <c r="Y20" i="5"/>
  <c r="X20" i="5"/>
  <c r="N20" i="5"/>
  <c r="M20" i="5"/>
  <c r="L20" i="5"/>
  <c r="K20" i="5"/>
  <c r="J20" i="5"/>
  <c r="AB19" i="5"/>
  <c r="AA19" i="5"/>
  <c r="Y19" i="5"/>
  <c r="X19" i="5"/>
  <c r="N19" i="5"/>
  <c r="M19" i="5"/>
  <c r="L19" i="5"/>
  <c r="K19" i="5"/>
  <c r="J19" i="5"/>
  <c r="AB18" i="5"/>
  <c r="AA18" i="5"/>
  <c r="Y18" i="5"/>
  <c r="X18" i="5"/>
  <c r="N18" i="5"/>
  <c r="M18" i="5"/>
  <c r="L18" i="5"/>
  <c r="K18" i="5"/>
  <c r="J18" i="5"/>
  <c r="AB17" i="5"/>
  <c r="AA17" i="5"/>
  <c r="Y17" i="5"/>
  <c r="X17" i="5"/>
  <c r="N17" i="5"/>
  <c r="M17" i="5"/>
  <c r="L17" i="5"/>
  <c r="K17" i="5"/>
  <c r="J17" i="5"/>
  <c r="AB16" i="5"/>
  <c r="AA16" i="5"/>
  <c r="Y16" i="5"/>
  <c r="X16" i="5"/>
  <c r="N16" i="5"/>
  <c r="M16" i="5"/>
  <c r="L16" i="5"/>
  <c r="K16" i="5"/>
  <c r="J16" i="5"/>
  <c r="AB15" i="5"/>
  <c r="AA15" i="5"/>
  <c r="Y15" i="5"/>
  <c r="X15" i="5"/>
  <c r="N15" i="5"/>
  <c r="M15" i="5"/>
  <c r="L15" i="5"/>
  <c r="K15" i="5"/>
  <c r="J15" i="5"/>
  <c r="AB14" i="5"/>
  <c r="AA14" i="5"/>
  <c r="Z14" i="5"/>
  <c r="Y14" i="5"/>
  <c r="X14" i="5"/>
  <c r="N14" i="5"/>
  <c r="M14" i="5"/>
  <c r="L14" i="5"/>
  <c r="K14" i="5"/>
  <c r="J14" i="5"/>
  <c r="AB13" i="5"/>
  <c r="AA13" i="5"/>
  <c r="Y13" i="5"/>
  <c r="X13" i="5"/>
  <c r="N13" i="5"/>
  <c r="M13" i="5"/>
  <c r="L13" i="5"/>
  <c r="K13" i="5"/>
  <c r="J13" i="5"/>
  <c r="AB12" i="5"/>
  <c r="AA12" i="5"/>
  <c r="Z12" i="5"/>
  <c r="Y12" i="5"/>
  <c r="X12" i="5"/>
  <c r="N12" i="5"/>
  <c r="M12" i="5"/>
  <c r="L12" i="5"/>
  <c r="K12" i="5"/>
  <c r="J12" i="5"/>
  <c r="N11" i="5"/>
  <c r="M11" i="5"/>
  <c r="K11" i="5"/>
  <c r="J11" i="5"/>
  <c r="AB10" i="5"/>
  <c r="AA10" i="5"/>
  <c r="Z10" i="5"/>
  <c r="Y10" i="5"/>
  <c r="X10" i="5"/>
  <c r="N10" i="5"/>
  <c r="M10" i="5"/>
  <c r="L10" i="5"/>
  <c r="K10" i="5"/>
  <c r="J10" i="5"/>
  <c r="AB9" i="5"/>
  <c r="AA9" i="5"/>
  <c r="Z9" i="5"/>
  <c r="Y9" i="5"/>
  <c r="X9" i="5"/>
  <c r="AB8" i="5"/>
  <c r="AA8" i="5"/>
  <c r="Z8" i="5"/>
  <c r="Y8" i="5"/>
  <c r="X8" i="5"/>
  <c r="N8" i="5"/>
  <c r="M8" i="5"/>
  <c r="L8" i="5"/>
  <c r="K8" i="5"/>
  <c r="J8" i="5"/>
  <c r="AB7" i="5"/>
  <c r="AA7" i="5"/>
  <c r="Z7" i="5"/>
  <c r="Y7" i="5"/>
  <c r="X7" i="5"/>
  <c r="N7" i="5"/>
  <c r="M7" i="5"/>
  <c r="L7" i="5"/>
  <c r="K7" i="5"/>
  <c r="J7" i="5"/>
  <c r="AB6" i="5"/>
  <c r="AA6" i="5"/>
  <c r="Z6" i="5"/>
  <c r="Y6" i="5"/>
  <c r="X6" i="5"/>
  <c r="N6" i="5"/>
  <c r="M6" i="5"/>
  <c r="L6" i="5"/>
  <c r="K6" i="5"/>
  <c r="J6" i="5"/>
  <c r="AB5" i="5"/>
  <c r="AA5" i="5"/>
  <c r="Z5" i="5"/>
  <c r="Y5" i="5"/>
  <c r="X5" i="5"/>
  <c r="N5" i="5"/>
  <c r="M5" i="5"/>
  <c r="L5" i="5"/>
  <c r="K5" i="5"/>
  <c r="J5" i="5"/>
  <c r="AB4" i="5"/>
  <c r="AA4" i="5"/>
  <c r="Z4" i="5"/>
  <c r="Y4" i="5"/>
  <c r="X4" i="5"/>
  <c r="N4" i="5"/>
  <c r="M4" i="5"/>
  <c r="L4" i="5"/>
  <c r="K4" i="5"/>
  <c r="J4" i="5"/>
  <c r="P45" i="3"/>
  <c r="O45" i="3"/>
  <c r="P43" i="3"/>
  <c r="O43" i="3"/>
  <c r="H41" i="3"/>
  <c r="G41" i="3"/>
  <c r="P39" i="3"/>
  <c r="O39" i="3"/>
  <c r="H39" i="3"/>
  <c r="G39" i="3"/>
  <c r="P38" i="3"/>
  <c r="O38" i="3"/>
  <c r="H38" i="3"/>
  <c r="G38" i="3"/>
  <c r="P37" i="3"/>
  <c r="O37" i="3"/>
  <c r="P36" i="3"/>
  <c r="O36" i="3"/>
  <c r="P34" i="3"/>
  <c r="O34" i="3"/>
  <c r="H33" i="3"/>
  <c r="G33" i="3"/>
  <c r="P32" i="3"/>
  <c r="O32" i="3"/>
  <c r="H32" i="3"/>
  <c r="G32" i="3"/>
  <c r="P31" i="3"/>
  <c r="O31" i="3"/>
  <c r="H31" i="3"/>
  <c r="P30" i="3"/>
  <c r="O30" i="3"/>
  <c r="P29" i="3"/>
  <c r="O29" i="3"/>
  <c r="H29" i="3"/>
  <c r="G29" i="3"/>
  <c r="P28" i="3"/>
  <c r="O28" i="3"/>
  <c r="H28" i="3"/>
  <c r="G28" i="3"/>
  <c r="P27" i="3"/>
  <c r="O27" i="3"/>
  <c r="H27" i="3"/>
  <c r="G27" i="3"/>
  <c r="P25" i="3"/>
  <c r="O25" i="3"/>
  <c r="H25" i="3"/>
  <c r="G25" i="3"/>
  <c r="H23" i="3"/>
  <c r="G23" i="3"/>
  <c r="P22" i="3"/>
  <c r="O22" i="3"/>
  <c r="H22" i="3"/>
  <c r="G22" i="3"/>
  <c r="H21" i="3"/>
  <c r="G21" i="3"/>
  <c r="H20" i="3"/>
  <c r="G20" i="3"/>
  <c r="P19" i="3"/>
  <c r="O19" i="3"/>
  <c r="H19" i="3"/>
  <c r="G19" i="3"/>
  <c r="H18" i="3"/>
  <c r="G18" i="3"/>
  <c r="H16" i="3"/>
  <c r="G16" i="3"/>
  <c r="P15" i="3"/>
  <c r="O15" i="3"/>
  <c r="P13" i="3"/>
  <c r="O13" i="3"/>
  <c r="H13" i="3"/>
  <c r="G13" i="3"/>
  <c r="P12" i="3"/>
  <c r="O12" i="3"/>
  <c r="P11" i="3"/>
  <c r="O11" i="3"/>
  <c r="H11" i="3"/>
  <c r="G11" i="3"/>
  <c r="H9" i="3"/>
  <c r="G9" i="3"/>
  <c r="H8" i="3"/>
  <c r="G8" i="3"/>
  <c r="H7" i="3"/>
  <c r="G7" i="3"/>
  <c r="H6" i="3"/>
  <c r="G6" i="3"/>
  <c r="P5" i="3"/>
  <c r="O5" i="3"/>
  <c r="P4" i="3"/>
  <c r="O4" i="3"/>
  <c r="H4" i="3"/>
  <c r="G4" i="3"/>
  <c r="L5" i="6"/>
  <c r="L7" i="6"/>
  <c r="Q9" i="13" l="1"/>
  <c r="C12" i="15"/>
  <c r="G7" i="9"/>
  <c r="C23" i="7"/>
  <c r="C11" i="7"/>
  <c r="D10" i="8"/>
  <c r="D6" i="10"/>
  <c r="E8" i="9"/>
  <c r="E7" i="10"/>
  <c r="D7" i="9"/>
  <c r="F7" i="10"/>
  <c r="F8" i="9"/>
  <c r="H39" i="7"/>
  <c r="H14" i="7"/>
  <c r="H3" i="10"/>
  <c r="H24" i="7"/>
  <c r="H33" i="7"/>
  <c r="H40" i="7" s="1"/>
  <c r="P14" i="13"/>
  <c r="O14" i="13"/>
  <c r="O12" i="13"/>
  <c r="P12" i="13"/>
  <c r="E4" i="8"/>
  <c r="E9" i="8" s="1"/>
  <c r="P10" i="13"/>
  <c r="O10" i="13"/>
  <c r="D9" i="7"/>
  <c r="H7" i="10"/>
  <c r="H8" i="9"/>
  <c r="E9" i="7"/>
  <c r="G11" i="7"/>
  <c r="G23" i="7"/>
  <c r="F9" i="7"/>
  <c r="P12" i="14"/>
  <c r="P13" i="14" s="1"/>
  <c r="D13" i="14"/>
  <c r="P13" i="13"/>
  <c r="O13" i="13"/>
  <c r="G10" i="8"/>
  <c r="G6" i="10"/>
  <c r="P11" i="13"/>
  <c r="O11" i="13"/>
  <c r="Q21" i="13"/>
  <c r="Q20" i="13"/>
  <c r="Q27" i="13" s="1"/>
  <c r="Q29" i="13" s="1"/>
  <c r="Q32" i="13" s="1"/>
  <c r="Q19" i="13"/>
  <c r="Q18" i="13"/>
  <c r="Q17" i="13"/>
  <c r="Q22" i="13"/>
  <c r="H10" i="8"/>
  <c r="H6" i="10"/>
  <c r="P4" i="14"/>
  <c r="H23" i="7"/>
  <c r="C6" i="14"/>
  <c r="K5" i="6"/>
  <c r="F6" i="11" s="1"/>
  <c r="F8" i="11" s="1"/>
  <c r="D15" i="11" s="1"/>
  <c r="E9" i="13"/>
  <c r="H9" i="13" s="1"/>
  <c r="F5" i="8"/>
  <c r="F4" i="8" s="1"/>
  <c r="F9" i="8" s="1"/>
  <c r="C7" i="11"/>
  <c r="C8" i="11" s="1"/>
  <c r="C14" i="11" s="1"/>
  <c r="E14" i="11" s="1"/>
  <c r="E8" i="13"/>
  <c r="H8" i="13" s="1"/>
  <c r="C9" i="11"/>
  <c r="C15" i="11" s="1"/>
  <c r="H4" i="10" l="1"/>
  <c r="H5" i="10"/>
  <c r="P8" i="13"/>
  <c r="O8" i="13"/>
  <c r="G39" i="7"/>
  <c r="G14" i="7"/>
  <c r="G3" i="10"/>
  <c r="G24" i="7"/>
  <c r="G33" i="7"/>
  <c r="G40" i="7" s="1"/>
  <c r="E15" i="11"/>
  <c r="E16" i="11"/>
  <c r="C12" i="14"/>
  <c r="C23" i="14"/>
  <c r="D7" i="14"/>
  <c r="E7" i="14" s="1"/>
  <c r="F7" i="14" s="1"/>
  <c r="G7" i="14" s="1"/>
  <c r="H7" i="14" s="1"/>
  <c r="I7" i="14" s="1"/>
  <c r="J7" i="14" s="1"/>
  <c r="K7" i="14" s="1"/>
  <c r="L7" i="14" s="1"/>
  <c r="M7" i="14" s="1"/>
  <c r="P6" i="14"/>
  <c r="P7" i="14" s="1"/>
  <c r="F10" i="8"/>
  <c r="F6" i="10"/>
  <c r="F8" i="10" s="1"/>
  <c r="D8" i="9"/>
  <c r="D7" i="10"/>
  <c r="H8" i="10"/>
  <c r="H11" i="10" s="1"/>
  <c r="C24" i="7"/>
  <c r="C33" i="7"/>
  <c r="C40" i="7" s="1"/>
  <c r="C39" i="7"/>
  <c r="C14" i="7"/>
  <c r="C3" i="10"/>
  <c r="D23" i="7"/>
  <c r="D11" i="7"/>
  <c r="G7" i="10"/>
  <c r="G8" i="10" s="1"/>
  <c r="G11" i="10" s="1"/>
  <c r="G8" i="9"/>
  <c r="E11" i="7"/>
  <c r="E23" i="7"/>
  <c r="P9" i="13"/>
  <c r="O9" i="13"/>
  <c r="E13" i="14"/>
  <c r="F13" i="14" s="1"/>
  <c r="G13" i="14" s="1"/>
  <c r="H13" i="14" s="1"/>
  <c r="I13" i="14" s="1"/>
  <c r="J13" i="14" s="1"/>
  <c r="K13" i="14" s="1"/>
  <c r="L13" i="14" s="1"/>
  <c r="M13" i="14" s="1"/>
  <c r="H25" i="7"/>
  <c r="H29" i="7"/>
  <c r="H17" i="7"/>
  <c r="H26" i="7" s="1"/>
  <c r="D8" i="10"/>
  <c r="E10" i="8"/>
  <c r="E6" i="10"/>
  <c r="E8" i="10" s="1"/>
  <c r="C12" i="8"/>
  <c r="C13" i="8"/>
  <c r="F11" i="7"/>
  <c r="F23" i="7"/>
  <c r="F33" i="7" l="1"/>
  <c r="F40" i="7" s="1"/>
  <c r="F39" i="7"/>
  <c r="F14" i="7"/>
  <c r="F3" i="10"/>
  <c r="F24" i="7"/>
  <c r="E24" i="7"/>
  <c r="E8" i="15" s="1"/>
  <c r="E33" i="7"/>
  <c r="E40" i="7" s="1"/>
  <c r="E39" i="7"/>
  <c r="E14" i="7"/>
  <c r="E3" i="10"/>
  <c r="C5" i="15"/>
  <c r="D33" i="7"/>
  <c r="D40" i="7" s="1"/>
  <c r="D39" i="7"/>
  <c r="D14" i="7"/>
  <c r="D3" i="10"/>
  <c r="D24" i="7"/>
  <c r="C25" i="7"/>
  <c r="C17" i="7"/>
  <c r="C26" i="7" s="1"/>
  <c r="C29" i="7"/>
  <c r="G4" i="10"/>
  <c r="G5" i="10"/>
  <c r="G9" i="10" s="1"/>
  <c r="C10" i="9"/>
  <c r="O18" i="13"/>
  <c r="O21" i="13"/>
  <c r="O20" i="13"/>
  <c r="O27" i="13" s="1"/>
  <c r="O29" i="13" s="1"/>
  <c r="O32" i="13" s="1"/>
  <c r="O19" i="13"/>
  <c r="O17" i="13"/>
  <c r="O22" i="13"/>
  <c r="D12" i="14"/>
  <c r="E12" i="14" s="1"/>
  <c r="F12" i="14" s="1"/>
  <c r="G12" i="14" s="1"/>
  <c r="H12" i="14" s="1"/>
  <c r="I12" i="14" s="1"/>
  <c r="J12" i="14" s="1"/>
  <c r="K12" i="14" s="1"/>
  <c r="L12" i="14" s="1"/>
  <c r="M12" i="14" s="1"/>
  <c r="C18" i="14"/>
  <c r="C4" i="10"/>
  <c r="C5" i="10" s="1"/>
  <c r="C9" i="10" s="1"/>
  <c r="P21" i="13"/>
  <c r="P20" i="13"/>
  <c r="P27" i="13" s="1"/>
  <c r="P29" i="13" s="1"/>
  <c r="P32" i="13" s="1"/>
  <c r="P19" i="13"/>
  <c r="P18" i="13"/>
  <c r="P17" i="13"/>
  <c r="P22" i="13"/>
  <c r="K8" i="15"/>
  <c r="G8" i="15"/>
  <c r="J8" i="15"/>
  <c r="I8" i="15"/>
  <c r="H8" i="15"/>
  <c r="F8" i="15"/>
  <c r="D8" i="15"/>
  <c r="H9" i="10"/>
  <c r="D6" i="14"/>
  <c r="E6" i="14" s="1"/>
  <c r="F6" i="14" s="1"/>
  <c r="G6" i="14" s="1"/>
  <c r="H6" i="14" s="1"/>
  <c r="I6" i="14" s="1"/>
  <c r="J6" i="14" s="1"/>
  <c r="K6" i="14" s="1"/>
  <c r="L6" i="14" s="1"/>
  <c r="M6" i="14" s="1"/>
  <c r="I9" i="11"/>
  <c r="Q5" i="15"/>
  <c r="G25" i="7"/>
  <c r="G17" i="7"/>
  <c r="G26" i="7" s="1"/>
  <c r="G29" i="7"/>
  <c r="D4" i="10" l="1"/>
  <c r="D5" i="10" s="1"/>
  <c r="D9" i="10" s="1"/>
  <c r="D25" i="7"/>
  <c r="D17" i="7"/>
  <c r="D26" i="7" s="1"/>
  <c r="D29" i="7"/>
  <c r="F4" i="10"/>
  <c r="F5" i="10"/>
  <c r="F9" i="10" s="1"/>
  <c r="E25" i="7"/>
  <c r="E17" i="7"/>
  <c r="E26" i="7" s="1"/>
  <c r="E29" i="7"/>
  <c r="L8" i="15"/>
  <c r="F25" i="7"/>
  <c r="F17" i="7"/>
  <c r="F26" i="7" s="1"/>
  <c r="F29" i="7"/>
  <c r="M20" i="15"/>
  <c r="L20" i="15"/>
  <c r="K20" i="15"/>
  <c r="J20" i="15"/>
  <c r="I20" i="15"/>
  <c r="H20" i="15"/>
  <c r="G20" i="15"/>
  <c r="F20" i="15"/>
  <c r="Q6" i="15"/>
  <c r="O16" i="15" s="1"/>
  <c r="E20" i="15"/>
  <c r="D20" i="15"/>
  <c r="E4" i="10"/>
  <c r="E5" i="10"/>
  <c r="E9" i="10" s="1"/>
  <c r="M8" i="15"/>
  <c r="D11" i="10"/>
  <c r="E11" i="10"/>
  <c r="F11" i="10"/>
  <c r="C14" i="10" l="1"/>
  <c r="C13" i="10"/>
  <c r="C46" i="7" s="1"/>
  <c r="P16" i="14" s="1"/>
  <c r="O8" i="15"/>
  <c r="D19" i="14" l="1"/>
  <c r="P18" i="14"/>
  <c r="P19" i="14" s="1"/>
  <c r="D24" i="14" l="1"/>
  <c r="E19" i="14"/>
  <c r="D18" i="14"/>
  <c r="E18" i="14" s="1"/>
  <c r="E24" i="14" l="1"/>
  <c r="E6" i="15" s="1"/>
  <c r="F19" i="14"/>
  <c r="D6" i="15"/>
  <c r="D23" i="14"/>
  <c r="E23" i="14" l="1"/>
  <c r="D5" i="15"/>
  <c r="F24" i="14"/>
  <c r="F6" i="15" s="1"/>
  <c r="G19" i="14"/>
  <c r="F18" i="14"/>
  <c r="G18" i="14" s="1"/>
  <c r="G24" i="14" l="1"/>
  <c r="G6" i="15" s="1"/>
  <c r="H19" i="14"/>
  <c r="D11" i="15"/>
  <c r="D12" i="15"/>
  <c r="D13" i="15" s="1"/>
  <c r="D7" i="15"/>
  <c r="F23" i="14"/>
  <c r="E5" i="15"/>
  <c r="G23" i="14" l="1"/>
  <c r="F5" i="15"/>
  <c r="E11" i="15"/>
  <c r="E7" i="15"/>
  <c r="E12" i="15"/>
  <c r="E13" i="15" s="1"/>
  <c r="D9" i="15"/>
  <c r="D10" i="15" s="1"/>
  <c r="D15" i="15" s="1"/>
  <c r="D14" i="15"/>
  <c r="I19" i="14"/>
  <c r="H24" i="14"/>
  <c r="H6" i="15" s="1"/>
  <c r="H18" i="14"/>
  <c r="I18" i="14" s="1"/>
  <c r="I24" i="14" l="1"/>
  <c r="I6" i="15" s="1"/>
  <c r="J19" i="14"/>
  <c r="E9" i="15"/>
  <c r="E10" i="15"/>
  <c r="E14" i="15"/>
  <c r="E16" i="15" s="1"/>
  <c r="F11" i="15"/>
  <c r="F7" i="15"/>
  <c r="F12" i="15"/>
  <c r="F13" i="15" s="1"/>
  <c r="D16" i="15"/>
  <c r="H23" i="14"/>
  <c r="G5" i="15"/>
  <c r="H5" i="15" l="1"/>
  <c r="I23" i="14"/>
  <c r="F14" i="15"/>
  <c r="G11" i="15"/>
  <c r="G7" i="15"/>
  <c r="G12" i="15"/>
  <c r="G13" i="15" s="1"/>
  <c r="F9" i="15"/>
  <c r="F10" i="15" s="1"/>
  <c r="F15" i="15" s="1"/>
  <c r="E15" i="15"/>
  <c r="J24" i="14"/>
  <c r="J6" i="15" s="1"/>
  <c r="K19" i="14"/>
  <c r="J18" i="14"/>
  <c r="K18" i="14" s="1"/>
  <c r="K24" i="14" l="1"/>
  <c r="K6" i="15" s="1"/>
  <c r="L19" i="14"/>
  <c r="G9" i="15"/>
  <c r="G10" i="15" s="1"/>
  <c r="G15" i="15" s="1"/>
  <c r="F16" i="15"/>
  <c r="L18" i="14"/>
  <c r="G14" i="15"/>
  <c r="I5" i="15"/>
  <c r="J23" i="14"/>
  <c r="H11" i="15"/>
  <c r="H7" i="15"/>
  <c r="H12" i="15"/>
  <c r="H13" i="15" s="1"/>
  <c r="H9" i="15" l="1"/>
  <c r="H10" i="15" s="1"/>
  <c r="H15" i="15" s="1"/>
  <c r="J5" i="15"/>
  <c r="K23" i="14"/>
  <c r="G16" i="15"/>
  <c r="H14" i="15"/>
  <c r="I11" i="15"/>
  <c r="I12" i="15"/>
  <c r="I13" i="15" s="1"/>
  <c r="I7" i="15"/>
  <c r="L24" i="14"/>
  <c r="L6" i="15" s="1"/>
  <c r="M19" i="14"/>
  <c r="M24" i="14" s="1"/>
  <c r="M6" i="15" s="1"/>
  <c r="H16" i="15" l="1"/>
  <c r="M18" i="14"/>
  <c r="K5" i="15"/>
  <c r="L23" i="14"/>
  <c r="J11" i="15"/>
  <c r="J12" i="15"/>
  <c r="J13" i="15" s="1"/>
  <c r="J7" i="15"/>
  <c r="I9" i="15"/>
  <c r="I10" i="15" s="1"/>
  <c r="I15" i="15" s="1"/>
  <c r="I14" i="15"/>
  <c r="I16" i="15" l="1"/>
  <c r="J9" i="15"/>
  <c r="J10" i="15" s="1"/>
  <c r="J15" i="15" s="1"/>
  <c r="J14" i="15"/>
  <c r="K11" i="15"/>
  <c r="K12" i="15"/>
  <c r="K13" i="15" s="1"/>
  <c r="K7" i="15"/>
  <c r="M23" i="14"/>
  <c r="M5" i="15" s="1"/>
  <c r="L5" i="15"/>
  <c r="L11" i="15" l="1"/>
  <c r="L12" i="15"/>
  <c r="L13" i="15" s="1"/>
  <c r="L7" i="15"/>
  <c r="O5" i="15"/>
  <c r="O7" i="15" s="1"/>
  <c r="M11" i="15"/>
  <c r="M12" i="15"/>
  <c r="M13" i="15" s="1"/>
  <c r="M7" i="15"/>
  <c r="K9" i="15"/>
  <c r="K10" i="15"/>
  <c r="K14" i="15"/>
  <c r="K16" i="15" s="1"/>
  <c r="J16" i="15"/>
  <c r="K15" i="15" l="1"/>
  <c r="M9" i="15"/>
  <c r="M10" i="15"/>
  <c r="M14" i="15"/>
  <c r="M16" i="15" s="1"/>
  <c r="L9" i="15"/>
  <c r="L10" i="15"/>
  <c r="O9" i="15"/>
  <c r="O10" i="15"/>
  <c r="L14" i="15"/>
  <c r="L16" i="15" s="1"/>
  <c r="O14" i="15" l="1"/>
  <c r="O15" i="15"/>
  <c r="L15" i="15"/>
  <c r="M15" i="15"/>
  <c r="M18" i="15" l="1"/>
  <c r="D23" i="15" s="1"/>
  <c r="D22" i="15"/>
  <c r="D25" i="15" s="1"/>
  <c r="D29" i="15" s="1"/>
  <c r="D32" i="15" s="1"/>
</calcChain>
</file>

<file path=xl/sharedStrings.xml><?xml version="1.0" encoding="utf-8"?>
<sst xmlns="http://schemas.openxmlformats.org/spreadsheetml/2006/main" count="714" uniqueCount="463">
  <si>
    <t>About the company</t>
  </si>
  <si>
    <t>Public Holdings</t>
  </si>
  <si>
    <t>Promoters</t>
  </si>
  <si>
    <t>Category &amp; Name of the Shareholders</t>
  </si>
  <si>
    <t>No. of shareholder</t>
  </si>
  <si>
    <t>No. of fully paid up equity shares held</t>
  </si>
  <si>
    <t>Total no. shares held</t>
  </si>
  <si>
    <t>Shareholding % calculated as per SCRR, 1957 As a % of (A+B+C2)</t>
  </si>
  <si>
    <t>No. of Voting Rights</t>
  </si>
  <si>
    <t>Total as a % of Total Voting right</t>
  </si>
  <si>
    <t>Total No. Of shares on fully diluted basis (including warrants, ESOP, Convertible Securities etc.)</t>
  </si>
  <si>
    <t>Shareholding , as a % assuming full conversion of convertible securities ( as a percentage of diluted share capital)As a % of (A+B+C2)</t>
  </si>
  <si>
    <t>No. of equity shares held in dematerialized form(Not Applicable)</t>
  </si>
  <si>
    <t>Category of shareholder</t>
  </si>
  <si>
    <t>Entity Type</t>
  </si>
  <si>
    <t>Nos. of shareholders</t>
  </si>
  <si>
    <t>Total nos. shares held</t>
  </si>
  <si>
    <t>Shareholding as a % of total no. of shares (calculated as per SCRR, 1957)As a % of (A+B+C2)</t>
  </si>
  <si>
    <t>Number of Voting Rights held in each class of securities</t>
  </si>
  <si>
    <t>Number of equity shares held in dematerialized form</t>
  </si>
  <si>
    <t>Institutions</t>
  </si>
  <si>
    <t>-</t>
  </si>
  <si>
    <t>Class eg: X</t>
  </si>
  <si>
    <t>Total</t>
  </si>
  <si>
    <t>B1) Institutions (Domestic)</t>
  </si>
  <si>
    <t>A5) Indian</t>
  </si>
  <si>
    <t>Mutual Funds/</t>
  </si>
  <si>
    <t>A6) Foreign</t>
  </si>
  <si>
    <t>Alternate Investment Funds</t>
  </si>
  <si>
    <t>Any Other (specify)</t>
  </si>
  <si>
    <t>Banks</t>
  </si>
  <si>
    <t>NESTLE S.A.</t>
  </si>
  <si>
    <t>Promoter</t>
  </si>
  <si>
    <t>Insurance Companies</t>
  </si>
  <si>
    <t>MAGGI ENTERPRISES LTD</t>
  </si>
  <si>
    <t>LIFE INSURANCE CORPORATION OF INDIA</t>
  </si>
  <si>
    <t>Sub Total A2</t>
  </si>
  <si>
    <t>Provident Funds/ Pension Funds</t>
  </si>
  <si>
    <t>A=A1+A2</t>
  </si>
  <si>
    <t>NBFCs registered with RBI</t>
  </si>
  <si>
    <t>Sub Total B1</t>
  </si>
  <si>
    <t>B10) Institutions (Foreign)</t>
  </si>
  <si>
    <t xml:space="preserve">Share Holding </t>
  </si>
  <si>
    <t>Foreign Portfolio Investors Category I</t>
  </si>
  <si>
    <t>Particulars</t>
  </si>
  <si>
    <t>Foreign Portfolio Investors Category II</t>
  </si>
  <si>
    <t>Promoters </t>
  </si>
  <si>
    <t>Sub Total B2</t>
  </si>
  <si>
    <t>Nestle S.A.</t>
  </si>
  <si>
    <t>B14) Central Government/ State Government(s)/ President of India</t>
  </si>
  <si>
    <t>Maggi Enterprises Ltd</t>
  </si>
  <si>
    <t>Shareholding by Companies or Bodies Corporate where Central / State Government is a promoter</t>
  </si>
  <si>
    <t>FIIs </t>
  </si>
  <si>
    <t>Sub Total B3</t>
  </si>
  <si>
    <t>DIIs </t>
  </si>
  <si>
    <t>B17) Non-Institutions</t>
  </si>
  <si>
    <t>Life Insurance Corporation Of India</t>
  </si>
  <si>
    <t>Directors and their relatives (excluding independent directors and nominee directors)</t>
  </si>
  <si>
    <t>Sbi Nifty 50 Etf</t>
  </si>
  <si>
    <t>Key Managerial Personnel</t>
  </si>
  <si>
    <t>Public </t>
  </si>
  <si>
    <t>Investor Education and Protection Fund (IEPF)</t>
  </si>
  <si>
    <t>No. of Shareholders</t>
  </si>
  <si>
    <t>Resident Individuals holding nominal share capital up to Rs. 2 lakhs</t>
  </si>
  <si>
    <t>Resident Individuals holding nominal share capital in excess of Rs. 2 lakhs</t>
  </si>
  <si>
    <t>Non Resident Indians (NRIs)</t>
  </si>
  <si>
    <t>Foreign Nationals</t>
  </si>
  <si>
    <t>Bodies Corporate</t>
  </si>
  <si>
    <t>Clearing Members</t>
  </si>
  <si>
    <t>Overseas Corporate Bodies</t>
  </si>
  <si>
    <t>Trusts</t>
  </si>
  <si>
    <t>Foreign Portfolio Investor (Category - III)</t>
  </si>
  <si>
    <t>Unclaimed or Suspense or Escrow Account</t>
  </si>
  <si>
    <t>HUF</t>
  </si>
  <si>
    <t>LLP</t>
  </si>
  <si>
    <t>Sub Total B4</t>
  </si>
  <si>
    <t>B=B1+B2+B3+B4</t>
  </si>
  <si>
    <t>Income Statement For the year ended 2026</t>
  </si>
  <si>
    <t>Balance sheet For the year ended 2026</t>
  </si>
  <si>
    <t>Mar '24</t>
  </si>
  <si>
    <t>Mar '25</t>
  </si>
  <si>
    <t>Mar '26</t>
  </si>
  <si>
    <t>% change</t>
  </si>
  <si>
    <t>Income</t>
  </si>
  <si>
    <t>Sources Of Funds</t>
  </si>
  <si>
    <t>Sales Turnover</t>
  </si>
  <si>
    <t>Total Share Capital</t>
  </si>
  <si>
    <t>Excise Duty</t>
  </si>
  <si>
    <t>Equity Share Capital</t>
  </si>
  <si>
    <t>Net Sales</t>
  </si>
  <si>
    <t>Share Application Money</t>
  </si>
  <si>
    <t>Other Income</t>
  </si>
  <si>
    <t>Preference Share Capital</t>
  </si>
  <si>
    <t>Stock Adjustments</t>
  </si>
  <si>
    <t>Init. Contribution Settler</t>
  </si>
  <si>
    <t>Total Income</t>
  </si>
  <si>
    <t>Preference Share Application Money</t>
  </si>
  <si>
    <t>Expenditure</t>
  </si>
  <si>
    <t>Employee Stock Opiton</t>
  </si>
  <si>
    <t>Raw Materials</t>
  </si>
  <si>
    <t>Reserves</t>
  </si>
  <si>
    <t>Power &amp; Fuel Cost</t>
  </si>
  <si>
    <t>Networth</t>
  </si>
  <si>
    <t>Employee Cost</t>
  </si>
  <si>
    <t>Secured Loans</t>
  </si>
  <si>
    <t>Other Manufacturing Expenses</t>
  </si>
  <si>
    <t>Unsecured Loans</t>
  </si>
  <si>
    <t>Selling and Admin Expenses</t>
  </si>
  <si>
    <t>Total Debt</t>
  </si>
  <si>
    <t>Miscellaneous Expenses</t>
  </si>
  <si>
    <t>Minority Interest</t>
  </si>
  <si>
    <t>Preoperative Exp Capitalised</t>
  </si>
  <si>
    <t>Policy Holders Funds</t>
  </si>
  <si>
    <t>Total Expenses</t>
  </si>
  <si>
    <t>Group Share in Joint Venture</t>
  </si>
  <si>
    <t>Operating Profit</t>
  </si>
  <si>
    <t>Total Liabilities</t>
  </si>
  <si>
    <t>PBDIT</t>
  </si>
  <si>
    <t>Interest</t>
  </si>
  <si>
    <t>Application Of Funds</t>
  </si>
  <si>
    <t>PBDT</t>
  </si>
  <si>
    <t>Gross Block</t>
  </si>
  <si>
    <t>Depreciation</t>
  </si>
  <si>
    <t>Less: Revaluation Reserves</t>
  </si>
  <si>
    <t>Other Written Off</t>
  </si>
  <si>
    <t>Less: Accum. Depreciation</t>
  </si>
  <si>
    <t>Profit Before Tax</t>
  </si>
  <si>
    <t>Net Block</t>
  </si>
  <si>
    <t>Extra-ordinary items</t>
  </si>
  <si>
    <t>Capital Work in Progress</t>
  </si>
  <si>
    <t>PBT (Post Extra-ord Items)</t>
  </si>
  <si>
    <t>Investments</t>
  </si>
  <si>
    <t>Tax</t>
  </si>
  <si>
    <t>Inventories</t>
  </si>
  <si>
    <t>Reported Net Profit</t>
  </si>
  <si>
    <t>Sundry Debtors</t>
  </si>
  <si>
    <t>Cash and Bank Balance</t>
  </si>
  <si>
    <t>Share Of P/L Of Associates</t>
  </si>
  <si>
    <t>Total Current Assets</t>
  </si>
  <si>
    <t>Net P/L After Minority Interest &amp; Share Of Associates</t>
  </si>
  <si>
    <t>Loans and Advances</t>
  </si>
  <si>
    <t>Total Value Addition</t>
  </si>
  <si>
    <t>Fixed Deposits</t>
  </si>
  <si>
    <t>Preference Dividend</t>
  </si>
  <si>
    <t>Total CA, Loans &amp; Advances</t>
  </si>
  <si>
    <t>Equity Dividend</t>
  </si>
  <si>
    <t>Deferred Credit</t>
  </si>
  <si>
    <t>Corporate Dividend Tax</t>
  </si>
  <si>
    <t>Current Liabilities</t>
  </si>
  <si>
    <t>Per share data (annualised)</t>
  </si>
  <si>
    <t>Provisions</t>
  </si>
  <si>
    <t>Shares in issue (lakhs)</t>
  </si>
  <si>
    <t>Total CL &amp; Provisions</t>
  </si>
  <si>
    <t>Earning Per Share (Rs)</t>
  </si>
  <si>
    <t>Net Current Assets</t>
  </si>
  <si>
    <t>Equity Dividend (%)</t>
  </si>
  <si>
    <t>Book Value (Rs)</t>
  </si>
  <si>
    <t>Total Assets</t>
  </si>
  <si>
    <t>Contingent Liabilities</t>
  </si>
  <si>
    <t>Peer Evaluation</t>
  </si>
  <si>
    <t>NESTLEIND</t>
  </si>
  <si>
    <t>Nestle India Limited is a subsidiary of Nestle which is a Swiss MNC. The company operates in the Food segment.Nestle India a subsidiary of Nestle S A (holds 62% stake) is primarily involved in the Food business which incorporates product groups viz. Milk Products and Nutrition, Prepared dishes and Cooking aids, Powdered and Liquid Beverages and Confectionery. It owns brands such as NESCAFÉ, MAGGI, MILKYBAR, KIT KAT, BAR-ONE, MILKMAID, NESTEA etc</t>
  </si>
  <si>
    <t>BRITANNIA</t>
  </si>
  <si>
    <t>Britannia Industries is one of India's leading food companies with a 100-year legacy and annual revenues in excess of Rs. 16000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</si>
  <si>
    <t>BIKAJI</t>
  </si>
  <si>
    <t xml:space="preserve">Bikaji Foods International Limited is one of India's largest fast-moving consumer goods ("FMCG") brands. The company's product range includes six principal categories: bhujia, namkeen, packaged sweets, papad, western snacks as well as other snacks which primarily include gift packs (assortment), frozen food, mathri range, and cookies.                                  </t>
  </si>
  <si>
    <t>Mrs.  BECTORFOOD</t>
  </si>
  <si>
    <t>Mrs. Bectors Food Specialities Ltd is a leading Indian manufacturer of biscuits, bakery products, and ready-to-eat desserts. It operates through two major brands Cremica (biscuits, cookies, crackers, creams) and English Oven (breads, bakery, value-added products). The company is also a preferred supplier to top QSR chains like McDonald’s, Domino’s, KFC, and Subway in India.</t>
  </si>
  <si>
    <t>Attribute</t>
  </si>
  <si>
    <t>LTP (₹)</t>
  </si>
  <si>
    <t>Change (%)</t>
  </si>
  <si>
    <t>Sales (₹ crore)</t>
  </si>
  <si>
    <t>PAT (₹ crore)</t>
  </si>
  <si>
    <t>Equity (₹ crore)</t>
  </si>
  <si>
    <t>Operating Profit Margin (OPM%)</t>
  </si>
  <si>
    <t>Net Profit Margin (NPM%)</t>
  </si>
  <si>
    <t>Earnings Per Share (EPS)</t>
  </si>
  <si>
    <t>Cash Earnings Per Share (CEPS)</t>
  </si>
  <si>
    <t>BECTORFOOD</t>
  </si>
  <si>
    <t>Nestle</t>
  </si>
  <si>
    <t>Debtor Days</t>
  </si>
  <si>
    <t>Inventory Days</t>
  </si>
  <si>
    <t>Days Payable</t>
  </si>
  <si>
    <t>Cash Conversion Cycle</t>
  </si>
  <si>
    <t>Working Capital Days</t>
  </si>
  <si>
    <t>ROCE %</t>
  </si>
  <si>
    <t>Dec '21</t>
  </si>
  <si>
    <t>Dec '22</t>
  </si>
  <si>
    <t>Dec '23</t>
  </si>
  <si>
    <t>% Change</t>
  </si>
  <si>
    <t>Equity Capital</t>
  </si>
  <si>
    <t>Borrowings </t>
  </si>
  <si>
    <t>Long term Borrowings</t>
  </si>
  <si>
    <t>Short term Borrowings</t>
  </si>
  <si>
    <t>Lease Liabilities</t>
  </si>
  <si>
    <t>Other Liabilities </t>
  </si>
  <si>
    <t>Trade Payables</t>
  </si>
  <si>
    <t>Advance from Customers</t>
  </si>
  <si>
    <t>Other liability items</t>
  </si>
  <si>
    <t>Fixed Assets </t>
  </si>
  <si>
    <t>Land</t>
  </si>
  <si>
    <t>Building</t>
  </si>
  <si>
    <t>Plant Machinery</t>
  </si>
  <si>
    <t>Equipments</t>
  </si>
  <si>
    <t>Computers</t>
  </si>
  <si>
    <t>Furniture n fittings</t>
  </si>
  <si>
    <t>Railway sidings</t>
  </si>
  <si>
    <t>Vehicles</t>
  </si>
  <si>
    <t>Intangible Assets</t>
  </si>
  <si>
    <t>Other fixed assets</t>
  </si>
  <si>
    <t>Accumulated Depreciation</t>
  </si>
  <si>
    <t>CWIP</t>
  </si>
  <si>
    <t>Other Assets -</t>
  </si>
  <si>
    <t>Trade receivables</t>
  </si>
  <si>
    <t>Cash Equivalents</t>
  </si>
  <si>
    <t>Loans n Advances</t>
  </si>
  <si>
    <t>Other asset items</t>
  </si>
  <si>
    <t xml:space="preserve">Nifty </t>
  </si>
  <si>
    <t>Beta Calculation</t>
  </si>
  <si>
    <t>Date</t>
  </si>
  <si>
    <t>Close</t>
  </si>
  <si>
    <t>Return</t>
  </si>
  <si>
    <t>Srl. No.</t>
  </si>
  <si>
    <t>Particular</t>
  </si>
  <si>
    <t>Value</t>
  </si>
  <si>
    <t>Formula</t>
  </si>
  <si>
    <t>Beta</t>
  </si>
  <si>
    <t xml:space="preserve">Beta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</si>
  <si>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</si>
  <si>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</si>
  <si>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</si>
  <si>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</si>
  <si>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</si>
  <si>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</si>
  <si>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</si>
  <si>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</si>
  <si>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</si>
  <si>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</si>
  <si>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</si>
  <si>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</si>
  <si>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</si>
  <si>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</si>
  <si>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</si>
  <si>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</si>
  <si>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</si>
  <si>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</si>
  <si>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</si>
  <si>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</si>
  <si>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</si>
  <si>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</si>
  <si>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</si>
  <si>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</si>
  <si>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Revenur from Operations</t>
  </si>
  <si>
    <t>Revenue Growth</t>
  </si>
  <si>
    <t xml:space="preserve">Less:Material Cost </t>
  </si>
  <si>
    <t>Less:Employee Cost</t>
  </si>
  <si>
    <t>Less: Other Expense</t>
  </si>
  <si>
    <t>Total Expense</t>
  </si>
  <si>
    <t>EBITDA</t>
  </si>
  <si>
    <t>Less: Depreciation and Amortization</t>
  </si>
  <si>
    <t>EBIT</t>
  </si>
  <si>
    <t>Add: Non Operating Income/Other Income</t>
  </si>
  <si>
    <t>Less:Interest Expense</t>
  </si>
  <si>
    <t>EBT</t>
  </si>
  <si>
    <t>Less: Tax</t>
  </si>
  <si>
    <t>Less:Non Controlling Interest/Minority Interest</t>
  </si>
  <si>
    <t>PAT</t>
  </si>
  <si>
    <t>Historical Growth</t>
  </si>
  <si>
    <t>Average Growth</t>
  </si>
  <si>
    <t>CAGR</t>
  </si>
  <si>
    <t>Margin Analysis</t>
  </si>
  <si>
    <t>EBITDA Margin</t>
  </si>
  <si>
    <t>EBIT Margin</t>
  </si>
  <si>
    <t>EBT Margin</t>
  </si>
  <si>
    <t>PAT Margin</t>
  </si>
  <si>
    <t>Tax Rate</t>
  </si>
  <si>
    <t>Effective Tax Rate</t>
  </si>
  <si>
    <t>Marginal Tax Rate</t>
  </si>
  <si>
    <t>Return on Capital</t>
  </si>
  <si>
    <t>EBIT(1-t)</t>
  </si>
  <si>
    <t>Book Equity</t>
  </si>
  <si>
    <t>Book Debt</t>
  </si>
  <si>
    <t>Cash and Cash Equivalents</t>
  </si>
  <si>
    <t>Capital Employed</t>
  </si>
  <si>
    <t>Pre Tax Return on Capital</t>
  </si>
  <si>
    <t>Post Tax Return on Capital</t>
  </si>
  <si>
    <t>Growth Summary</t>
  </si>
  <si>
    <t>Average Revenue Growth</t>
  </si>
  <si>
    <t>Revenue CAGR</t>
  </si>
  <si>
    <t>Growth in EBIT</t>
  </si>
  <si>
    <t>2021</t>
  </si>
  <si>
    <t>2022</t>
  </si>
  <si>
    <t>2023</t>
  </si>
  <si>
    <t>2024</t>
  </si>
  <si>
    <t>2025</t>
  </si>
  <si>
    <t>2026</t>
  </si>
  <si>
    <t>Beginning Balance (Net Fixed Assets)</t>
  </si>
  <si>
    <t>Add: Net Purchases (Capex)</t>
  </si>
  <si>
    <t>Total Fixed Assets (Gross)</t>
  </si>
  <si>
    <t>Less: Depreciation &amp; Amortisation</t>
  </si>
  <si>
    <t>Closing Balance (Net Fixed Assets)</t>
  </si>
  <si>
    <t>Net Capital Expenditure</t>
  </si>
  <si>
    <t>Net Capex / Sales (%)</t>
  </si>
  <si>
    <t xml:space="preserve">Median Capital expenditure /Sales percentage </t>
  </si>
  <si>
    <t xml:space="preserve">Average  Capital expenditure /Sales percentage </t>
  </si>
  <si>
    <t>Trade Receivables</t>
  </si>
  <si>
    <t>Non-Cash Working Capital</t>
  </si>
  <si>
    <t>Change in Working Capital</t>
  </si>
  <si>
    <t>Change in WC / Sales (%)</t>
  </si>
  <si>
    <t>Median Non-Cash WC / Sales (%)</t>
  </si>
  <si>
    <t>Less: Tax on EBIT (25%)</t>
  </si>
  <si>
    <t>NOPAT  [EBIT × (1 − Tax)]</t>
  </si>
  <si>
    <t>Less: Net Capital Expenditure</t>
  </si>
  <si>
    <t>Less: Change in Working Capital</t>
  </si>
  <si>
    <t>Reinvestment (Capex + ΔWCL)</t>
  </si>
  <si>
    <t>Free Cash Flow to Firm (FCFF)</t>
  </si>
  <si>
    <t xml:space="preserve">Reinvestment Rate </t>
  </si>
  <si>
    <t xml:space="preserve">Median Reinvestment rate   /Sales percentage </t>
  </si>
  <si>
    <t xml:space="preserve">Average Reinvestment rate   /Sales percentage </t>
  </si>
  <si>
    <t>Nestle Ltd.</t>
  </si>
  <si>
    <t>Weighted Average Cost of Capital</t>
  </si>
  <si>
    <t>Capital Structure</t>
  </si>
  <si>
    <t xml:space="preserve">Amt. </t>
  </si>
  <si>
    <t>Cost of Equity</t>
  </si>
  <si>
    <t>Cost of Debt</t>
  </si>
  <si>
    <t>Risk free rate(Rf)</t>
  </si>
  <si>
    <t>Cost of debt*</t>
  </si>
  <si>
    <t>Total Equity</t>
  </si>
  <si>
    <t>Tax rate</t>
  </si>
  <si>
    <t>Total Mix</t>
  </si>
  <si>
    <t>Market risk premium</t>
  </si>
  <si>
    <t>Cost of Debt after tax</t>
  </si>
  <si>
    <t>% of Debt</t>
  </si>
  <si>
    <t>Cost of equity</t>
  </si>
  <si>
    <t>% of Equity</t>
  </si>
  <si>
    <t>Spread(Wacc-Growth)</t>
  </si>
  <si>
    <t>Debt to Equity</t>
  </si>
  <si>
    <t>WACC</t>
  </si>
  <si>
    <t>Source</t>
  </si>
  <si>
    <t>Weight</t>
  </si>
  <si>
    <t>Cost</t>
  </si>
  <si>
    <t>Weighted Cost</t>
  </si>
  <si>
    <t xml:space="preserve">Debt </t>
  </si>
  <si>
    <t>Equity</t>
  </si>
  <si>
    <t>S.No.</t>
  </si>
  <si>
    <t>Name</t>
  </si>
  <si>
    <t>CMP Rs.</t>
  </si>
  <si>
    <t>P/E</t>
  </si>
  <si>
    <t>Mar Cap Rs.Cr.</t>
  </si>
  <si>
    <t>Div Yld %</t>
  </si>
  <si>
    <t>Qtr Profit Var %</t>
  </si>
  <si>
    <t>Sales Qtr Rs.Cr.</t>
  </si>
  <si>
    <t>Qtr Sales Var %</t>
  </si>
  <si>
    <t>ROCE %</t>
  </si>
  <si>
    <t>No. Eq. Shares Cr.</t>
  </si>
  <si>
    <t>Debt Rs.Cr.</t>
  </si>
  <si>
    <t>NP 12M Rs.Cr.</t>
  </si>
  <si>
    <t>Cash End Rs.Cr.</t>
  </si>
  <si>
    <t>Sales Rs. Cr.</t>
  </si>
  <si>
    <t>EV / EBITDA</t>
  </si>
  <si>
    <t>OP 12M Rs. Cr.</t>
  </si>
  <si>
    <t>Nestle India</t>
  </si>
  <si>
    <t>Britannia Inds.</t>
  </si>
  <si>
    <t>Bikaji Foods</t>
  </si>
  <si>
    <t>Zydus Wellness</t>
  </si>
  <si>
    <t>The Bombay Burmah</t>
  </si>
  <si>
    <t>Mrs Bectors</t>
  </si>
  <si>
    <t>Gopal Snacks</t>
  </si>
  <si>
    <t>Relative Valuation - Siemens Ltd</t>
  </si>
  <si>
    <t>Figures in Crore</t>
  </si>
  <si>
    <t>Comparable Company Valuation</t>
  </si>
  <si>
    <t>Company Name</t>
  </si>
  <si>
    <t>Market Data</t>
  </si>
  <si>
    <t>Financials</t>
  </si>
  <si>
    <t>Valuation</t>
  </si>
  <si>
    <t>No. of shares</t>
  </si>
  <si>
    <t>Share Price</t>
  </si>
  <si>
    <t>Equity value</t>
  </si>
  <si>
    <t>Debt</t>
  </si>
  <si>
    <t>cash</t>
  </si>
  <si>
    <t>Enterprises value</t>
  </si>
  <si>
    <t>Revenue</t>
  </si>
  <si>
    <t>Net Profit</t>
  </si>
  <si>
    <t>EPS</t>
  </si>
  <si>
    <t>EV/Revenue</t>
  </si>
  <si>
    <t>EV/EBITDA</t>
  </si>
  <si>
    <t>P/E Ratio</t>
  </si>
  <si>
    <t>Median: 42 Co.</t>
  </si>
  <si>
    <t>Max</t>
  </si>
  <si>
    <t>75th Percentile</t>
  </si>
  <si>
    <t>Average</t>
  </si>
  <si>
    <t>median</t>
  </si>
  <si>
    <t>Min.</t>
  </si>
  <si>
    <t xml:space="preserve">Overvalued </t>
  </si>
  <si>
    <t>Overvalued</t>
  </si>
  <si>
    <t>Implied Enterprise Value</t>
  </si>
  <si>
    <t>Net Debt</t>
  </si>
  <si>
    <t>Implied Market Value</t>
  </si>
  <si>
    <t>Share Outstanding</t>
  </si>
  <si>
    <t>Implied Value per Share</t>
  </si>
  <si>
    <t>Nestle Ltd "Growth Scenarios"</t>
  </si>
  <si>
    <t>Scenario 1: High Growth</t>
  </si>
  <si>
    <t>Average Of Revenue Growth</t>
  </si>
  <si>
    <t>INR Cr.</t>
  </si>
  <si>
    <t>LTM</t>
  </si>
  <si>
    <t>Y1E</t>
  </si>
  <si>
    <t>Y2E</t>
  </si>
  <si>
    <t>Y3E</t>
  </si>
  <si>
    <t>Y4W</t>
  </si>
  <si>
    <t>Y5E</t>
  </si>
  <si>
    <t>Y6E</t>
  </si>
  <si>
    <t>Y7E</t>
  </si>
  <si>
    <t>Y8E</t>
  </si>
  <si>
    <t>Y9E</t>
  </si>
  <si>
    <t>Y10E</t>
  </si>
  <si>
    <t>Risk free rate</t>
  </si>
  <si>
    <t>Sales</t>
  </si>
  <si>
    <t>Sales Growth %</t>
  </si>
  <si>
    <t>Per Year</t>
  </si>
  <si>
    <t>Scenario 2: Average Growth</t>
  </si>
  <si>
    <t>For 7 Years Take it common , then devide by 3 (left years)</t>
  </si>
  <si>
    <t>Scenario 3: EBIT Growth</t>
  </si>
  <si>
    <t>Live Scenario</t>
  </si>
  <si>
    <t>Nestle Ltd - "VALUATION"</t>
  </si>
  <si>
    <t>INR Cr</t>
  </si>
  <si>
    <t>Terminal Year</t>
  </si>
  <si>
    <t>Terminal growth rate %</t>
  </si>
  <si>
    <t xml:space="preserve">Sales </t>
  </si>
  <si>
    <t>Cost of Capital %</t>
  </si>
  <si>
    <t>Sales Growth</t>
  </si>
  <si>
    <t>Terminal reinvestment rate %</t>
  </si>
  <si>
    <t>EBIT Margin %</t>
  </si>
  <si>
    <t>Enterprise value = Equity Value + Minority interest</t>
  </si>
  <si>
    <t>Less: Tax on EBIT</t>
  </si>
  <si>
    <t>EBIT(1-T)</t>
  </si>
  <si>
    <t>Non Cash Working Capital</t>
  </si>
  <si>
    <t>Reinvestment</t>
  </si>
  <si>
    <t>Free Cash Flow To Firm (FCFF)</t>
  </si>
  <si>
    <t>Implied Reinvestment rate %</t>
  </si>
  <si>
    <t>Terminal Value</t>
  </si>
  <si>
    <t>Present Value Interest Factor(PVIF)</t>
  </si>
  <si>
    <t>Present value of FCFF</t>
  </si>
  <si>
    <t>Present value of Terminal value</t>
  </si>
  <si>
    <t>Value of operating assets</t>
  </si>
  <si>
    <t>Add: Cash</t>
  </si>
  <si>
    <t>Less: Debt</t>
  </si>
  <si>
    <t>Less: Minority Interest</t>
  </si>
  <si>
    <t>Equity Value</t>
  </si>
  <si>
    <t>No. of Shares outstanding (Cr)</t>
  </si>
  <si>
    <t xml:space="preserve">intrinsic value per share </t>
  </si>
  <si>
    <t>Current  333</t>
  </si>
  <si>
    <t>Oberoi Realty Ltd is a real estate development company, headquartered in Mumbai. It is the part of Oberoi Realty Group, focused on developments in the residential, office space, retail, hospitality, and social infrastructure verticals.</t>
  </si>
  <si>
    <t>Business Segments</t>
  </si>
  <si>
    <t>1) Real Estate (96% in 9M FY25 vs 97% in FY22):</t>
  </si>
  <si>
    <t>The company is an India’s leading real estate developer, specializing in premium residential, office space, retail, hospitality, and social infrastructure projects. It has completed 50 projects across Mumbai, covering 161 lakh sq ft of developed area.</t>
  </si>
  <si>
    <t>2) Hospitality (4% in 9M FY25 vs 3% in FY22)</t>
  </si>
  <si>
    <t>company operates The Westin Mumbai Garden City, a luxury hotel in Goregaon East. The hotel features 269 rooms, premium amenities, recreational facilities, business services, multiple dining options, etc</t>
  </si>
  <si>
    <t>Investment Properties</t>
  </si>
  <si>
    <t>The company’s investment property portfolio comprises 6 commercial properties in Mumbai, including Commerz I, II, III, Oberoi International School (Goregaon &amp; JVLR), and Oberoi Mall, with a total leased carpet area of 25+ lakh sq ft. Rental income from these properties contributed 13% of revenue in 9M FY25 vs 7% in FY24.</t>
  </si>
  <si>
    <t>Development Properties</t>
  </si>
  <si>
    <t>The company’s development properties portfolio includes key projects across Mumbai, including Elysian, Jardin, Forestville, Eternia, Enigma, Sky City, and Three Sixty West, with a total carpet area of 1.04 Cr sq ft. As of Q3 FY25, 67.4 lakh sq ft has been booked, while 36.7 lakh sq ft remains in inventory, contributing to a total booking value of Rs. 20,945 Cr.</t>
  </si>
  <si>
    <t>New Launch</t>
  </si>
  <si>
    <t>In Oct 2024, the company launched Oberoi Garden City, Thane, spread across 75 acres. The project features luxury homes, the JW Marriott Hotel, a Private Membership Club, and Oberoi International School. The first phase includes 5 towers with 3 BHK and 3 BHK + studio apartments. Bookings for 2 towers reached Rs. 1,348 Cr for 5.65 lakh sq ft in the first 3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</si>
</sst>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mm\-yy"/>
    <numFmt numFmtId="165" formatCode="0.000"/>
    <numFmt numFmtId="166" formatCode="0.0"/>
    <numFmt numFmtId="167" formatCode="m/d/yyyy"/>
    <numFmt numFmtId="168" formatCode="0.0%"/>
    <numFmt numFmtId="169" formatCode="0.000%"/>
    <numFmt numFmtId="170" formatCode="_ * #,##0.00_ ;_ * \-#,##0.00_ ;_ * \-??_ ;_ @_ "/>
    <numFmt numFmtId="171" formatCode="0.0000"/>
    <numFmt numFmtId="172" formatCode="0.\X"/>
    <numFmt numFmtId="173" formatCode="0.00000"/>
    <numFmt numFmtId="174" formatCode="_ * #,##0.0000_ ;_ * \-#,##0.0000_ ;_ * \-??_ ;_ @_ "/>
  </numFmts>
  <fonts count="55" x14ac:knownFonts="1">
    <font>
      <sz val="11"/>
      <color theme="1"/>
      <name val="Aptos Narrow"/>
      <family val="2"/>
      <charset val="1"/>
    </font>
    <font>
      <sz val="11"/>
      <color theme="1"/>
      <name val="Times New Roman"/>
      <family val="1"/>
      <charset val="1"/>
    </font>
    <font>
      <b/>
      <sz val="12"/>
      <color theme="0"/>
      <name val="Times New Roman"/>
      <family val="1"/>
      <charset val="1"/>
    </font>
    <font>
      <sz val="9"/>
      <color rgb="FFFFFFFF"/>
      <name val="Times New Roman"/>
      <family val="1"/>
      <charset val="1"/>
    </font>
    <font>
      <sz val="9"/>
      <color rgb="FF000000"/>
      <name val="Times New Roman"/>
      <family val="1"/>
      <charset val="1"/>
    </font>
    <font>
      <b/>
      <sz val="11"/>
      <color theme="0"/>
      <name val="Times New Roman"/>
      <family val="1"/>
      <charset val="1"/>
    </font>
    <font>
      <sz val="9"/>
      <color rgb="FF22222F"/>
      <name val="Times New Roman"/>
      <family val="1"/>
      <charset val="1"/>
    </font>
    <font>
      <sz val="9"/>
      <color theme="1"/>
      <name val="Times New Roman"/>
      <family val="1"/>
      <charset val="1"/>
    </font>
    <font>
      <sz val="9"/>
      <name val="Times New Roman"/>
      <family val="1"/>
      <charset val="1"/>
    </font>
    <font>
      <b/>
      <sz val="9"/>
      <color theme="0"/>
      <name val="Times New Roman"/>
      <family val="1"/>
      <charset val="1"/>
    </font>
    <font>
      <sz val="9"/>
      <color theme="1"/>
      <name val="Aptos Narrow"/>
      <family val="2"/>
      <charset val="1"/>
    </font>
    <font>
      <b/>
      <sz val="9"/>
      <color theme="1"/>
      <name val="Times New Roman"/>
      <family val="1"/>
      <charset val="1"/>
    </font>
    <font>
      <b/>
      <sz val="9"/>
      <color rgb="FF333333"/>
      <name val="Times New Roman"/>
      <family val="1"/>
      <charset val="1"/>
    </font>
    <font>
      <sz val="9"/>
      <color rgb="FF333333"/>
      <name val="Times New Roman"/>
      <family val="1"/>
      <charset val="1"/>
    </font>
    <font>
      <sz val="8"/>
      <color theme="1"/>
      <name val="Times New Roman"/>
      <family val="1"/>
      <charset val="1"/>
    </font>
    <font>
      <sz val="8"/>
      <color rgb="FF000000"/>
      <name val="Times New Roman"/>
      <family val="1"/>
      <charset val="1"/>
    </font>
    <font>
      <b/>
      <sz val="16"/>
      <color theme="1"/>
      <name val="Times New Roman"/>
      <family val="1"/>
      <charset val="1"/>
    </font>
    <font>
      <b/>
      <sz val="10"/>
      <color theme="0"/>
      <name val="Times New Roman"/>
      <family val="1"/>
      <charset val="1"/>
    </font>
    <font>
      <sz val="10.5"/>
      <color theme="1"/>
      <name val="Times New Roman"/>
      <family val="1"/>
      <charset val="1"/>
    </font>
    <font>
      <b/>
      <sz val="10"/>
      <color theme="1"/>
      <name val="Times New Roman"/>
      <family val="1"/>
      <charset val="1"/>
    </font>
    <font>
      <sz val="10.6"/>
      <color theme="1"/>
      <name val="Times New Roman"/>
      <family val="1"/>
      <charset val="1"/>
    </font>
    <font>
      <b/>
      <sz val="14"/>
      <color theme="0"/>
      <name val="Times New Roman"/>
      <family val="1"/>
      <charset val="1"/>
    </font>
    <font>
      <b/>
      <sz val="11"/>
      <color theme="1"/>
      <name val="Times New Roman"/>
      <family val="1"/>
      <charset val="1"/>
    </font>
    <font>
      <sz val="11"/>
      <color rgb="FF22222F"/>
      <name val="Times New Roman"/>
      <family val="1"/>
      <charset val="1"/>
    </font>
    <font>
      <b/>
      <sz val="8"/>
      <color theme="0"/>
      <name val="Times New Roman"/>
      <family val="1"/>
      <charset val="1"/>
    </font>
    <font>
      <b/>
      <sz val="10"/>
      <name val="Times New Roman"/>
      <family val="1"/>
      <charset val="1"/>
    </font>
    <font>
      <b/>
      <sz val="8"/>
      <name val="Times New Roman"/>
      <family val="1"/>
      <charset val="1"/>
    </font>
    <font>
      <b/>
      <sz val="8"/>
      <color theme="1"/>
      <name val="Times New Roman"/>
      <family val="1"/>
      <charset val="1"/>
    </font>
    <font>
      <sz val="8"/>
      <color rgb="FF22222F"/>
      <name val="Times New Roman"/>
      <family val="1"/>
      <charset val="1"/>
    </font>
    <font>
      <sz val="6"/>
      <color theme="1"/>
      <name val="Arial"/>
      <family val="2"/>
      <charset val="1"/>
    </font>
    <font>
      <b/>
      <sz val="6"/>
      <color theme="1"/>
      <name val="Arial"/>
      <family val="2"/>
      <charset val="1"/>
    </font>
    <font>
      <b/>
      <sz val="11"/>
      <name val="Times New Roman"/>
      <family val="1"/>
      <charset val="1"/>
    </font>
    <font>
      <b/>
      <sz val="11"/>
      <name val="Calibri"/>
      <family val="2"/>
      <charset val="1"/>
    </font>
    <font>
      <b/>
      <i/>
      <sz val="11"/>
      <color theme="0"/>
      <name val="Aptos Narrow"/>
      <family val="2"/>
      <charset val="1"/>
    </font>
    <font>
      <b/>
      <sz val="11"/>
      <color theme="1"/>
      <name val="Aptos Narrow"/>
      <family val="2"/>
      <charset val="1"/>
    </font>
    <font>
      <sz val="10"/>
      <color theme="1"/>
      <name val="Times New Roman"/>
      <family val="1"/>
      <charset val="1"/>
    </font>
    <font>
      <sz val="10"/>
      <color theme="1"/>
      <name val="Arial"/>
      <family val="2"/>
      <charset val="1"/>
    </font>
    <font>
      <i/>
      <sz val="10"/>
      <color theme="2" tint="-0.499984740745262"/>
      <name val="Times New Roman"/>
      <family val="1"/>
      <charset val="1"/>
    </font>
    <font>
      <sz val="10"/>
      <color rgb="FF000000"/>
      <name val="Arial"/>
      <family val="2"/>
      <charset val="1"/>
    </font>
    <font>
      <sz val="10"/>
      <name val="Times New Roman"/>
      <family val="1"/>
      <charset val="1"/>
    </font>
    <font>
      <b/>
      <sz val="10"/>
      <color rgb="FFFFFFFF"/>
      <name val="Times New Roman"/>
      <family val="1"/>
      <charset val="1"/>
    </font>
    <font>
      <b/>
      <sz val="11"/>
      <color rgb="FFFFFFFF"/>
      <name val="Times New Roman"/>
      <family val="1"/>
      <charset val="1"/>
    </font>
    <font>
      <b/>
      <sz val="14"/>
      <color theme="1"/>
      <name val="Times New Roman"/>
      <family val="1"/>
      <charset val="1"/>
    </font>
    <font>
      <b/>
      <sz val="12"/>
      <color theme="1"/>
      <name val="Times New Roman"/>
      <family val="1"/>
      <charset val="1"/>
    </font>
    <font>
      <u/>
      <sz val="11"/>
      <color theme="10"/>
      <name val="Times New Roman"/>
      <family val="1"/>
      <charset val="1"/>
    </font>
    <font>
      <i/>
      <sz val="11"/>
      <color theme="0"/>
      <name val="Times New Roman"/>
      <family val="1"/>
      <charset val="1"/>
    </font>
    <font>
      <i/>
      <sz val="10"/>
      <color theme="1"/>
      <name val="Times New Roman"/>
      <family val="1"/>
      <charset val="1"/>
    </font>
    <font>
      <b/>
      <i/>
      <sz val="10"/>
      <color theme="1"/>
      <name val="Times New Roman"/>
      <family val="1"/>
      <charset val="1"/>
    </font>
    <font>
      <sz val="9"/>
      <color rgb="FF606F7B"/>
      <name val="Times New Roman"/>
      <family val="1"/>
    </font>
    <font>
      <sz val="9"/>
      <color theme="1"/>
      <name val="Times New Roman"/>
      <family val="1"/>
    </font>
    <font>
      <u/>
      <sz val="9"/>
      <color theme="10"/>
      <name val="Times New Roman"/>
      <family val="1"/>
    </font>
    <font>
      <b/>
      <sz val="10"/>
      <color theme="0"/>
      <name val="Times New Roman"/>
      <family val="1"/>
    </font>
    <font>
      <sz val="9"/>
      <name val="Times New Roman"/>
      <family val="1"/>
    </font>
    <font>
      <b/>
      <sz val="11"/>
      <color theme="0"/>
      <name val="Times New Roman"/>
      <family val="1"/>
    </font>
    <font>
      <b/>
      <sz val="10"/>
      <name val="Times New Roman"/>
      <family val="1"/>
    </font>
  </fonts>
  <fills count="19">
    <fill>
      <patternFill patternType="none"/>
    </fill>
    <fill>
      <patternFill patternType="gray125"/>
    </fill>
    <fill>
      <patternFill patternType="solid">
        <fgColor theme="2" tint="-0.749992370372631"/>
        <bgColor rgb="FF333333"/>
      </patternFill>
    </fill>
    <fill>
      <patternFill patternType="solid">
        <fgColor theme="4"/>
        <bgColor rgb="FF1F4E79"/>
      </patternFill>
    </fill>
    <fill>
      <patternFill patternType="solid">
        <fgColor rgb="FFFFFFFF"/>
        <bgColor rgb="FFEEEEEE"/>
      </patternFill>
    </fill>
    <fill>
      <patternFill patternType="solid">
        <fgColor theme="4" tint="0.79979857783745845"/>
        <bgColor rgb="FFCAEEFB"/>
      </patternFill>
    </fill>
    <fill>
      <patternFill patternType="solid">
        <fgColor theme="4" tint="-0.249977111117893"/>
        <bgColor rgb="FF084F6B"/>
      </patternFill>
    </fill>
    <fill>
      <patternFill patternType="solid">
        <fgColor theme="3"/>
        <bgColor rgb="FF22222F"/>
      </patternFill>
    </fill>
    <fill>
      <patternFill patternType="solid">
        <fgColor theme="7" tint="0.79979857783745845"/>
        <bgColor rgb="FFC1E5F5"/>
      </patternFill>
    </fill>
    <fill>
      <patternFill patternType="solid">
        <fgColor theme="3" tint="0.74977874080629903"/>
        <bgColor rgb="FF96DCF8"/>
      </patternFill>
    </fill>
    <fill>
      <patternFill patternType="solid">
        <fgColor theme="7" tint="-0.249977111117893"/>
        <bgColor rgb="FF156082"/>
      </patternFill>
    </fill>
    <fill>
      <patternFill patternType="solid">
        <fgColor theme="3" tint="0.89989928891872917"/>
        <bgColor rgb="FFD6E4F0"/>
      </patternFill>
    </fill>
    <fill>
      <patternFill patternType="solid">
        <fgColor rgb="FFD6E4F0"/>
        <bgColor rgb="FFDCEAF7"/>
      </patternFill>
    </fill>
    <fill>
      <patternFill patternType="solid">
        <fgColor rgb="FF1F4E79"/>
        <bgColor rgb="FF104862"/>
      </patternFill>
    </fill>
    <fill>
      <patternFill patternType="solid">
        <fgColor theme="7" tint="0.59978026673177287"/>
        <bgColor rgb="FFA6CAEC"/>
      </patternFill>
    </fill>
    <fill>
      <patternFill patternType="solid">
        <fgColor theme="7" tint="-0.499984740745262"/>
        <bgColor rgb="FF104862"/>
      </patternFill>
    </fill>
    <fill>
      <patternFill patternType="solid">
        <fgColor theme="4" tint="0.59987182226020086"/>
        <bgColor rgb="FF96DCF8"/>
      </patternFill>
    </fill>
    <fill>
      <patternFill patternType="solid">
        <fgColor theme="4"/>
        <bgColor indexed="64"/>
      </patternFill>
    </fill>
    <fill>
      <patternFill patternType="solid">
        <fgColor theme="4" tint="0.59999389629810485"/>
        <bgColor indexed="64"/>
      </patternFill>
    </fill>
  </fills>
  <borders count="4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rgb="FFEEEEEE"/>
      </left>
      <right style="medium">
        <color rgb="FFEEEEEE"/>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top style="medium">
        <color auto="1"/>
      </top>
      <bottom style="thin">
        <color auto="1"/>
      </bottom>
      <diagonal/>
    </border>
    <border>
      <left/>
      <right/>
      <top/>
      <bottom style="medium">
        <color auto="1"/>
      </bottom>
      <diagonal/>
    </border>
    <border>
      <left style="medium">
        <color theme="1"/>
      </left>
      <right style="thin">
        <color theme="1"/>
      </right>
      <top/>
      <bottom style="thin">
        <color theme="1"/>
      </bottom>
      <diagonal/>
    </border>
    <border>
      <left style="thin">
        <color theme="1"/>
      </left>
      <right style="medium">
        <color theme="1"/>
      </right>
      <top/>
      <bottom style="thin">
        <color theme="1"/>
      </bottom>
      <diagonal/>
    </border>
    <border>
      <left style="medium">
        <color auto="1"/>
      </left>
      <right style="thin">
        <color theme="1"/>
      </right>
      <top style="thin">
        <color theme="1"/>
      </top>
      <bottom/>
      <diagonal/>
    </border>
    <border>
      <left style="thin">
        <color theme="1"/>
      </left>
      <right style="medium">
        <color auto="1"/>
      </right>
      <top style="thin">
        <color theme="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auto="1"/>
      </top>
      <bottom style="thick">
        <color auto="1"/>
      </bottom>
      <diagonal/>
    </border>
    <border>
      <left style="medium">
        <color theme="1"/>
      </left>
      <right/>
      <top style="thin">
        <color theme="1"/>
      </top>
      <bottom style="double">
        <color theme="1"/>
      </bottom>
      <diagonal/>
    </border>
    <border>
      <left style="thin">
        <color theme="1"/>
      </left>
      <right style="medium">
        <color theme="1"/>
      </right>
      <top style="thin">
        <color theme="1"/>
      </top>
      <bottom style="double">
        <color theme="1"/>
      </bottom>
      <diagonal/>
    </border>
    <border>
      <left style="thin">
        <color theme="1"/>
      </left>
      <right style="medium">
        <color theme="1"/>
      </right>
      <top/>
      <bottom style="medium">
        <color theme="1"/>
      </bottom>
      <diagonal/>
    </border>
    <border>
      <left style="medium">
        <color theme="1"/>
      </left>
      <right/>
      <top style="medium">
        <color theme="1"/>
      </top>
      <bottom/>
      <diagonal/>
    </border>
    <border>
      <left style="thin">
        <color theme="1"/>
      </left>
      <right style="medium">
        <color theme="1"/>
      </right>
      <top style="medium">
        <color theme="1"/>
      </top>
      <bottom/>
      <diagonal/>
    </border>
    <border>
      <left style="thin">
        <color theme="1"/>
      </left>
      <right style="medium">
        <color theme="1"/>
      </right>
      <top/>
      <bottom/>
      <diagonal/>
    </border>
    <border>
      <left/>
      <right style="medium">
        <color theme="1"/>
      </right>
      <top/>
      <bottom style="medium">
        <color theme="1"/>
      </bottom>
      <diagonal/>
    </border>
  </borders>
  <cellStyleXfs count="1">
    <xf numFmtId="0" fontId="0" fillId="0" borderId="0"/>
  </cellStyleXfs>
  <cellXfs count="301">
    <xf numFmtId="0" fontId="0" fillId="0" borderId="0" xfId="0"/>
    <xf numFmtId="0" fontId="9" fillId="3" borderId="1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0" borderId="0" xfId="0" applyFont="1"/>
    <xf numFmtId="0" fontId="4" fillId="4" borderId="2" xfId="0" applyFont="1" applyFill="1" applyBorder="1" applyAlignment="1">
      <alignment horizontal="left" vertical="center" wrapText="1"/>
    </xf>
    <xf numFmtId="0" fontId="4" fillId="4" borderId="2" xfId="0" applyFont="1" applyFill="1" applyBorder="1" applyAlignment="1">
      <alignment horizontal="right" vertical="center" wrapText="1"/>
    </xf>
    <xf numFmtId="3" fontId="4" fillId="4" borderId="2" xfId="0" applyNumberFormat="1" applyFont="1" applyFill="1" applyBorder="1" applyAlignment="1">
      <alignment horizontal="right" vertical="center" wrapText="1"/>
    </xf>
    <xf numFmtId="0" fontId="5" fillId="3" borderId="0" xfId="0" applyFont="1" applyFill="1"/>
    <xf numFmtId="164" fontId="5" fillId="3" borderId="0" xfId="0" applyNumberFormat="1" applyFont="1" applyFill="1" applyAlignment="1">
      <alignment horizontal="right" vertical="center" wrapText="1"/>
    </xf>
    <xf numFmtId="0" fontId="6" fillId="0" borderId="3" xfId="0" applyFont="1" applyBorder="1" applyAlignment="1">
      <alignment vertical="center" wrapText="1"/>
    </xf>
    <xf numFmtId="10" fontId="6" fillId="0" borderId="4" xfId="0" applyNumberFormat="1" applyFont="1" applyBorder="1" applyAlignment="1">
      <alignment horizontal="right" vertical="center" wrapText="1"/>
    </xf>
    <xf numFmtId="10" fontId="6" fillId="0" borderId="5" xfId="0" applyNumberFormat="1" applyFont="1" applyBorder="1" applyAlignment="1">
      <alignment horizontal="right" vertical="center" wrapText="1"/>
    </xf>
    <xf numFmtId="0" fontId="7" fillId="0" borderId="6" xfId="0" applyFont="1" applyBorder="1"/>
    <xf numFmtId="0" fontId="6" fillId="0" borderId="2" xfId="0" applyFont="1" applyBorder="1" applyAlignment="1">
      <alignment horizontal="right" vertical="center" wrapText="1"/>
    </xf>
    <xf numFmtId="0" fontId="6" fillId="0" borderId="7" xfId="0" applyFont="1" applyBorder="1" applyAlignment="1">
      <alignment horizontal="right" vertical="center" wrapText="1"/>
    </xf>
    <xf numFmtId="0" fontId="6" fillId="0" borderId="8" xfId="0" applyFont="1" applyBorder="1" applyAlignment="1">
      <alignment vertical="center" wrapText="1"/>
    </xf>
    <xf numFmtId="10" fontId="6" fillId="0" borderId="2" xfId="0" applyNumberFormat="1" applyFont="1" applyBorder="1" applyAlignment="1">
      <alignment horizontal="right" vertical="center" wrapText="1"/>
    </xf>
    <xf numFmtId="10" fontId="6" fillId="0" borderId="7" xfId="0" applyNumberFormat="1" applyFont="1" applyBorder="1" applyAlignment="1">
      <alignment horizontal="right" vertical="center" wrapText="1"/>
    </xf>
    <xf numFmtId="0" fontId="8" fillId="0" borderId="9" xfId="0" applyFont="1" applyBorder="1" applyAlignment="1">
      <alignment vertical="center" wrapText="1"/>
    </xf>
    <xf numFmtId="3" fontId="8" fillId="0" borderId="10" xfId="0" applyNumberFormat="1" applyFont="1" applyBorder="1" applyAlignment="1">
      <alignment horizontal="right" vertical="center" wrapText="1"/>
    </xf>
    <xf numFmtId="3" fontId="8" fillId="0" borderId="11" xfId="0" applyNumberFormat="1" applyFont="1" applyBorder="1" applyAlignment="1">
      <alignment horizontal="right" vertical="center" wrapText="1"/>
    </xf>
    <xf numFmtId="0" fontId="7" fillId="0" borderId="0" xfId="0" applyFont="1"/>
    <xf numFmtId="0" fontId="9" fillId="3" borderId="2" xfId="0" applyFont="1" applyFill="1" applyBorder="1" applyAlignment="1">
      <alignment vertical="center" wrapText="1"/>
    </xf>
    <xf numFmtId="0" fontId="10" fillId="0" borderId="0" xfId="0" applyFont="1"/>
    <xf numFmtId="0" fontId="9" fillId="3" borderId="1" xfId="0" applyFont="1" applyFill="1" applyBorder="1" applyAlignment="1">
      <alignment horizontal="center" vertical="center" wrapText="1"/>
    </xf>
    <xf numFmtId="0" fontId="11" fillId="4" borderId="2" xfId="0" applyFont="1" applyFill="1" applyBorder="1" applyAlignment="1">
      <alignment vertical="center" wrapText="1"/>
    </xf>
    <xf numFmtId="0" fontId="11" fillId="4" borderId="2" xfId="0" applyFont="1" applyFill="1" applyBorder="1" applyAlignment="1">
      <alignment horizontal="right" vertical="center" wrapText="1"/>
    </xf>
    <xf numFmtId="0" fontId="12" fillId="0" borderId="13" xfId="0" applyFont="1" applyBorder="1" applyAlignment="1">
      <alignment vertical="top" wrapText="1"/>
    </xf>
    <xf numFmtId="0" fontId="12" fillId="0" borderId="14" xfId="0" applyFont="1" applyBorder="1" applyAlignment="1">
      <alignment vertical="top" wrapText="1"/>
    </xf>
    <xf numFmtId="0" fontId="7" fillId="4" borderId="2" xfId="0" applyFont="1" applyFill="1" applyBorder="1" applyAlignment="1">
      <alignment vertical="center" wrapText="1"/>
    </xf>
    <xf numFmtId="4" fontId="7" fillId="4" borderId="2" xfId="0" applyNumberFormat="1" applyFont="1" applyFill="1" applyBorder="1" applyAlignment="1">
      <alignment vertical="center" wrapText="1"/>
    </xf>
    <xf numFmtId="0" fontId="7" fillId="0" borderId="2" xfId="0" applyFont="1" applyBorder="1"/>
    <xf numFmtId="0" fontId="7" fillId="4" borderId="2" xfId="0" applyFont="1" applyFill="1" applyBorder="1" applyAlignment="1">
      <alignment horizontal="right" vertical="center" wrapText="1"/>
    </xf>
    <xf numFmtId="0" fontId="13" fillId="0" borderId="2" xfId="0" applyFont="1" applyBorder="1" applyAlignment="1">
      <alignment horizontal="left" vertical="top" wrapText="1"/>
    </xf>
    <xf numFmtId="0" fontId="13" fillId="0" borderId="2" xfId="0" applyFont="1" applyBorder="1" applyAlignment="1">
      <alignment horizontal="right" vertical="top" wrapText="1"/>
    </xf>
    <xf numFmtId="4" fontId="7" fillId="4" borderId="2" xfId="0" applyNumberFormat="1" applyFont="1" applyFill="1" applyBorder="1" applyAlignment="1">
      <alignment horizontal="right" vertical="center" wrapText="1"/>
    </xf>
    <xf numFmtId="0" fontId="12" fillId="0" borderId="2" xfId="0" applyFont="1" applyBorder="1" applyAlignment="1">
      <alignment horizontal="left" vertical="top" wrapText="1"/>
    </xf>
    <xf numFmtId="0" fontId="12" fillId="0" borderId="2" xfId="0" applyFont="1" applyBorder="1" applyAlignment="1">
      <alignment horizontal="right" vertical="top" wrapText="1"/>
    </xf>
    <xf numFmtId="4" fontId="13" fillId="0" borderId="2" xfId="0" applyNumberFormat="1" applyFont="1" applyBorder="1" applyAlignment="1">
      <alignment horizontal="right" vertical="top" wrapText="1"/>
    </xf>
    <xf numFmtId="4" fontId="12" fillId="0" borderId="2" xfId="0" applyNumberFormat="1" applyFont="1" applyBorder="1" applyAlignment="1">
      <alignment horizontal="right" vertical="top" wrapText="1"/>
    </xf>
    <xf numFmtId="4" fontId="11" fillId="4" borderId="2" xfId="0" applyNumberFormat="1" applyFont="1" applyFill="1" applyBorder="1" applyAlignment="1">
      <alignment horizontal="right" vertical="center" wrapText="1"/>
    </xf>
    <xf numFmtId="4" fontId="11" fillId="4" borderId="2" xfId="0" applyNumberFormat="1" applyFont="1" applyFill="1" applyBorder="1" applyAlignment="1">
      <alignment vertical="center" wrapText="1"/>
    </xf>
    <xf numFmtId="0" fontId="14" fillId="0" borderId="0" xfId="0" applyFont="1"/>
    <xf numFmtId="0" fontId="15" fillId="0" borderId="0" xfId="0" applyFont="1" applyAlignment="1">
      <alignment horizontal="right" vertical="center" wrapText="1"/>
    </xf>
    <xf numFmtId="164" fontId="15" fillId="0" borderId="0" xfId="0" applyNumberFormat="1" applyFont="1" applyAlignment="1">
      <alignment horizontal="center" vertical="center" wrapText="1"/>
    </xf>
    <xf numFmtId="4" fontId="15" fillId="0" borderId="0" xfId="0" applyNumberFormat="1" applyFont="1" applyAlignment="1">
      <alignment horizontal="right" vertical="center" wrapText="1"/>
    </xf>
    <xf numFmtId="0" fontId="19" fillId="0" borderId="0" xfId="0" applyFont="1" applyAlignment="1">
      <alignment horizontal="left" vertical="center" wrapText="1"/>
    </xf>
    <xf numFmtId="0" fontId="15" fillId="0" borderId="0" xfId="0" applyFont="1" applyAlignment="1">
      <alignment vertical="center" wrapText="1"/>
    </xf>
    <xf numFmtId="0" fontId="17" fillId="3" borderId="16" xfId="0" applyFont="1" applyFill="1" applyBorder="1" applyAlignment="1">
      <alignment horizontal="center" vertical="center" wrapText="1"/>
    </xf>
    <xf numFmtId="0" fontId="17" fillId="3" borderId="17"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1" fillId="0" borderId="2" xfId="0" applyFont="1" applyBorder="1" applyAlignment="1">
      <alignment wrapText="1"/>
    </xf>
    <xf numFmtId="4" fontId="4" fillId="4" borderId="2" xfId="0" applyNumberFormat="1" applyFont="1" applyFill="1" applyBorder="1" applyAlignment="1">
      <alignment horizontal="right" vertical="center" wrapText="1"/>
    </xf>
    <xf numFmtId="164" fontId="22" fillId="8" borderId="20" xfId="0" applyNumberFormat="1" applyFont="1" applyFill="1" applyBorder="1" applyAlignment="1">
      <alignment horizontal="left" vertical="center" wrapText="1"/>
    </xf>
    <xf numFmtId="164" fontId="22" fillId="8" borderId="20" xfId="0" applyNumberFormat="1" applyFont="1" applyFill="1" applyBorder="1" applyAlignment="1">
      <alignment horizontal="center" vertical="center" wrapText="1"/>
    </xf>
    <xf numFmtId="164" fontId="22" fillId="8" borderId="20" xfId="0" applyNumberFormat="1" applyFont="1" applyFill="1" applyBorder="1" applyAlignment="1">
      <alignment horizontal="right" vertical="center" wrapText="1"/>
    </xf>
    <xf numFmtId="0" fontId="23" fillId="0" borderId="2" xfId="0" applyFont="1" applyBorder="1" applyAlignment="1">
      <alignment vertical="center"/>
    </xf>
    <xf numFmtId="0" fontId="23" fillId="0" borderId="2" xfId="0" applyFont="1" applyBorder="1" applyAlignment="1">
      <alignment horizontal="right" vertical="center" wrapText="1"/>
    </xf>
    <xf numFmtId="0" fontId="23" fillId="0" borderId="2" xfId="0" applyFont="1" applyBorder="1" applyAlignment="1">
      <alignment horizontal="right" vertical="center" indent="2"/>
    </xf>
    <xf numFmtId="9" fontId="23" fillId="0" borderId="2" xfId="0" applyNumberFormat="1" applyFont="1" applyBorder="1" applyAlignment="1">
      <alignment horizontal="right" vertical="center" wrapText="1"/>
    </xf>
    <xf numFmtId="0" fontId="14" fillId="0" borderId="0" xfId="0" applyFont="1" applyAlignment="1">
      <alignment horizontal="right" vertical="center"/>
    </xf>
    <xf numFmtId="0" fontId="9" fillId="3" borderId="2" xfId="0" applyFont="1" applyFill="1" applyBorder="1"/>
    <xf numFmtId="0" fontId="9" fillId="3" borderId="2" xfId="0" applyFont="1" applyFill="1" applyBorder="1" applyAlignment="1">
      <alignment horizontal="right" vertical="center" wrapText="1"/>
    </xf>
    <xf numFmtId="0" fontId="24" fillId="3" borderId="21" xfId="0" applyFont="1" applyFill="1" applyBorder="1"/>
    <xf numFmtId="0" fontId="24" fillId="3" borderId="22" xfId="0" applyFont="1" applyFill="1" applyBorder="1" applyAlignment="1">
      <alignment horizontal="center" vertical="center" wrapText="1"/>
    </xf>
    <xf numFmtId="0" fontId="28" fillId="0" borderId="2" xfId="0" applyFont="1" applyBorder="1" applyAlignment="1">
      <alignment horizontal="left" vertical="center" indent="2"/>
    </xf>
    <xf numFmtId="0" fontId="28" fillId="0" borderId="2" xfId="0" applyFont="1" applyBorder="1" applyAlignment="1">
      <alignment horizontal="right" vertical="center" wrapText="1"/>
    </xf>
    <xf numFmtId="0" fontId="24" fillId="3" borderId="2" xfId="0" applyFont="1" applyFill="1" applyBorder="1" applyAlignment="1">
      <alignment horizontal="right" vertical="center" wrapText="1"/>
    </xf>
    <xf numFmtId="0" fontId="14" fillId="0" borderId="2" xfId="0" applyFont="1" applyBorder="1" applyAlignment="1">
      <alignment vertical="center" wrapText="1"/>
    </xf>
    <xf numFmtId="4" fontId="14" fillId="0" borderId="2" xfId="0" applyNumberFormat="1" applyFont="1" applyBorder="1" applyAlignment="1">
      <alignment horizontal="right" vertical="center" wrapText="1"/>
    </xf>
    <xf numFmtId="165" fontId="14" fillId="0" borderId="2" xfId="0" applyNumberFormat="1" applyFont="1" applyBorder="1"/>
    <xf numFmtId="3" fontId="28" fillId="0" borderId="2" xfId="0" applyNumberFormat="1" applyFont="1" applyBorder="1" applyAlignment="1">
      <alignment horizontal="right" vertical="center" wrapText="1"/>
    </xf>
    <xf numFmtId="0" fontId="14" fillId="0" borderId="2" xfId="0" applyFont="1" applyBorder="1" applyAlignment="1">
      <alignment horizontal="right" vertical="center" wrapText="1"/>
    </xf>
    <xf numFmtId="0" fontId="28" fillId="0" borderId="2" xfId="0" applyFont="1" applyBorder="1" applyAlignment="1">
      <alignment horizontal="left" vertical="center"/>
    </xf>
    <xf numFmtId="0" fontId="27" fillId="0" borderId="2" xfId="0" applyFont="1" applyBorder="1" applyAlignment="1">
      <alignment vertical="center" wrapText="1"/>
    </xf>
    <xf numFmtId="4" fontId="27" fillId="0" borderId="2" xfId="0" applyNumberFormat="1" applyFont="1" applyBorder="1" applyAlignment="1">
      <alignment horizontal="right" vertical="center" wrapText="1"/>
    </xf>
    <xf numFmtId="0" fontId="27" fillId="0" borderId="2" xfId="0" applyFont="1" applyBorder="1" applyAlignment="1">
      <alignment horizontal="right" vertical="center" wrapText="1"/>
    </xf>
    <xf numFmtId="4" fontId="28" fillId="0" borderId="2" xfId="0" applyNumberFormat="1" applyFont="1" applyBorder="1" applyAlignment="1">
      <alignment horizontal="right" vertical="center" wrapText="1"/>
    </xf>
    <xf numFmtId="165" fontId="14" fillId="0" borderId="21" xfId="0" applyNumberFormat="1" applyFont="1" applyBorder="1"/>
    <xf numFmtId="0" fontId="29" fillId="0" borderId="0" xfId="0" applyFont="1" applyAlignment="1">
      <alignment vertical="center" wrapText="1"/>
    </xf>
    <xf numFmtId="0" fontId="29" fillId="0" borderId="0" xfId="0" applyFont="1" applyAlignment="1">
      <alignment horizontal="right" vertical="center" wrapText="1"/>
    </xf>
    <xf numFmtId="0" fontId="30" fillId="0" borderId="0" xfId="0" applyFont="1" applyAlignment="1">
      <alignment vertical="center" wrapText="1"/>
    </xf>
    <xf numFmtId="0" fontId="30" fillId="0" borderId="0" xfId="0" applyFont="1" applyAlignment="1">
      <alignment horizontal="right" vertical="center" wrapText="1"/>
    </xf>
    <xf numFmtId="0" fontId="31" fillId="5" borderId="2" xfId="0" applyFont="1" applyFill="1" applyBorder="1" applyAlignment="1">
      <alignment horizontal="center" vertical="top"/>
    </xf>
    <xf numFmtId="166" fontId="31" fillId="5" borderId="2" xfId="0" applyNumberFormat="1" applyFont="1" applyFill="1" applyBorder="1" applyAlignment="1">
      <alignment horizontal="center" vertical="top"/>
    </xf>
    <xf numFmtId="167" fontId="32" fillId="0" borderId="2" xfId="0" applyNumberFormat="1" applyFont="1" applyBorder="1" applyAlignment="1">
      <alignment horizontal="center" vertical="top"/>
    </xf>
    <xf numFmtId="167" fontId="31" fillId="0" borderId="2" xfId="0" applyNumberFormat="1" applyFont="1" applyBorder="1" applyAlignment="1">
      <alignment horizontal="center" vertical="top"/>
    </xf>
    <xf numFmtId="166" fontId="1" fillId="0" borderId="2" xfId="0" applyNumberFormat="1" applyFont="1" applyBorder="1"/>
    <xf numFmtId="0" fontId="1" fillId="0" borderId="2" xfId="0" applyFont="1" applyBorder="1"/>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22" fillId="11" borderId="23" xfId="0" applyFont="1" applyFill="1" applyBorder="1" applyAlignment="1">
      <alignment horizontal="center"/>
    </xf>
    <xf numFmtId="0" fontId="22" fillId="0" borderId="24" xfId="0" applyFont="1" applyBorder="1"/>
    <xf numFmtId="0" fontId="1" fillId="0" borderId="24" xfId="0" applyFont="1" applyBorder="1" applyAlignment="1">
      <alignment horizontal="left"/>
    </xf>
    <xf numFmtId="0" fontId="1" fillId="0" borderId="0" xfId="0" applyFont="1" applyAlignment="1">
      <alignment horizontal="center"/>
    </xf>
    <xf numFmtId="0" fontId="22" fillId="11" borderId="16" xfId="0" applyFont="1" applyFill="1" applyBorder="1" applyAlignment="1">
      <alignment horizontal="center"/>
    </xf>
    <xf numFmtId="0" fontId="22" fillId="0" borderId="17" xfId="0" applyFont="1" applyBorder="1"/>
    <xf numFmtId="0" fontId="1" fillId="0" borderId="17" xfId="0" applyFont="1" applyBorder="1" applyAlignment="1">
      <alignment horizontal="left"/>
    </xf>
    <xf numFmtId="0" fontId="22" fillId="11" borderId="15" xfId="0" applyFont="1" applyFill="1" applyBorder="1" applyAlignment="1">
      <alignment horizontal="center"/>
    </xf>
    <xf numFmtId="0" fontId="33" fillId="3" borderId="25" xfId="0" applyFont="1" applyFill="1" applyBorder="1" applyAlignment="1">
      <alignment horizontal="center"/>
    </xf>
    <xf numFmtId="0" fontId="0" fillId="0" borderId="26" xfId="0" applyBorder="1"/>
    <xf numFmtId="0" fontId="17" fillId="6" borderId="0" xfId="0" applyFont="1" applyFill="1" applyAlignment="1">
      <alignment horizontal="left" vertical="center"/>
    </xf>
    <xf numFmtId="0" fontId="17" fillId="6" borderId="0" xfId="0" applyFont="1" applyFill="1" applyAlignment="1">
      <alignment horizontal="center" vertical="center"/>
    </xf>
    <xf numFmtId="0" fontId="35" fillId="0" borderId="0" xfId="0" applyFont="1"/>
    <xf numFmtId="0" fontId="35" fillId="0" borderId="2" xfId="0" applyFont="1" applyBorder="1"/>
    <xf numFmtId="4" fontId="36" fillId="0" borderId="2" xfId="0" applyNumberFormat="1" applyFont="1" applyBorder="1"/>
    <xf numFmtId="0" fontId="37" fillId="0" borderId="2" xfId="0" applyFont="1" applyBorder="1"/>
    <xf numFmtId="168" fontId="35" fillId="0" borderId="2" xfId="0" applyNumberFormat="1" applyFont="1" applyBorder="1"/>
    <xf numFmtId="168" fontId="36" fillId="0" borderId="2" xfId="0" applyNumberFormat="1" applyFont="1" applyBorder="1"/>
    <xf numFmtId="0" fontId="19" fillId="0" borderId="2" xfId="0" applyFont="1" applyBorder="1"/>
    <xf numFmtId="168" fontId="38" fillId="0" borderId="2" xfId="0" applyNumberFormat="1" applyFont="1" applyBorder="1"/>
    <xf numFmtId="168" fontId="35" fillId="0" borderId="0" xfId="0" applyNumberFormat="1" applyFont="1"/>
    <xf numFmtId="0" fontId="25" fillId="12" borderId="2" xfId="0" applyFont="1" applyFill="1" applyBorder="1"/>
    <xf numFmtId="10" fontId="35" fillId="0" borderId="0" xfId="0" applyNumberFormat="1" applyFont="1"/>
    <xf numFmtId="0" fontId="39" fillId="0" borderId="2" xfId="0" applyFont="1" applyBorder="1"/>
    <xf numFmtId="10" fontId="35" fillId="0" borderId="2" xfId="0" applyNumberFormat="1" applyFont="1" applyBorder="1"/>
    <xf numFmtId="0" fontId="39" fillId="0" borderId="0" xfId="0" applyFont="1"/>
    <xf numFmtId="4" fontId="35" fillId="0" borderId="0" xfId="0" applyNumberFormat="1" applyFont="1"/>
    <xf numFmtId="0" fontId="25" fillId="12" borderId="0" xfId="0" applyFont="1" applyFill="1"/>
    <xf numFmtId="169" fontId="36" fillId="0" borderId="2" xfId="0" applyNumberFormat="1" applyFont="1" applyBorder="1"/>
    <xf numFmtId="0" fontId="40" fillId="13" borderId="2" xfId="0" applyFont="1" applyFill="1" applyBorder="1" applyAlignment="1">
      <alignment horizontal="center" vertical="center" wrapText="1"/>
    </xf>
    <xf numFmtId="4" fontId="35" fillId="0" borderId="2" xfId="0" applyNumberFormat="1" applyFont="1" applyBorder="1"/>
    <xf numFmtId="10" fontId="39" fillId="0" borderId="2" xfId="0" applyNumberFormat="1" applyFont="1" applyBorder="1"/>
    <xf numFmtId="0" fontId="41" fillId="13" borderId="2" xfId="0" applyFont="1" applyFill="1" applyBorder="1" applyAlignment="1">
      <alignment horizontal="center" vertical="center" wrapText="1"/>
    </xf>
    <xf numFmtId="4" fontId="1" fillId="0" borderId="2" xfId="0" applyNumberFormat="1" applyFont="1" applyBorder="1"/>
    <xf numFmtId="4" fontId="1" fillId="0" borderId="0" xfId="0" applyNumberFormat="1" applyFont="1"/>
    <xf numFmtId="10" fontId="1" fillId="0" borderId="2" xfId="0" applyNumberFormat="1" applyFont="1" applyBorder="1"/>
    <xf numFmtId="0" fontId="43" fillId="11" borderId="27" xfId="0" applyFont="1" applyFill="1" applyBorder="1" applyAlignment="1">
      <alignment horizontal="center"/>
    </xf>
    <xf numFmtId="0" fontId="43" fillId="11" borderId="28" xfId="0" applyFont="1" applyFill="1" applyBorder="1" applyAlignment="1">
      <alignment horizontal="center" vertical="center"/>
    </xf>
    <xf numFmtId="0" fontId="1" fillId="0" borderId="8" xfId="0" applyFont="1" applyBorder="1"/>
    <xf numFmtId="170" fontId="36" fillId="0" borderId="7" xfId="0" applyNumberFormat="1" applyFont="1" applyBorder="1"/>
    <xf numFmtId="10" fontId="1" fillId="0" borderId="7" xfId="0" applyNumberFormat="1" applyFont="1" applyBorder="1"/>
    <xf numFmtId="10" fontId="38" fillId="0" borderId="7" xfId="0" applyNumberFormat="1" applyFont="1" applyBorder="1" applyAlignment="1">
      <alignment horizontal="center"/>
    </xf>
    <xf numFmtId="10" fontId="36" fillId="0" borderId="7" xfId="0" applyNumberFormat="1" applyFont="1" applyBorder="1" applyAlignment="1">
      <alignment horizontal="center"/>
    </xf>
    <xf numFmtId="170" fontId="31" fillId="0" borderId="8" xfId="0" applyNumberFormat="1" applyFont="1" applyBorder="1"/>
    <xf numFmtId="170" fontId="31" fillId="0" borderId="7" xfId="0" applyNumberFormat="1" applyFont="1" applyBorder="1"/>
    <xf numFmtId="170" fontId="31" fillId="0" borderId="9" xfId="0" applyNumberFormat="1" applyFont="1" applyBorder="1"/>
    <xf numFmtId="10" fontId="38" fillId="0" borderId="11" xfId="0" applyNumberFormat="1" applyFont="1" applyBorder="1"/>
    <xf numFmtId="10" fontId="31" fillId="0" borderId="9" xfId="0" applyNumberFormat="1" applyFont="1" applyBorder="1"/>
    <xf numFmtId="10" fontId="31" fillId="0" borderId="11" xfId="0" applyNumberFormat="1" applyFont="1" applyBorder="1"/>
    <xf numFmtId="0" fontId="22" fillId="0" borderId="16" xfId="0" applyFont="1" applyBorder="1"/>
    <xf numFmtId="10" fontId="36" fillId="0" borderId="18" xfId="0" applyNumberFormat="1" applyFont="1" applyBorder="1"/>
    <xf numFmtId="170" fontId="31" fillId="0" borderId="11" xfId="0" applyNumberFormat="1" applyFont="1" applyBorder="1"/>
    <xf numFmtId="10" fontId="1" fillId="0" borderId="8" xfId="0" applyNumberFormat="1" applyFont="1" applyBorder="1" applyAlignment="1">
      <alignment horizontal="left"/>
    </xf>
    <xf numFmtId="10" fontId="1" fillId="0" borderId="2" xfId="0" applyNumberFormat="1" applyFont="1" applyBorder="1" applyAlignment="1">
      <alignment horizontal="center"/>
    </xf>
    <xf numFmtId="10" fontId="1" fillId="0" borderId="7" xfId="0" applyNumberFormat="1" applyFont="1" applyBorder="1" applyAlignment="1">
      <alignment horizontal="center"/>
    </xf>
    <xf numFmtId="10" fontId="1" fillId="0" borderId="29" xfId="0" applyNumberFormat="1" applyFont="1" applyBorder="1" applyAlignment="1">
      <alignment horizontal="left"/>
    </xf>
    <xf numFmtId="10" fontId="1" fillId="0" borderId="21" xfId="0" applyNumberFormat="1" applyFont="1" applyBorder="1" applyAlignment="1">
      <alignment horizontal="center"/>
    </xf>
    <xf numFmtId="10" fontId="1" fillId="0" borderId="30" xfId="0" applyNumberFormat="1" applyFont="1" applyBorder="1" applyAlignment="1">
      <alignment horizontal="center"/>
    </xf>
    <xf numFmtId="10" fontId="31" fillId="0" borderId="31" xfId="0" applyNumberFormat="1" applyFont="1" applyBorder="1"/>
    <xf numFmtId="10" fontId="31" fillId="0" borderId="32" xfId="0" applyNumberFormat="1" applyFont="1" applyBorder="1"/>
    <xf numFmtId="170" fontId="31" fillId="0" borderId="32" xfId="0" applyNumberFormat="1" applyFont="1" applyBorder="1"/>
    <xf numFmtId="10" fontId="31" fillId="0" borderId="33" xfId="0" applyNumberFormat="1" applyFont="1" applyBorder="1" applyAlignment="1">
      <alignment horizontal="center" vertical="center"/>
    </xf>
    <xf numFmtId="0" fontId="9" fillId="3" borderId="2" xfId="0" applyFont="1" applyFill="1" applyBorder="1" applyAlignment="1">
      <alignment horizontal="center" vertical="center" wrapText="1"/>
    </xf>
    <xf numFmtId="0" fontId="6" fillId="11" borderId="2" xfId="0" applyFont="1" applyFill="1" applyBorder="1" applyAlignment="1">
      <alignment horizontal="left" vertical="center" indent="2"/>
    </xf>
    <xf numFmtId="0" fontId="7" fillId="11" borderId="2" xfId="0" applyFont="1" applyFill="1" applyBorder="1"/>
    <xf numFmtId="0" fontId="6" fillId="11" borderId="2" xfId="0" applyFont="1" applyFill="1" applyBorder="1" applyAlignment="1">
      <alignment horizontal="right" vertical="center" wrapText="1"/>
    </xf>
    <xf numFmtId="0" fontId="6" fillId="4" borderId="2" xfId="0" applyFont="1" applyFill="1" applyBorder="1" applyAlignment="1">
      <alignment horizontal="left" vertical="center" indent="2"/>
    </xf>
    <xf numFmtId="0" fontId="7" fillId="4" borderId="2" xfId="0" applyFont="1" applyFill="1" applyBorder="1"/>
    <xf numFmtId="0" fontId="6" fillId="4" borderId="2" xfId="0" applyFont="1" applyFill="1" applyBorder="1" applyAlignment="1">
      <alignment horizontal="right" vertical="center" wrapText="1"/>
    </xf>
    <xf numFmtId="0" fontId="44" fillId="0" borderId="0" xfId="0" applyFont="1"/>
    <xf numFmtId="0" fontId="22" fillId="0" borderId="0" xfId="0" applyFont="1"/>
    <xf numFmtId="0" fontId="22" fillId="14" borderId="2" xfId="0" applyFont="1" applyFill="1" applyBorder="1" applyAlignment="1">
      <alignment horizontal="left" vertical="center" wrapText="1"/>
    </xf>
    <xf numFmtId="0" fontId="22" fillId="14" borderId="7" xfId="0" applyFont="1" applyFill="1" applyBorder="1" applyAlignment="1">
      <alignment horizontal="left" vertical="center" wrapText="1"/>
    </xf>
    <xf numFmtId="0" fontId="22" fillId="14" borderId="8" xfId="0" applyFont="1" applyFill="1" applyBorder="1" applyAlignment="1">
      <alignment horizontal="center" vertical="center" wrapText="1"/>
    </xf>
    <xf numFmtId="0" fontId="22" fillId="14" borderId="2" xfId="0" applyFont="1" applyFill="1" applyBorder="1" applyAlignment="1">
      <alignment horizontal="center" vertical="center" wrapText="1"/>
    </xf>
    <xf numFmtId="0" fontId="22" fillId="14" borderId="7" xfId="0" applyFont="1" applyFill="1" applyBorder="1" applyAlignment="1">
      <alignment horizontal="center" vertical="center" wrapText="1"/>
    </xf>
    <xf numFmtId="166" fontId="23" fillId="0" borderId="2" xfId="0" applyNumberFormat="1" applyFont="1" applyBorder="1"/>
    <xf numFmtId="0" fontId="23" fillId="0" borderId="2" xfId="0" applyFont="1" applyBorder="1"/>
    <xf numFmtId="0" fontId="23" fillId="0" borderId="7" xfId="0" applyFont="1" applyBorder="1"/>
    <xf numFmtId="0" fontId="23" fillId="0" borderId="8" xfId="0" applyFont="1" applyBorder="1"/>
    <xf numFmtId="171" fontId="23" fillId="0" borderId="7" xfId="0" applyNumberFormat="1" applyFont="1" applyBorder="1"/>
    <xf numFmtId="172" fontId="1" fillId="0" borderId="8" xfId="0" applyNumberFormat="1" applyFont="1" applyBorder="1"/>
    <xf numFmtId="172" fontId="1" fillId="0" borderId="2" xfId="0" applyNumberFormat="1" applyFont="1" applyBorder="1"/>
    <xf numFmtId="172" fontId="23" fillId="0" borderId="7" xfId="0" applyNumberFormat="1" applyFont="1" applyBorder="1"/>
    <xf numFmtId="166" fontId="23" fillId="11" borderId="2" xfId="0" applyNumberFormat="1" applyFont="1" applyFill="1" applyBorder="1"/>
    <xf numFmtId="0" fontId="23" fillId="11" borderId="2" xfId="0" applyFont="1" applyFill="1" applyBorder="1"/>
    <xf numFmtId="0" fontId="23" fillId="11" borderId="7" xfId="0" applyFont="1" applyFill="1" applyBorder="1"/>
    <xf numFmtId="0" fontId="23" fillId="11" borderId="8" xfId="0" applyFont="1" applyFill="1" applyBorder="1"/>
    <xf numFmtId="171" fontId="23" fillId="11" borderId="7" xfId="0" applyNumberFormat="1" applyFont="1" applyFill="1" applyBorder="1"/>
    <xf numFmtId="172" fontId="1" fillId="11" borderId="8" xfId="0" applyNumberFormat="1" applyFont="1" applyFill="1" applyBorder="1"/>
    <xf numFmtId="172" fontId="1" fillId="11" borderId="2" xfId="0" applyNumberFormat="1" applyFont="1" applyFill="1" applyBorder="1"/>
    <xf numFmtId="172" fontId="23" fillId="11" borderId="7" xfId="0" applyNumberFormat="1" applyFont="1" applyFill="1" applyBorder="1"/>
    <xf numFmtId="0" fontId="44" fillId="0" borderId="0" xfId="0" applyFont="1" applyAlignment="1">
      <alignment horizontal="left" vertical="center"/>
    </xf>
    <xf numFmtId="166" fontId="23" fillId="0" borderId="0" xfId="0" applyNumberFormat="1" applyFont="1"/>
    <xf numFmtId="0" fontId="23" fillId="0" borderId="0" xfId="0" applyFont="1"/>
    <xf numFmtId="171" fontId="23" fillId="0" borderId="0" xfId="0" applyNumberFormat="1" applyFont="1"/>
    <xf numFmtId="172" fontId="1" fillId="0" borderId="0" xfId="0" applyNumberFormat="1" applyFont="1"/>
    <xf numFmtId="172" fontId="23" fillId="0" borderId="0" xfId="0" applyNumberFormat="1" applyFont="1"/>
    <xf numFmtId="0" fontId="23" fillId="0" borderId="0" xfId="0" applyFont="1" applyAlignment="1">
      <alignment horizontal="left" vertical="center"/>
    </xf>
    <xf numFmtId="2" fontId="1" fillId="0" borderId="0" xfId="0" applyNumberFormat="1" applyFont="1"/>
    <xf numFmtId="0" fontId="22" fillId="0" borderId="34" xfId="0" applyFont="1" applyBorder="1" applyAlignment="1">
      <alignment vertical="center"/>
    </xf>
    <xf numFmtId="0" fontId="22" fillId="0" borderId="35" xfId="0" applyFont="1" applyBorder="1" applyAlignment="1">
      <alignment vertical="center"/>
    </xf>
    <xf numFmtId="0" fontId="5" fillId="3" borderId="35" xfId="0" applyFont="1" applyFill="1" applyBorder="1" applyAlignment="1">
      <alignment horizontal="center" vertical="center" wrapText="1"/>
    </xf>
    <xf numFmtId="0" fontId="1" fillId="0" borderId="36" xfId="0" applyFont="1" applyBorder="1"/>
    <xf numFmtId="0" fontId="5" fillId="3" borderId="37" xfId="0" applyFont="1" applyFill="1" applyBorder="1" applyAlignment="1">
      <alignment horizontal="center" vertical="center" wrapText="1"/>
    </xf>
    <xf numFmtId="0" fontId="5" fillId="3" borderId="0" xfId="0" applyFont="1" applyFill="1" applyAlignment="1">
      <alignment horizontal="center" vertical="center" wrapText="1"/>
    </xf>
    <xf numFmtId="0" fontId="22" fillId="0" borderId="38" xfId="0" applyFont="1" applyBorder="1"/>
    <xf numFmtId="0" fontId="1" fillId="0" borderId="38" xfId="0" applyFont="1" applyBorder="1"/>
    <xf numFmtId="2" fontId="22" fillId="0" borderId="38" xfId="0" applyNumberFormat="1" applyFont="1" applyBorder="1"/>
    <xf numFmtId="0" fontId="22" fillId="0" borderId="3" xfId="0" applyFont="1" applyBorder="1"/>
    <xf numFmtId="9" fontId="22" fillId="0" borderId="5" xfId="0" applyNumberFormat="1" applyFont="1" applyBorder="1"/>
    <xf numFmtId="0" fontId="45" fillId="3" borderId="2" xfId="0" applyFont="1" applyFill="1" applyBorder="1" applyAlignment="1">
      <alignment horizontal="center" vertical="center"/>
    </xf>
    <xf numFmtId="0" fontId="5" fillId="3" borderId="2" xfId="0" applyFont="1" applyFill="1" applyBorder="1" applyAlignment="1">
      <alignment horizontal="center" vertical="center"/>
    </xf>
    <xf numFmtId="9" fontId="1" fillId="0" borderId="8" xfId="0" applyNumberFormat="1" applyFont="1" applyBorder="1"/>
    <xf numFmtId="170" fontId="1" fillId="0" borderId="2" xfId="0" applyNumberFormat="1" applyFont="1" applyBorder="1" applyAlignment="1">
      <alignment horizontal="right"/>
    </xf>
    <xf numFmtId="0" fontId="1" fillId="0" borderId="39" xfId="0" applyFont="1" applyBorder="1"/>
    <xf numFmtId="169" fontId="1" fillId="11" borderId="40" xfId="0" applyNumberFormat="1" applyFont="1" applyFill="1" applyBorder="1"/>
    <xf numFmtId="0" fontId="1" fillId="0" borderId="2" xfId="0" applyFont="1" applyBorder="1" applyAlignment="1">
      <alignment horizontal="right"/>
    </xf>
    <xf numFmtId="168" fontId="1" fillId="0" borderId="2" xfId="0" applyNumberFormat="1" applyFont="1" applyBorder="1" applyAlignment="1">
      <alignment horizontal="right"/>
    </xf>
    <xf numFmtId="0" fontId="1" fillId="0" borderId="19" xfId="0" applyFont="1" applyBorder="1"/>
    <xf numFmtId="10" fontId="1" fillId="0" borderId="41" xfId="0" applyNumberFormat="1" applyFont="1" applyBorder="1"/>
    <xf numFmtId="0" fontId="1" fillId="0" borderId="0" xfId="0" applyFont="1" applyAlignment="1">
      <alignment horizontal="right"/>
    </xf>
    <xf numFmtId="168" fontId="1" fillId="0" borderId="0" xfId="0" applyNumberFormat="1" applyFont="1" applyAlignment="1">
      <alignment horizontal="right"/>
    </xf>
    <xf numFmtId="10" fontId="1" fillId="0" borderId="0" xfId="0" applyNumberFormat="1" applyFont="1" applyAlignment="1">
      <alignment horizontal="right"/>
    </xf>
    <xf numFmtId="0" fontId="22" fillId="0" borderId="42" xfId="0" applyFont="1" applyBorder="1"/>
    <xf numFmtId="10" fontId="22" fillId="0" borderId="43" xfId="0" applyNumberFormat="1" applyFont="1" applyBorder="1"/>
    <xf numFmtId="9" fontId="1" fillId="0" borderId="6" xfId="0" applyNumberFormat="1" applyFont="1" applyBorder="1"/>
    <xf numFmtId="10" fontId="1" fillId="0" borderId="44" xfId="0" applyNumberFormat="1" applyFont="1" applyBorder="1"/>
    <xf numFmtId="10" fontId="1" fillId="11" borderId="40" xfId="0" applyNumberFormat="1" applyFont="1" applyFill="1" applyBorder="1"/>
    <xf numFmtId="9" fontId="1" fillId="0" borderId="2" xfId="0" applyNumberFormat="1" applyFont="1" applyBorder="1" applyAlignment="1">
      <alignment horizontal="right"/>
    </xf>
    <xf numFmtId="10" fontId="1" fillId="0" borderId="2" xfId="0" applyNumberFormat="1" applyFont="1" applyBorder="1" applyAlignment="1">
      <alignment horizontal="right"/>
    </xf>
    <xf numFmtId="173" fontId="1" fillId="0" borderId="41" xfId="0" applyNumberFormat="1" applyFont="1" applyBorder="1"/>
    <xf numFmtId="0" fontId="1" fillId="0" borderId="19" xfId="0" applyFont="1" applyBorder="1" applyAlignment="1">
      <alignment horizontal="right"/>
    </xf>
    <xf numFmtId="0" fontId="1" fillId="0" borderId="26" xfId="0" applyFont="1" applyBorder="1" applyAlignment="1">
      <alignment horizontal="right"/>
    </xf>
    <xf numFmtId="0" fontId="1" fillId="0" borderId="26" xfId="0" applyFont="1" applyBorder="1"/>
    <xf numFmtId="0" fontId="1" fillId="0" borderId="45" xfId="0" applyFont="1" applyBorder="1" applyAlignment="1">
      <alignment horizontal="right"/>
    </xf>
    <xf numFmtId="10" fontId="1" fillId="0" borderId="0" xfId="0" applyNumberFormat="1" applyFont="1"/>
    <xf numFmtId="173" fontId="1" fillId="0" borderId="0" xfId="0" applyNumberFormat="1" applyFont="1"/>
    <xf numFmtId="0" fontId="1" fillId="0" borderId="42" xfId="0" applyFont="1" applyBorder="1"/>
    <xf numFmtId="10" fontId="39" fillId="0" borderId="43" xfId="0" applyNumberFormat="1" applyFont="1" applyBorder="1"/>
    <xf numFmtId="9" fontId="22" fillId="0" borderId="6" xfId="0" applyNumberFormat="1" applyFont="1" applyBorder="1"/>
    <xf numFmtId="10" fontId="1" fillId="0" borderId="19" xfId="0" applyNumberFormat="1" applyFont="1" applyBorder="1"/>
    <xf numFmtId="0" fontId="1" fillId="0" borderId="41" xfId="0" applyFont="1" applyBorder="1"/>
    <xf numFmtId="0" fontId="43" fillId="11" borderId="0" xfId="0" applyFont="1" applyFill="1"/>
    <xf numFmtId="0" fontId="43" fillId="16" borderId="0" xfId="0" applyFont="1" applyFill="1" applyAlignment="1">
      <alignment horizontal="center"/>
    </xf>
    <xf numFmtId="0" fontId="19" fillId="0" borderId="1" xfId="0" applyFont="1" applyBorder="1"/>
    <xf numFmtId="0" fontId="19" fillId="0" borderId="1" xfId="0" applyFont="1" applyBorder="1" applyAlignment="1">
      <alignment horizontal="right"/>
    </xf>
    <xf numFmtId="0" fontId="19" fillId="0" borderId="0" xfId="0" applyFont="1"/>
    <xf numFmtId="0" fontId="35" fillId="0" borderId="0" xfId="0" applyFont="1" applyAlignment="1">
      <alignment horizontal="left"/>
    </xf>
    <xf numFmtId="0" fontId="46" fillId="0" borderId="0" xfId="0" applyFont="1"/>
    <xf numFmtId="170" fontId="35" fillId="0" borderId="0" xfId="0" applyNumberFormat="1" applyFont="1"/>
    <xf numFmtId="174" fontId="35" fillId="0" borderId="0" xfId="0" applyNumberFormat="1" applyFont="1"/>
    <xf numFmtId="2" fontId="35" fillId="0" borderId="0" xfId="0" applyNumberFormat="1" applyFont="1"/>
    <xf numFmtId="0" fontId="47" fillId="0" borderId="0" xfId="0" applyFont="1"/>
    <xf numFmtId="170" fontId="19" fillId="0" borderId="0" xfId="0" applyNumberFormat="1" applyFont="1"/>
    <xf numFmtId="2" fontId="19" fillId="0" borderId="0" xfId="0" applyNumberFormat="1" applyFont="1"/>
    <xf numFmtId="9" fontId="35" fillId="0" borderId="0" xfId="0" applyNumberFormat="1" applyFont="1"/>
    <xf numFmtId="3" fontId="35" fillId="0" borderId="0" xfId="0" applyNumberFormat="1" applyFont="1"/>
    <xf numFmtId="0" fontId="19" fillId="0" borderId="38" xfId="0" applyFont="1" applyBorder="1"/>
    <xf numFmtId="0" fontId="35" fillId="0" borderId="38" xfId="0" applyFont="1" applyBorder="1"/>
    <xf numFmtId="170" fontId="19" fillId="0" borderId="38" xfId="0" applyNumberFormat="1" applyFont="1" applyBorder="1"/>
    <xf numFmtId="2" fontId="19" fillId="0" borderId="38" xfId="0" applyNumberFormat="1" applyFont="1" applyBorder="1"/>
    <xf numFmtId="0" fontId="49" fillId="0" borderId="0" xfId="0" applyFont="1"/>
    <xf numFmtId="0" fontId="50" fillId="0" borderId="0" xfId="0" applyFont="1" applyAlignment="1">
      <alignment vertical="center" wrapText="1"/>
    </xf>
    <xf numFmtId="0" fontId="49" fillId="0" borderId="0" xfId="0" applyFont="1" applyAlignment="1">
      <alignment wrapText="1"/>
    </xf>
    <xf numFmtId="0" fontId="48" fillId="0" borderId="0" xfId="0" applyFont="1" applyAlignment="1">
      <alignment vertical="center" wrapText="1"/>
    </xf>
    <xf numFmtId="0" fontId="52" fillId="0" borderId="0" xfId="0" applyFont="1" applyAlignment="1">
      <alignment wrapText="1"/>
    </xf>
    <xf numFmtId="0" fontId="54" fillId="18" borderId="2" xfId="0" applyFont="1" applyFill="1" applyBorder="1" applyAlignment="1">
      <alignment horizontal="center" vertical="center" wrapText="1"/>
    </xf>
    <xf numFmtId="0" fontId="51" fillId="17" borderId="2" xfId="0" applyFont="1" applyFill="1" applyBorder="1" applyAlignment="1">
      <alignment horizontal="left" vertical="center" wrapText="1"/>
    </xf>
    <xf numFmtId="0" fontId="51" fillId="17" borderId="2" xfId="0" applyFont="1" applyFill="1" applyBorder="1" applyAlignment="1">
      <alignment horizontal="center" vertical="center" wrapText="1"/>
    </xf>
    <xf numFmtId="0" fontId="52" fillId="0" borderId="2" xfId="0" applyFont="1" applyBorder="1" applyAlignment="1">
      <alignment horizontal="left" vertical="center" wrapText="1"/>
    </xf>
    <xf numFmtId="0" fontId="48" fillId="0" borderId="0" xfId="0" applyFont="1" applyAlignment="1">
      <alignment horizontal="center" vertical="center" wrapText="1"/>
    </xf>
    <xf numFmtId="0" fontId="53" fillId="17" borderId="2"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wrapText="1"/>
    </xf>
    <xf numFmtId="0" fontId="2" fillId="2" borderId="0" xfId="0" applyFont="1" applyFill="1" applyAlignment="1">
      <alignment horizontal="center" vertical="center"/>
    </xf>
    <xf numFmtId="0" fontId="9" fillId="3" borderId="12"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17" fillId="6" borderId="15" xfId="0" applyFont="1" applyFill="1" applyBorder="1" applyAlignment="1">
      <alignment horizontal="center" vertical="center" wrapText="1"/>
    </xf>
    <xf numFmtId="0" fontId="20" fillId="0" borderId="15" xfId="0" applyFont="1" applyBorder="1" applyAlignment="1">
      <alignment horizontal="left" vertical="center" wrapText="1"/>
    </xf>
    <xf numFmtId="0" fontId="21" fillId="7" borderId="6" xfId="0" applyFont="1" applyFill="1" applyBorder="1" applyAlignment="1">
      <alignment horizontal="center" vertical="center" wrapText="1"/>
    </xf>
    <xf numFmtId="0" fontId="16" fillId="5" borderId="15" xfId="0" applyFont="1" applyFill="1" applyBorder="1" applyAlignment="1">
      <alignment horizontal="center" vertical="center" wrapText="1"/>
    </xf>
    <xf numFmtId="0" fontId="18" fillId="0" borderId="15" xfId="0" applyFont="1" applyBorder="1" applyAlignment="1">
      <alignment horizontal="left" vertical="center" wrapText="1"/>
    </xf>
    <xf numFmtId="0" fontId="30" fillId="0" borderId="0" xfId="0" applyFont="1" applyAlignment="1">
      <alignment vertical="center" wrapText="1"/>
    </xf>
    <xf numFmtId="0" fontId="24" fillId="2" borderId="0" xfId="0" applyFont="1" applyFill="1" applyAlignment="1">
      <alignment horizontal="center" vertical="center"/>
    </xf>
    <xf numFmtId="0" fontId="25" fillId="9" borderId="12" xfId="0" applyFont="1" applyFill="1" applyBorder="1" applyAlignment="1">
      <alignment horizontal="center" vertical="center" wrapText="1"/>
    </xf>
    <xf numFmtId="0" fontId="26" fillId="9" borderId="12" xfId="0" applyFont="1" applyFill="1" applyBorder="1" applyAlignment="1">
      <alignment horizontal="center" vertical="center" wrapText="1"/>
    </xf>
    <xf numFmtId="0" fontId="27" fillId="0" borderId="2" xfId="0" applyFont="1" applyBorder="1" applyAlignment="1">
      <alignment horizontal="left" vertical="center" wrapText="1"/>
    </xf>
    <xf numFmtId="0" fontId="1" fillId="0" borderId="18" xfId="0" applyFont="1" applyBorder="1" applyAlignment="1">
      <alignment horizontal="left"/>
    </xf>
    <xf numFmtId="0" fontId="22" fillId="11" borderId="15" xfId="0" applyFont="1" applyFill="1" applyBorder="1" applyAlignment="1">
      <alignment horizontal="center"/>
    </xf>
    <xf numFmtId="0" fontId="33" fillId="3" borderId="25" xfId="0" applyFont="1" applyFill="1" applyBorder="1" applyAlignment="1">
      <alignment horizontal="center"/>
    </xf>
    <xf numFmtId="0" fontId="34" fillId="11" borderId="26" xfId="0" applyFont="1" applyFill="1" applyBorder="1" applyAlignment="1">
      <alignment horizontal="center"/>
    </xf>
    <xf numFmtId="0" fontId="21" fillId="6" borderId="0" xfId="0" applyFont="1" applyFill="1" applyAlignment="1">
      <alignment horizontal="center"/>
    </xf>
    <xf numFmtId="0" fontId="21" fillId="10" borderId="15" xfId="0" applyFont="1" applyFill="1" applyBorder="1" applyAlignment="1">
      <alignment horizontal="center" vertical="center"/>
    </xf>
    <xf numFmtId="0" fontId="5" fillId="3" borderId="18" xfId="0" applyFont="1" applyFill="1" applyBorder="1" applyAlignment="1">
      <alignment horizontal="center" vertical="center"/>
    </xf>
    <xf numFmtId="0" fontId="17" fillId="3" borderId="2" xfId="0" applyFont="1" applyFill="1" applyBorder="1" applyAlignment="1">
      <alignment horizontal="center" vertical="center"/>
    </xf>
    <xf numFmtId="0" fontId="42" fillId="14" borderId="15" xfId="0" applyFont="1" applyFill="1" applyBorder="1" applyAlignment="1">
      <alignment horizontal="center" vertical="center"/>
    </xf>
    <xf numFmtId="0" fontId="21" fillId="3" borderId="15" xfId="0" applyFont="1" applyFill="1" applyBorder="1" applyAlignment="1">
      <alignment horizontal="center" vertical="center"/>
    </xf>
    <xf numFmtId="0" fontId="2" fillId="3" borderId="15"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xf>
    <xf numFmtId="0" fontId="22" fillId="14" borderId="3" xfId="0" applyFont="1" applyFill="1" applyBorder="1" applyAlignment="1">
      <alignment horizontal="center" vertical="center" wrapText="1"/>
    </xf>
    <xf numFmtId="0" fontId="22" fillId="14" borderId="4" xfId="0" applyFont="1" applyFill="1" applyBorder="1" applyAlignment="1">
      <alignment horizontal="center" vertical="center" wrapText="1"/>
    </xf>
    <xf numFmtId="0" fontId="22" fillId="0" borderId="0" xfId="0" applyFont="1" applyAlignment="1">
      <alignment horizontal="center" vertical="center" wrapText="1"/>
    </xf>
    <xf numFmtId="0" fontId="21" fillId="15" borderId="0" xfId="0" applyFont="1" applyFill="1" applyAlignment="1">
      <alignment horizontal="center"/>
    </xf>
    <xf numFmtId="0" fontId="43" fillId="11" borderId="20" xfId="0" applyFont="1" applyFill="1" applyBorder="1" applyAlignment="1">
      <alignment horizontal="center"/>
    </xf>
    <xf numFmtId="0" fontId="43" fillId="11" borderId="2" xfId="0" applyFont="1" applyFill="1" applyBorder="1" applyAlignment="1">
      <alignment horizontal="center"/>
    </xf>
    <xf numFmtId="0" fontId="17" fillId="15" borderId="0" xfId="0" applyFont="1" applyFill="1" applyAlignment="1">
      <alignment horizontal="center"/>
    </xf>
    <xf numFmtId="0" fontId="35"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04862"/>
      <rgbColor rgb="FF22222F"/>
      <rgbColor rgb="FF808000"/>
      <rgbColor rgb="FF800080"/>
      <rgbColor rgb="FF0B76A0"/>
      <rgbColor rgb="FFBFBFBF"/>
      <rgbColor rgb="FF747474"/>
      <rgbColor rgb="FF83CBEB"/>
      <rgbColor rgb="FF993366"/>
      <rgbColor rgb="FFEEEEEE"/>
      <rgbColor rgb="FFCAEEFB"/>
      <rgbColor rgb="FF660066"/>
      <rgbColor rgb="FFFF8080"/>
      <rgbColor rgb="FF084F6B"/>
      <rgbColor rgb="FFD6E4F0"/>
      <rgbColor rgb="FF000080"/>
      <rgbColor rgb="FFFF00FF"/>
      <rgbColor rgb="FFFFFF00"/>
      <rgbColor rgb="FF00FFFF"/>
      <rgbColor rgb="FF800080"/>
      <rgbColor rgb="FF800000"/>
      <rgbColor rgb="FF156082"/>
      <rgbColor rgb="FF0000FF"/>
      <rgbColor rgb="FF00CCFF"/>
      <rgbColor rgb="FFDCEAF7"/>
      <rgbColor rgb="FFC1E5F5"/>
      <rgbColor rgb="FFFFFF99"/>
      <rgbColor rgb="FFA6CAEC"/>
      <rgbColor rgb="FFFF99CC"/>
      <rgbColor rgb="FFCC99FF"/>
      <rgbColor rgb="FFFFCC99"/>
      <rgbColor rgb="FF3366FF"/>
      <rgbColor rgb="FF96DCF8"/>
      <rgbColor rgb="FF99CC00"/>
      <rgbColor rgb="FFFFCC00"/>
      <rgbColor rgb="FFFF9900"/>
      <rgbColor rgb="FFFF6600"/>
      <rgbColor rgb="FF606F7B"/>
      <rgbColor rgb="FF969696"/>
      <rgbColor rgb="FF002060"/>
      <rgbColor rgb="FF467886"/>
      <rgbColor rgb="FF0E2841"/>
      <rgbColor rgb="FF3A3A3A"/>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84240</xdr:colOff>
      <xdr:row>0</xdr:row>
      <xdr:rowOff>1</xdr:rowOff>
    </xdr:from>
    <xdr:to>
      <xdr:col>4</xdr:col>
      <xdr:colOff>423334</xdr:colOff>
      <xdr:row>5</xdr:row>
      <xdr:rowOff>151130</xdr:rowOff>
    </xdr:to>
    <xdr:pic>
      <xdr:nvPicPr>
        <xdr:cNvPr id="2" name="Picture 1" descr="Nestle Logo and symbol, meaning, history, PNG, brand">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l="16141" r="20745"/>
        <a:stretch/>
      </xdr:blipFill>
      <xdr:spPr>
        <a:xfrm>
          <a:off x="1293764" y="1"/>
          <a:ext cx="1536522" cy="1179286"/>
        </a:xfrm>
        <a:prstGeom prst="rect">
          <a:avLst/>
        </a:prstGeom>
        <a:ln w="0">
          <a:noFill/>
        </a:ln>
      </xdr:spPr>
    </xdr:pic>
    <xdr:clientData/>
  </xdr:twoCellAnchor>
  <xdr:twoCellAnchor editAs="oneCell">
    <xdr:from>
      <xdr:col>4</xdr:col>
      <xdr:colOff>545040</xdr:colOff>
      <xdr:row>0</xdr:row>
      <xdr:rowOff>83520</xdr:rowOff>
    </xdr:from>
    <xdr:to>
      <xdr:col>8</xdr:col>
      <xdr:colOff>322560</xdr:colOff>
      <xdr:row>6</xdr:row>
      <xdr:rowOff>11594</xdr:rowOff>
    </xdr:to>
    <xdr:pic>
      <xdr:nvPicPr>
        <xdr:cNvPr id="3" name="Picture 3" descr="Nestle Logo, symbol, meaning, history, PNG, brand">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3599280" y="83520"/>
          <a:ext cx="2815560" cy="12031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89999084444715716"/>
  </sheetPr>
  <dimension ref="B3:J33"/>
  <sheetViews>
    <sheetView showGridLines="0" topLeftCell="A4" zoomScale="97" zoomScaleNormal="88" workbookViewId="0">
      <selection activeCell="M14" sqref="M14"/>
    </sheetView>
  </sheetViews>
  <sheetFormatPr defaultColWidth="8.54296875" defaultRowHeight="11.5" x14ac:dyDescent="0.25"/>
  <cols>
    <col min="1" max="1" width="8.54296875" style="253"/>
    <col min="2" max="2" width="8.7265625" style="255" customWidth="1"/>
    <col min="3" max="16384" width="8.54296875" style="253"/>
  </cols>
  <sheetData>
    <row r="3" spans="2:10" ht="19.5" customHeight="1" x14ac:dyDescent="0.25">
      <c r="B3" s="262"/>
      <c r="C3" s="262"/>
      <c r="D3" s="262"/>
      <c r="E3" s="262"/>
      <c r="F3" s="262"/>
      <c r="G3" s="262"/>
      <c r="H3" s="262"/>
      <c r="I3" s="262"/>
      <c r="J3" s="262"/>
    </row>
    <row r="4" spans="2:10" ht="19.5" customHeight="1" x14ac:dyDescent="0.25">
      <c r="B4" s="254"/>
      <c r="C4" s="254"/>
      <c r="D4" s="254"/>
      <c r="E4" s="254"/>
      <c r="F4" s="254"/>
      <c r="G4" s="254"/>
      <c r="H4" s="254"/>
      <c r="I4" s="254"/>
      <c r="J4" s="254"/>
    </row>
    <row r="5" spans="2:10" ht="19.5" customHeight="1" x14ac:dyDescent="0.25"/>
    <row r="6" spans="2:10" ht="19.5" customHeight="1" x14ac:dyDescent="0.25">
      <c r="B6" s="256"/>
      <c r="C6" s="256"/>
      <c r="D6" s="256"/>
      <c r="E6" s="256"/>
      <c r="F6" s="256"/>
      <c r="G6" s="256"/>
      <c r="H6" s="256"/>
      <c r="I6" s="256"/>
      <c r="J6" s="256"/>
    </row>
    <row r="7" spans="2:10" ht="19.5" customHeight="1" x14ac:dyDescent="0.25">
      <c r="B7" s="263" t="s">
        <v>0</v>
      </c>
      <c r="C7" s="263"/>
      <c r="D7" s="263"/>
      <c r="E7" s="263"/>
      <c r="F7" s="263"/>
      <c r="G7" s="263"/>
      <c r="H7" s="263"/>
      <c r="I7" s="263"/>
      <c r="J7" s="263"/>
    </row>
    <row r="8" spans="2:10" ht="19.5" customHeight="1" x14ac:dyDescent="0.25">
      <c r="B8" s="261" t="s">
        <v>451</v>
      </c>
      <c r="C8" s="261"/>
      <c r="D8" s="261"/>
      <c r="E8" s="261"/>
      <c r="F8" s="261"/>
      <c r="G8" s="261"/>
      <c r="H8" s="261"/>
      <c r="I8" s="261"/>
      <c r="J8" s="261"/>
    </row>
    <row r="9" spans="2:10" ht="19.5" customHeight="1" x14ac:dyDescent="0.25">
      <c r="B9" s="261"/>
      <c r="C9" s="261"/>
      <c r="D9" s="261"/>
      <c r="E9" s="261"/>
      <c r="F9" s="261"/>
      <c r="G9" s="261"/>
      <c r="H9" s="261"/>
      <c r="I9" s="261"/>
      <c r="J9" s="261"/>
    </row>
    <row r="11" spans="2:10" ht="13" customHeight="1" x14ac:dyDescent="0.25">
      <c r="B11" s="263" t="s">
        <v>452</v>
      </c>
      <c r="C11" s="263"/>
      <c r="D11" s="263"/>
      <c r="E11" s="263"/>
      <c r="F11" s="263"/>
      <c r="G11" s="263"/>
      <c r="H11" s="263"/>
      <c r="I11" s="263"/>
      <c r="J11" s="263"/>
    </row>
    <row r="12" spans="2:10" ht="13" x14ac:dyDescent="0.25">
      <c r="B12" s="258" t="s">
        <v>453</v>
      </c>
      <c r="C12" s="258"/>
      <c r="D12" s="258"/>
      <c r="E12" s="258"/>
      <c r="F12" s="258"/>
      <c r="G12" s="258"/>
      <c r="H12" s="258"/>
      <c r="I12" s="258"/>
      <c r="J12" s="258"/>
    </row>
    <row r="13" spans="2:10" ht="15.5" customHeight="1" x14ac:dyDescent="0.25">
      <c r="B13" s="261" t="s">
        <v>454</v>
      </c>
      <c r="C13" s="261"/>
      <c r="D13" s="261"/>
      <c r="E13" s="261"/>
      <c r="F13" s="261"/>
      <c r="G13" s="261"/>
      <c r="H13" s="261"/>
      <c r="I13" s="261"/>
      <c r="J13" s="261"/>
    </row>
    <row r="14" spans="2:10" ht="15.5" customHeight="1" x14ac:dyDescent="0.25">
      <c r="B14" s="261"/>
      <c r="C14" s="261"/>
      <c r="D14" s="261"/>
      <c r="E14" s="261"/>
      <c r="F14" s="261"/>
      <c r="G14" s="261"/>
      <c r="H14" s="261"/>
      <c r="I14" s="261"/>
      <c r="J14" s="261"/>
    </row>
    <row r="15" spans="2:10" ht="15.5" customHeight="1" x14ac:dyDescent="0.25">
      <c r="B15" s="261"/>
      <c r="C15" s="261"/>
      <c r="D15" s="261"/>
      <c r="E15" s="261"/>
      <c r="F15" s="261"/>
      <c r="G15" s="261"/>
      <c r="H15" s="261"/>
      <c r="I15" s="261"/>
      <c r="J15" s="261"/>
    </row>
    <row r="16" spans="2:10" ht="15.5" customHeight="1" x14ac:dyDescent="0.25">
      <c r="B16" s="258" t="s">
        <v>455</v>
      </c>
      <c r="C16" s="258"/>
      <c r="D16" s="258"/>
      <c r="E16" s="258"/>
      <c r="F16" s="258"/>
      <c r="G16" s="258"/>
      <c r="H16" s="258"/>
      <c r="I16" s="258"/>
      <c r="J16" s="258"/>
    </row>
    <row r="17" spans="2:10" ht="15.5" customHeight="1" x14ac:dyDescent="0.25">
      <c r="B17" s="261" t="s">
        <v>456</v>
      </c>
      <c r="C17" s="261"/>
      <c r="D17" s="261"/>
      <c r="E17" s="261"/>
      <c r="F17" s="261"/>
      <c r="G17" s="261"/>
      <c r="H17" s="261"/>
      <c r="I17" s="261"/>
      <c r="J17" s="261"/>
    </row>
    <row r="18" spans="2:10" ht="15.5" customHeight="1" x14ac:dyDescent="0.25">
      <c r="B18" s="261"/>
      <c r="C18" s="261"/>
      <c r="D18" s="261"/>
      <c r="E18" s="261"/>
      <c r="F18" s="261"/>
      <c r="G18" s="261"/>
      <c r="H18" s="261"/>
      <c r="I18" s="261"/>
      <c r="J18" s="261"/>
    </row>
    <row r="20" spans="2:10" ht="13" customHeight="1" x14ac:dyDescent="0.25">
      <c r="B20" s="259" t="s">
        <v>457</v>
      </c>
      <c r="C20" s="259"/>
      <c r="D20" s="259"/>
      <c r="E20" s="259"/>
      <c r="F20" s="259"/>
      <c r="G20" s="259"/>
      <c r="H20" s="259"/>
      <c r="I20" s="259"/>
      <c r="J20" s="259"/>
    </row>
    <row r="21" spans="2:10" ht="17" customHeight="1" x14ac:dyDescent="0.25">
      <c r="B21" s="261" t="s">
        <v>458</v>
      </c>
      <c r="C21" s="261"/>
      <c r="D21" s="261"/>
      <c r="E21" s="261"/>
      <c r="F21" s="261"/>
      <c r="G21" s="261"/>
      <c r="H21" s="261"/>
      <c r="I21" s="261"/>
      <c r="J21" s="261"/>
    </row>
    <row r="22" spans="2:10" ht="17" customHeight="1" x14ac:dyDescent="0.25">
      <c r="B22" s="261"/>
      <c r="C22" s="261"/>
      <c r="D22" s="261"/>
      <c r="E22" s="261"/>
      <c r="F22" s="261"/>
      <c r="G22" s="261"/>
      <c r="H22" s="261"/>
      <c r="I22" s="261"/>
      <c r="J22" s="261"/>
    </row>
    <row r="23" spans="2:10" ht="17" customHeight="1" x14ac:dyDescent="0.25">
      <c r="B23" s="261"/>
      <c r="C23" s="261"/>
      <c r="D23" s="261"/>
      <c r="E23" s="261"/>
      <c r="F23" s="261"/>
      <c r="G23" s="261"/>
      <c r="H23" s="261"/>
      <c r="I23" s="261"/>
      <c r="J23" s="261"/>
    </row>
    <row r="25" spans="2:10" ht="13" x14ac:dyDescent="0.25">
      <c r="B25" s="260" t="s">
        <v>459</v>
      </c>
      <c r="C25" s="260"/>
      <c r="D25" s="260"/>
      <c r="E25" s="260"/>
      <c r="F25" s="260"/>
      <c r="G25" s="260"/>
      <c r="H25" s="260"/>
      <c r="I25" s="260"/>
      <c r="J25" s="260"/>
    </row>
    <row r="26" spans="2:10" x14ac:dyDescent="0.25">
      <c r="B26" s="261" t="s">
        <v>460</v>
      </c>
      <c r="C26" s="261"/>
      <c r="D26" s="261"/>
      <c r="E26" s="261"/>
      <c r="F26" s="261"/>
      <c r="G26" s="261"/>
      <c r="H26" s="261"/>
      <c r="I26" s="261"/>
      <c r="J26" s="261"/>
    </row>
    <row r="27" spans="2:10" x14ac:dyDescent="0.25">
      <c r="B27" s="261"/>
      <c r="C27" s="261"/>
      <c r="D27" s="261"/>
      <c r="E27" s="261"/>
      <c r="F27" s="261"/>
      <c r="G27" s="261"/>
      <c r="H27" s="261"/>
      <c r="I27" s="261"/>
      <c r="J27" s="261"/>
    </row>
    <row r="28" spans="2:10" x14ac:dyDescent="0.25">
      <c r="B28" s="261"/>
      <c r="C28" s="261"/>
      <c r="D28" s="261"/>
      <c r="E28" s="261"/>
      <c r="F28" s="261"/>
      <c r="G28" s="261"/>
      <c r="H28" s="261"/>
      <c r="I28" s="261"/>
      <c r="J28" s="261"/>
    </row>
    <row r="29" spans="2:10" x14ac:dyDescent="0.25">
      <c r="B29" s="257"/>
    </row>
    <row r="30" spans="2:10" ht="13" x14ac:dyDescent="0.25">
      <c r="B30" s="260" t="s">
        <v>461</v>
      </c>
      <c r="C30" s="260"/>
      <c r="D30" s="260"/>
      <c r="E30" s="260"/>
      <c r="F30" s="260"/>
      <c r="G30" s="260"/>
      <c r="H30" s="260"/>
      <c r="I30" s="260"/>
      <c r="J30" s="260"/>
    </row>
    <row r="31" spans="2:10" x14ac:dyDescent="0.25">
      <c r="B31" s="261" t="s">
        <v>462</v>
      </c>
      <c r="C31" s="261"/>
      <c r="D31" s="261"/>
      <c r="E31" s="261"/>
      <c r="F31" s="261"/>
      <c r="G31" s="261"/>
      <c r="H31" s="261"/>
      <c r="I31" s="261"/>
      <c r="J31" s="261"/>
    </row>
    <row r="32" spans="2:10" x14ac:dyDescent="0.25">
      <c r="B32" s="261"/>
      <c r="C32" s="261"/>
      <c r="D32" s="261"/>
      <c r="E32" s="261"/>
      <c r="F32" s="261"/>
      <c r="G32" s="261"/>
      <c r="H32" s="261"/>
      <c r="I32" s="261"/>
      <c r="J32" s="261"/>
    </row>
    <row r="33" spans="2:10" x14ac:dyDescent="0.25">
      <c r="B33" s="261"/>
      <c r="C33" s="261"/>
      <c r="D33" s="261"/>
      <c r="E33" s="261"/>
      <c r="F33" s="261"/>
      <c r="G33" s="261"/>
      <c r="H33" s="261"/>
      <c r="I33" s="261"/>
      <c r="J33" s="261"/>
    </row>
  </sheetData>
  <mergeCells count="14">
    <mergeCell ref="B31:J33"/>
    <mergeCell ref="B3:J3"/>
    <mergeCell ref="B8:J9"/>
    <mergeCell ref="B13:J15"/>
    <mergeCell ref="B7:J7"/>
    <mergeCell ref="B11:J11"/>
    <mergeCell ref="B12:J12"/>
    <mergeCell ref="B16:J16"/>
    <mergeCell ref="B20:J20"/>
    <mergeCell ref="B25:J25"/>
    <mergeCell ref="B30:J30"/>
    <mergeCell ref="B17:J18"/>
    <mergeCell ref="B21:J23"/>
    <mergeCell ref="B26:J28"/>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CEAF7"/>
  </sheetPr>
  <dimension ref="B1:U54"/>
  <sheetViews>
    <sheetView zoomScale="64" zoomScaleNormal="64" workbookViewId="0">
      <selection activeCell="M13" sqref="M13"/>
    </sheetView>
  </sheetViews>
  <sheetFormatPr defaultColWidth="8.7265625" defaultRowHeight="14" x14ac:dyDescent="0.3"/>
  <cols>
    <col min="1" max="1" width="1.81640625" style="3" customWidth="1"/>
    <col min="2" max="2" width="26.90625" style="3" customWidth="1"/>
    <col min="3" max="3" width="10.36328125" style="3" customWidth="1"/>
    <col min="4" max="4" width="12.6328125" style="3" customWidth="1"/>
    <col min="5" max="5" width="13" style="3" customWidth="1"/>
    <col min="6" max="6" width="12.81640625" style="3" customWidth="1"/>
    <col min="7" max="7" width="12.7265625" style="3" customWidth="1"/>
    <col min="8" max="8" width="10.7265625" style="3" customWidth="1"/>
    <col min="9" max="9" width="14.26953125" style="3" customWidth="1"/>
    <col min="10" max="10" width="19.81640625" style="3" customWidth="1"/>
    <col min="11" max="11" width="12" style="3" customWidth="1"/>
    <col min="12" max="12" width="6.54296875" style="3" customWidth="1"/>
    <col min="13" max="13" width="23.7265625" style="3" customWidth="1"/>
    <col min="14" max="14" width="10" style="3" customWidth="1"/>
    <col min="15" max="15" width="9.453125" style="3" customWidth="1"/>
    <col min="16" max="17" width="10.453125" style="3" customWidth="1"/>
    <col min="18" max="18" width="11.81640625" style="3" customWidth="1"/>
    <col min="19" max="21" width="10.453125" style="3" customWidth="1"/>
    <col min="22" max="16384" width="8.7265625" style="3"/>
  </cols>
  <sheetData>
    <row r="1" spans="2:21" ht="21" customHeight="1" x14ac:dyDescent="0.3">
      <c r="B1" s="264" t="s">
        <v>1</v>
      </c>
      <c r="C1" s="264"/>
      <c r="D1" s="264"/>
      <c r="E1" s="264"/>
      <c r="F1" s="264"/>
      <c r="G1" s="264"/>
      <c r="H1" s="264"/>
      <c r="I1" s="264"/>
      <c r="J1" s="264"/>
      <c r="K1" s="264"/>
      <c r="M1" s="264" t="s">
        <v>2</v>
      </c>
      <c r="N1" s="264"/>
      <c r="O1" s="264"/>
      <c r="P1" s="264"/>
      <c r="Q1" s="264"/>
      <c r="R1" s="264"/>
      <c r="S1" s="264"/>
      <c r="T1" s="264"/>
      <c r="U1" s="264"/>
    </row>
    <row r="2" spans="2:21" ht="80.25" customHeight="1" x14ac:dyDescent="0.3">
      <c r="B2" s="2" t="s">
        <v>3</v>
      </c>
      <c r="C2" s="2" t="s">
        <v>4</v>
      </c>
      <c r="D2" s="2" t="s">
        <v>5</v>
      </c>
      <c r="E2" s="2" t="s">
        <v>6</v>
      </c>
      <c r="F2" s="2" t="s">
        <v>7</v>
      </c>
      <c r="G2" s="2" t="s">
        <v>8</v>
      </c>
      <c r="H2" s="2" t="s">
        <v>9</v>
      </c>
      <c r="I2" s="2" t="s">
        <v>10</v>
      </c>
      <c r="J2" s="2" t="s">
        <v>11</v>
      </c>
      <c r="K2" s="2" t="s">
        <v>12</v>
      </c>
      <c r="M2" s="265" t="s">
        <v>13</v>
      </c>
      <c r="N2" s="265" t="s">
        <v>14</v>
      </c>
      <c r="O2" s="265" t="s">
        <v>15</v>
      </c>
      <c r="P2" s="265" t="s">
        <v>5</v>
      </c>
      <c r="Q2" s="265" t="s">
        <v>16</v>
      </c>
      <c r="R2" s="265" t="s">
        <v>17</v>
      </c>
      <c r="S2" s="265" t="s">
        <v>18</v>
      </c>
      <c r="T2" s="265"/>
      <c r="U2" s="265" t="s">
        <v>19</v>
      </c>
    </row>
    <row r="3" spans="2:21" ht="16.5" customHeight="1" x14ac:dyDescent="0.3">
      <c r="B3" s="4" t="s">
        <v>20</v>
      </c>
      <c r="C3" s="5" t="s">
        <v>21</v>
      </c>
      <c r="D3" s="5" t="s">
        <v>21</v>
      </c>
      <c r="E3" s="5" t="s">
        <v>21</v>
      </c>
      <c r="F3" s="5">
        <v>0</v>
      </c>
      <c r="G3" s="5" t="s">
        <v>21</v>
      </c>
      <c r="H3" s="5">
        <v>0</v>
      </c>
      <c r="I3" s="5" t="s">
        <v>21</v>
      </c>
      <c r="J3" s="5">
        <v>0</v>
      </c>
      <c r="K3" s="5" t="s">
        <v>21</v>
      </c>
      <c r="M3" s="265"/>
      <c r="N3" s="265"/>
      <c r="O3" s="265"/>
      <c r="P3" s="265"/>
      <c r="Q3" s="265"/>
      <c r="R3" s="265"/>
      <c r="S3" s="2" t="s">
        <v>22</v>
      </c>
      <c r="T3" s="2" t="s">
        <v>23</v>
      </c>
      <c r="U3" s="265"/>
    </row>
    <row r="4" spans="2:21" ht="16.5" customHeight="1" x14ac:dyDescent="0.3">
      <c r="B4" s="4" t="s">
        <v>24</v>
      </c>
      <c r="C4" s="5" t="s">
        <v>21</v>
      </c>
      <c r="D4" s="5" t="s">
        <v>21</v>
      </c>
      <c r="E4" s="5" t="s">
        <v>21</v>
      </c>
      <c r="F4" s="5">
        <v>0</v>
      </c>
      <c r="G4" s="5" t="s">
        <v>21</v>
      </c>
      <c r="H4" s="5">
        <v>0</v>
      </c>
      <c r="I4" s="5" t="s">
        <v>21</v>
      </c>
      <c r="J4" s="5">
        <v>0</v>
      </c>
      <c r="K4" s="5" t="s">
        <v>21</v>
      </c>
      <c r="M4" s="4" t="s">
        <v>25</v>
      </c>
      <c r="N4" s="4"/>
      <c r="O4" s="5" t="s">
        <v>21</v>
      </c>
      <c r="P4" s="5" t="s">
        <v>21</v>
      </c>
      <c r="Q4" s="5" t="s">
        <v>21</v>
      </c>
      <c r="R4" s="5">
        <v>0</v>
      </c>
      <c r="S4" s="5" t="s">
        <v>21</v>
      </c>
      <c r="T4" s="5">
        <v>0</v>
      </c>
      <c r="U4" s="5" t="s">
        <v>21</v>
      </c>
    </row>
    <row r="5" spans="2:21" ht="16.5" customHeight="1" x14ac:dyDescent="0.3">
      <c r="B5" s="4" t="s">
        <v>26</v>
      </c>
      <c r="C5" s="5">
        <v>51</v>
      </c>
      <c r="D5" s="6">
        <v>81680997</v>
      </c>
      <c r="E5" s="6">
        <v>81680997</v>
      </c>
      <c r="F5" s="5">
        <v>4.24</v>
      </c>
      <c r="G5" s="6">
        <v>81680997</v>
      </c>
      <c r="H5" s="5">
        <v>4.24</v>
      </c>
      <c r="I5" s="6">
        <v>81680997</v>
      </c>
      <c r="J5" s="5">
        <v>4.24</v>
      </c>
      <c r="K5" s="6">
        <v>81669827</v>
      </c>
      <c r="M5" s="4" t="s">
        <v>27</v>
      </c>
      <c r="N5" s="4"/>
      <c r="O5" s="5" t="s">
        <v>21</v>
      </c>
      <c r="P5" s="5" t="s">
        <v>21</v>
      </c>
      <c r="Q5" s="5" t="s">
        <v>21</v>
      </c>
      <c r="R5" s="5">
        <v>0</v>
      </c>
      <c r="S5" s="5" t="s">
        <v>21</v>
      </c>
      <c r="T5" s="5">
        <v>0</v>
      </c>
      <c r="U5" s="5" t="s">
        <v>21</v>
      </c>
    </row>
    <row r="6" spans="2:21" ht="16.5" customHeight="1" x14ac:dyDescent="0.3">
      <c r="B6" s="4" t="s">
        <v>28</v>
      </c>
      <c r="C6" s="5">
        <v>24</v>
      </c>
      <c r="D6" s="6">
        <v>346401</v>
      </c>
      <c r="E6" s="6">
        <v>346401</v>
      </c>
      <c r="F6" s="5">
        <v>0.02</v>
      </c>
      <c r="G6" s="6">
        <v>346401</v>
      </c>
      <c r="H6" s="5">
        <v>0.02</v>
      </c>
      <c r="I6" s="6">
        <v>346401</v>
      </c>
      <c r="J6" s="5">
        <v>0.02</v>
      </c>
      <c r="K6" s="6">
        <v>346401</v>
      </c>
      <c r="M6" s="4" t="s">
        <v>29</v>
      </c>
      <c r="N6" s="4"/>
      <c r="O6" s="5">
        <v>2</v>
      </c>
      <c r="P6" s="6">
        <v>1210301580</v>
      </c>
      <c r="Q6" s="6">
        <v>1210301580</v>
      </c>
      <c r="R6" s="5">
        <v>62.76</v>
      </c>
      <c r="S6" s="6">
        <v>1210301580</v>
      </c>
      <c r="T6" s="5">
        <v>62.76</v>
      </c>
      <c r="U6" s="6">
        <v>1210301580</v>
      </c>
    </row>
    <row r="7" spans="2:21" ht="16.5" customHeight="1" x14ac:dyDescent="0.3">
      <c r="B7" s="4" t="s">
        <v>30</v>
      </c>
      <c r="C7" s="5">
        <v>18</v>
      </c>
      <c r="D7" s="6">
        <v>956589</v>
      </c>
      <c r="E7" s="6">
        <v>956589</v>
      </c>
      <c r="F7" s="5">
        <v>0.05</v>
      </c>
      <c r="G7" s="6">
        <v>956589</v>
      </c>
      <c r="H7" s="5">
        <v>0.05</v>
      </c>
      <c r="I7" s="6">
        <v>956589</v>
      </c>
      <c r="J7" s="5">
        <v>0.05</v>
      </c>
      <c r="K7" s="6">
        <v>920569</v>
      </c>
      <c r="M7" s="4" t="s">
        <v>31</v>
      </c>
      <c r="N7" s="4" t="s">
        <v>32</v>
      </c>
      <c r="O7" s="5">
        <v>1</v>
      </c>
      <c r="P7" s="6">
        <v>661027980</v>
      </c>
      <c r="Q7" s="6">
        <v>661027980</v>
      </c>
      <c r="R7" s="5">
        <v>34.28</v>
      </c>
      <c r="S7" s="6">
        <v>661027980</v>
      </c>
      <c r="T7" s="5">
        <v>34.28</v>
      </c>
      <c r="U7" s="6">
        <v>661027980</v>
      </c>
    </row>
    <row r="8" spans="2:21" ht="19.5" customHeight="1" x14ac:dyDescent="0.3">
      <c r="B8" s="4" t="s">
        <v>33</v>
      </c>
      <c r="C8" s="5">
        <v>30</v>
      </c>
      <c r="D8" s="6">
        <v>142059206</v>
      </c>
      <c r="E8" s="6">
        <v>142059206</v>
      </c>
      <c r="F8" s="5">
        <v>7.37</v>
      </c>
      <c r="G8" s="6">
        <v>142059206</v>
      </c>
      <c r="H8" s="5">
        <v>7.37</v>
      </c>
      <c r="I8" s="6">
        <v>142059206</v>
      </c>
      <c r="J8" s="5">
        <v>7.37</v>
      </c>
      <c r="K8" s="6">
        <v>142058706</v>
      </c>
      <c r="M8" s="4" t="s">
        <v>34</v>
      </c>
      <c r="N8" s="4" t="s">
        <v>32</v>
      </c>
      <c r="O8" s="5">
        <v>1</v>
      </c>
      <c r="P8" s="6">
        <v>549273600</v>
      </c>
      <c r="Q8" s="6">
        <v>549273600</v>
      </c>
      <c r="R8" s="5">
        <v>28.48</v>
      </c>
      <c r="S8" s="6">
        <v>549273600</v>
      </c>
      <c r="T8" s="5">
        <v>28.48</v>
      </c>
      <c r="U8" s="6">
        <v>549273600</v>
      </c>
    </row>
    <row r="9" spans="2:21" ht="24" customHeight="1" x14ac:dyDescent="0.3">
      <c r="B9" s="4" t="s">
        <v>35</v>
      </c>
      <c r="C9" s="5">
        <v>1</v>
      </c>
      <c r="D9" s="6">
        <v>118462943</v>
      </c>
      <c r="E9" s="6">
        <v>118462943</v>
      </c>
      <c r="F9" s="5">
        <v>6.14</v>
      </c>
      <c r="G9" s="6">
        <v>118462943</v>
      </c>
      <c r="H9" s="5">
        <v>6.14</v>
      </c>
      <c r="I9" s="6">
        <v>118462943</v>
      </c>
      <c r="J9" s="5">
        <v>6.14</v>
      </c>
      <c r="K9" s="6">
        <v>118462943</v>
      </c>
      <c r="M9" s="4" t="s">
        <v>36</v>
      </c>
      <c r="N9" s="4"/>
      <c r="O9" s="5">
        <v>2</v>
      </c>
      <c r="P9" s="6">
        <v>1210301580</v>
      </c>
      <c r="Q9" s="6">
        <v>1210301580</v>
      </c>
      <c r="R9" s="5">
        <v>62.76</v>
      </c>
      <c r="S9" s="6">
        <v>1210301580</v>
      </c>
      <c r="T9" s="5">
        <v>62.76</v>
      </c>
      <c r="U9" s="6">
        <v>1210301580</v>
      </c>
    </row>
    <row r="10" spans="2:21" ht="21" customHeight="1" x14ac:dyDescent="0.3">
      <c r="B10" s="4" t="s">
        <v>37</v>
      </c>
      <c r="C10" s="5">
        <v>1</v>
      </c>
      <c r="D10" s="6">
        <v>13857087</v>
      </c>
      <c r="E10" s="6">
        <v>13857087</v>
      </c>
      <c r="F10" s="5">
        <v>0.72</v>
      </c>
      <c r="G10" s="6">
        <v>13857087</v>
      </c>
      <c r="H10" s="5">
        <v>0.72</v>
      </c>
      <c r="I10" s="6">
        <v>13857087</v>
      </c>
      <c r="J10" s="5">
        <v>0.72</v>
      </c>
      <c r="K10" s="6">
        <v>13857087</v>
      </c>
      <c r="M10" s="4" t="s">
        <v>38</v>
      </c>
      <c r="N10" s="4"/>
      <c r="O10" s="5">
        <v>2</v>
      </c>
      <c r="P10" s="6">
        <v>1210301580</v>
      </c>
      <c r="Q10" s="6">
        <v>1210301580</v>
      </c>
      <c r="R10" s="5">
        <v>62.76</v>
      </c>
      <c r="S10" s="6">
        <v>1210301580</v>
      </c>
      <c r="T10" s="5">
        <v>62.76</v>
      </c>
      <c r="U10" s="6">
        <v>1210301580</v>
      </c>
    </row>
    <row r="11" spans="2:21" ht="16.5" customHeight="1" x14ac:dyDescent="0.3">
      <c r="B11" s="4" t="s">
        <v>39</v>
      </c>
      <c r="C11" s="5">
        <v>9</v>
      </c>
      <c r="D11" s="6">
        <v>80564</v>
      </c>
      <c r="E11" s="6">
        <v>80564</v>
      </c>
      <c r="F11" s="5">
        <v>0</v>
      </c>
      <c r="G11" s="6">
        <v>80564</v>
      </c>
      <c r="H11" s="5">
        <v>0</v>
      </c>
      <c r="I11" s="6">
        <v>80564</v>
      </c>
      <c r="J11" s="5">
        <v>0</v>
      </c>
      <c r="K11" s="6">
        <v>80564</v>
      </c>
    </row>
    <row r="12" spans="2:21" ht="16.5" customHeight="1" x14ac:dyDescent="0.3">
      <c r="B12" s="4" t="s">
        <v>40</v>
      </c>
      <c r="C12" s="5">
        <v>133</v>
      </c>
      <c r="D12" s="6">
        <v>238980844</v>
      </c>
      <c r="E12" s="6">
        <v>238980844</v>
      </c>
      <c r="F12" s="5">
        <v>12.39</v>
      </c>
      <c r="G12" s="6">
        <v>238980844</v>
      </c>
      <c r="H12" s="5">
        <v>12.39</v>
      </c>
      <c r="I12" s="6">
        <v>238980844</v>
      </c>
      <c r="J12" s="5">
        <v>12.39</v>
      </c>
      <c r="K12" s="6">
        <v>238933154</v>
      </c>
    </row>
    <row r="13" spans="2:21" ht="16.5" customHeight="1" x14ac:dyDescent="0.3">
      <c r="B13" s="4" t="s">
        <v>41</v>
      </c>
      <c r="C13" s="5" t="s">
        <v>21</v>
      </c>
      <c r="D13" s="5" t="s">
        <v>21</v>
      </c>
      <c r="E13" s="5" t="s">
        <v>21</v>
      </c>
      <c r="F13" s="5">
        <v>0</v>
      </c>
      <c r="G13" s="5" t="s">
        <v>21</v>
      </c>
      <c r="H13" s="5">
        <v>0</v>
      </c>
      <c r="I13" s="5" t="s">
        <v>21</v>
      </c>
      <c r="J13" s="5">
        <v>0</v>
      </c>
      <c r="K13" s="5" t="s">
        <v>21</v>
      </c>
      <c r="M13" s="3" t="s">
        <v>42</v>
      </c>
    </row>
    <row r="14" spans="2:21" ht="16.5" customHeight="1" x14ac:dyDescent="0.3">
      <c r="B14" s="4" t="s">
        <v>43</v>
      </c>
      <c r="C14" s="5">
        <v>711</v>
      </c>
      <c r="D14" s="6">
        <v>182572904</v>
      </c>
      <c r="E14" s="6">
        <v>182572904</v>
      </c>
      <c r="F14" s="5">
        <v>9.4700000000000006</v>
      </c>
      <c r="G14" s="6">
        <v>182572904</v>
      </c>
      <c r="H14" s="5">
        <v>9.4700000000000006</v>
      </c>
      <c r="I14" s="6">
        <v>182572904</v>
      </c>
      <c r="J14" s="5">
        <v>9.4700000000000006</v>
      </c>
      <c r="K14" s="6">
        <v>182572904</v>
      </c>
      <c r="M14" s="7" t="s">
        <v>44</v>
      </c>
      <c r="N14" s="8">
        <v>45717</v>
      </c>
      <c r="O14" s="8">
        <v>45809</v>
      </c>
      <c r="P14" s="8">
        <v>45901</v>
      </c>
      <c r="Q14" s="8">
        <v>45992</v>
      </c>
      <c r="R14" s="8">
        <v>46082</v>
      </c>
    </row>
    <row r="15" spans="2:21" ht="16.5" customHeight="1" x14ac:dyDescent="0.3">
      <c r="B15" s="4" t="s">
        <v>45</v>
      </c>
      <c r="C15" s="5">
        <v>36</v>
      </c>
      <c r="D15" s="6">
        <v>5157589</v>
      </c>
      <c r="E15" s="6">
        <v>5157589</v>
      </c>
      <c r="F15" s="5">
        <v>0.27</v>
      </c>
      <c r="G15" s="6">
        <v>5157589</v>
      </c>
      <c r="H15" s="5">
        <v>0.27</v>
      </c>
      <c r="I15" s="6">
        <v>5157589</v>
      </c>
      <c r="J15" s="5">
        <v>0.27</v>
      </c>
      <c r="K15" s="6">
        <v>5144309</v>
      </c>
      <c r="M15" s="9" t="s">
        <v>46</v>
      </c>
      <c r="N15" s="10">
        <v>0.62760000000000005</v>
      </c>
      <c r="O15" s="10">
        <v>0.62760000000000005</v>
      </c>
      <c r="P15" s="10">
        <v>0.62760000000000005</v>
      </c>
      <c r="Q15" s="10">
        <v>0.62760000000000005</v>
      </c>
      <c r="R15" s="11">
        <v>0.62760000000000005</v>
      </c>
    </row>
    <row r="16" spans="2:21" ht="16.5" customHeight="1" x14ac:dyDescent="0.3">
      <c r="B16" s="4" t="s">
        <v>47</v>
      </c>
      <c r="C16" s="5">
        <v>747</v>
      </c>
      <c r="D16" s="6">
        <v>187730493</v>
      </c>
      <c r="E16" s="6">
        <v>187730493</v>
      </c>
      <c r="F16" s="5">
        <v>9.74</v>
      </c>
      <c r="G16" s="6">
        <v>187730493</v>
      </c>
      <c r="H16" s="5">
        <v>9.74</v>
      </c>
      <c r="I16" s="6">
        <v>187730493</v>
      </c>
      <c r="J16" s="5">
        <v>9.74</v>
      </c>
      <c r="K16" s="6">
        <v>187717213</v>
      </c>
      <c r="M16" s="12" t="s">
        <v>48</v>
      </c>
      <c r="N16" s="13">
        <v>34.28</v>
      </c>
      <c r="O16" s="13">
        <v>34.28</v>
      </c>
      <c r="P16" s="13">
        <v>34.28</v>
      </c>
      <c r="Q16" s="13">
        <v>34.28</v>
      </c>
      <c r="R16" s="14">
        <v>34.28</v>
      </c>
    </row>
    <row r="17" spans="2:18" ht="22.5" customHeight="1" x14ac:dyDescent="0.3">
      <c r="B17" s="4" t="s">
        <v>49</v>
      </c>
      <c r="C17" s="5" t="s">
        <v>21</v>
      </c>
      <c r="D17" s="5" t="s">
        <v>21</v>
      </c>
      <c r="E17" s="5" t="s">
        <v>21</v>
      </c>
      <c r="F17" s="5">
        <v>0</v>
      </c>
      <c r="G17" s="5" t="s">
        <v>21</v>
      </c>
      <c r="H17" s="5">
        <v>0</v>
      </c>
      <c r="I17" s="5" t="s">
        <v>21</v>
      </c>
      <c r="J17" s="5">
        <v>0</v>
      </c>
      <c r="K17" s="5" t="s">
        <v>21</v>
      </c>
      <c r="M17" s="12" t="s">
        <v>50</v>
      </c>
      <c r="N17" s="13">
        <v>28.48</v>
      </c>
      <c r="O17" s="13">
        <v>28.48</v>
      </c>
      <c r="P17" s="13">
        <v>28.48</v>
      </c>
      <c r="Q17" s="13">
        <v>28.48</v>
      </c>
      <c r="R17" s="14">
        <v>28.48</v>
      </c>
    </row>
    <row r="18" spans="2:18" ht="33" customHeight="1" x14ac:dyDescent="0.3">
      <c r="B18" s="4" t="s">
        <v>51</v>
      </c>
      <c r="C18" s="5">
        <v>3</v>
      </c>
      <c r="D18" s="6">
        <v>58931</v>
      </c>
      <c r="E18" s="6">
        <v>58931</v>
      </c>
      <c r="F18" s="5">
        <v>0</v>
      </c>
      <c r="G18" s="6">
        <v>58931</v>
      </c>
      <c r="H18" s="5">
        <v>0</v>
      </c>
      <c r="I18" s="6">
        <v>58931</v>
      </c>
      <c r="J18" s="5">
        <v>0</v>
      </c>
      <c r="K18" s="6">
        <v>58931</v>
      </c>
      <c r="M18" s="15" t="s">
        <v>52</v>
      </c>
      <c r="N18" s="16">
        <v>0.1002</v>
      </c>
      <c r="O18" s="16">
        <v>0.1028</v>
      </c>
      <c r="P18" s="16">
        <v>9.8199999999999996E-2</v>
      </c>
      <c r="Q18" s="16">
        <v>9.8100000000000007E-2</v>
      </c>
      <c r="R18" s="17">
        <v>9.74E-2</v>
      </c>
    </row>
    <row r="19" spans="2:18" ht="16.5" customHeight="1" x14ac:dyDescent="0.3">
      <c r="B19" s="4" t="s">
        <v>53</v>
      </c>
      <c r="C19" s="5">
        <v>3</v>
      </c>
      <c r="D19" s="6">
        <v>58931</v>
      </c>
      <c r="E19" s="6">
        <v>58931</v>
      </c>
      <c r="F19" s="5">
        <v>0</v>
      </c>
      <c r="G19" s="6">
        <v>58931</v>
      </c>
      <c r="H19" s="5">
        <v>0</v>
      </c>
      <c r="I19" s="6">
        <v>58931</v>
      </c>
      <c r="J19" s="5">
        <v>0</v>
      </c>
      <c r="K19" s="6">
        <v>58931</v>
      </c>
      <c r="M19" s="15" t="s">
        <v>54</v>
      </c>
      <c r="N19" s="16">
        <v>0.113</v>
      </c>
      <c r="O19" s="16">
        <v>0.1118</v>
      </c>
      <c r="P19" s="16">
        <v>0.11749999999999999</v>
      </c>
      <c r="Q19" s="16">
        <v>0.121</v>
      </c>
      <c r="R19" s="17">
        <v>0.124</v>
      </c>
    </row>
    <row r="20" spans="2:18" ht="30" customHeight="1" x14ac:dyDescent="0.3">
      <c r="B20" s="4" t="s">
        <v>55</v>
      </c>
      <c r="C20" s="5" t="s">
        <v>21</v>
      </c>
      <c r="D20" s="5" t="s">
        <v>21</v>
      </c>
      <c r="E20" s="5" t="s">
        <v>21</v>
      </c>
      <c r="F20" s="5">
        <v>0</v>
      </c>
      <c r="G20" s="5" t="s">
        <v>21</v>
      </c>
      <c r="H20" s="5">
        <v>0</v>
      </c>
      <c r="I20" s="5" t="s">
        <v>21</v>
      </c>
      <c r="J20" s="5">
        <v>0</v>
      </c>
      <c r="K20" s="5" t="s">
        <v>21</v>
      </c>
      <c r="M20" s="12" t="s">
        <v>56</v>
      </c>
      <c r="N20" s="13">
        <v>4.67</v>
      </c>
      <c r="O20" s="13">
        <v>5.25</v>
      </c>
      <c r="P20" s="13">
        <v>5.71</v>
      </c>
      <c r="Q20" s="13">
        <v>6.04</v>
      </c>
      <c r="R20" s="14">
        <v>6.14</v>
      </c>
    </row>
    <row r="21" spans="2:18" ht="34.5" customHeight="1" x14ac:dyDescent="0.3">
      <c r="B21" s="4" t="s">
        <v>57</v>
      </c>
      <c r="C21" s="5">
        <v>2</v>
      </c>
      <c r="D21" s="6">
        <v>1156</v>
      </c>
      <c r="E21" s="6">
        <v>1156</v>
      </c>
      <c r="F21" s="5">
        <v>0</v>
      </c>
      <c r="G21" s="6">
        <v>1156</v>
      </c>
      <c r="H21" s="5">
        <v>0</v>
      </c>
      <c r="I21" s="6">
        <v>1156</v>
      </c>
      <c r="J21" s="5">
        <v>0</v>
      </c>
      <c r="K21" s="6">
        <v>1156</v>
      </c>
      <c r="M21" s="12" t="s">
        <v>58</v>
      </c>
      <c r="N21" s="13">
        <v>1.28</v>
      </c>
      <c r="O21" s="13"/>
      <c r="P21" s="13"/>
      <c r="Q21" s="13"/>
      <c r="R21" s="14"/>
    </row>
    <row r="22" spans="2:18" ht="22.5" customHeight="1" x14ac:dyDescent="0.3">
      <c r="B22" s="4" t="s">
        <v>59</v>
      </c>
      <c r="C22" s="5">
        <v>1</v>
      </c>
      <c r="D22" s="5">
        <v>720</v>
      </c>
      <c r="E22" s="5">
        <v>720</v>
      </c>
      <c r="F22" s="5">
        <v>0</v>
      </c>
      <c r="G22" s="5">
        <v>720</v>
      </c>
      <c r="H22" s="5">
        <v>0</v>
      </c>
      <c r="I22" s="5">
        <v>720</v>
      </c>
      <c r="J22" s="5">
        <v>0</v>
      </c>
      <c r="K22" s="5">
        <v>720</v>
      </c>
      <c r="M22" s="15" t="s">
        <v>60</v>
      </c>
      <c r="N22" s="16">
        <v>0.159</v>
      </c>
      <c r="O22" s="16">
        <v>0.15759999999999999</v>
      </c>
      <c r="P22" s="16">
        <v>0.15629999999999999</v>
      </c>
      <c r="Q22" s="16">
        <v>0.15310000000000001</v>
      </c>
      <c r="R22" s="17">
        <v>0.15090000000000001</v>
      </c>
    </row>
    <row r="23" spans="2:18" ht="25.5" customHeight="1" x14ac:dyDescent="0.3">
      <c r="B23" s="4" t="s">
        <v>61</v>
      </c>
      <c r="C23" s="5">
        <v>1</v>
      </c>
      <c r="D23" s="6">
        <v>2946648</v>
      </c>
      <c r="E23" s="6">
        <v>2946648</v>
      </c>
      <c r="F23" s="5">
        <v>0.15</v>
      </c>
      <c r="G23" s="6">
        <v>2946648</v>
      </c>
      <c r="H23" s="5">
        <v>0.15</v>
      </c>
      <c r="I23" s="6">
        <v>2946648</v>
      </c>
      <c r="J23" s="5">
        <v>0.15</v>
      </c>
      <c r="K23" s="6">
        <v>2946648</v>
      </c>
      <c r="M23" s="18" t="s">
        <v>62</v>
      </c>
      <c r="N23" s="19">
        <v>538165</v>
      </c>
      <c r="O23" s="19">
        <v>519439</v>
      </c>
      <c r="P23" s="19">
        <v>546818</v>
      </c>
      <c r="Q23" s="19">
        <v>506673</v>
      </c>
      <c r="R23" s="20">
        <v>492124</v>
      </c>
    </row>
    <row r="24" spans="2:18" ht="25.5" customHeight="1" x14ac:dyDescent="0.3">
      <c r="B24" s="4" t="s">
        <v>63</v>
      </c>
      <c r="C24" s="6">
        <v>468638</v>
      </c>
      <c r="D24" s="6">
        <v>156458392</v>
      </c>
      <c r="E24" s="6">
        <v>156458392</v>
      </c>
      <c r="F24" s="5">
        <v>8.11</v>
      </c>
      <c r="G24" s="6">
        <v>156458392</v>
      </c>
      <c r="H24" s="5">
        <v>8.11</v>
      </c>
      <c r="I24" s="6">
        <v>156458392</v>
      </c>
      <c r="J24" s="5">
        <v>8.11</v>
      </c>
      <c r="K24" s="6">
        <v>155042302</v>
      </c>
    </row>
    <row r="25" spans="2:18" ht="24" customHeight="1" x14ac:dyDescent="0.3">
      <c r="B25" s="4" t="s">
        <v>64</v>
      </c>
      <c r="C25" s="5">
        <v>92</v>
      </c>
      <c r="D25" s="6">
        <v>76430533</v>
      </c>
      <c r="E25" s="6">
        <v>76430533</v>
      </c>
      <c r="F25" s="5">
        <v>3.96</v>
      </c>
      <c r="G25" s="6">
        <v>76430533</v>
      </c>
      <c r="H25" s="5">
        <v>3.96</v>
      </c>
      <c r="I25" s="6">
        <v>76430533</v>
      </c>
      <c r="J25" s="5">
        <v>3.96</v>
      </c>
      <c r="K25" s="6">
        <v>76304633</v>
      </c>
    </row>
    <row r="26" spans="2:18" ht="16.5" customHeight="1" x14ac:dyDescent="0.3">
      <c r="B26" s="4" t="s">
        <v>65</v>
      </c>
      <c r="C26" s="6">
        <v>14298</v>
      </c>
      <c r="D26" s="6">
        <v>22339751</v>
      </c>
      <c r="E26" s="6">
        <v>22339751</v>
      </c>
      <c r="F26" s="5">
        <v>1.1599999999999999</v>
      </c>
      <c r="G26" s="6">
        <v>22339751</v>
      </c>
      <c r="H26" s="5">
        <v>1.1599999999999999</v>
      </c>
      <c r="I26" s="6">
        <v>22339751</v>
      </c>
      <c r="J26" s="5">
        <v>1.1599999999999999</v>
      </c>
      <c r="K26" s="6">
        <v>22325721</v>
      </c>
    </row>
    <row r="27" spans="2:18" ht="16.5" customHeight="1" x14ac:dyDescent="0.3">
      <c r="B27" s="4" t="s">
        <v>66</v>
      </c>
      <c r="C27" s="5">
        <v>1</v>
      </c>
      <c r="D27" s="6">
        <v>16200</v>
      </c>
      <c r="E27" s="6">
        <v>16200</v>
      </c>
      <c r="F27" s="5">
        <v>0</v>
      </c>
      <c r="G27" s="6">
        <v>16200</v>
      </c>
      <c r="H27" s="5">
        <v>0</v>
      </c>
      <c r="I27" s="6">
        <v>16200</v>
      </c>
      <c r="J27" s="5">
        <v>0</v>
      </c>
      <c r="K27" s="6">
        <v>16200</v>
      </c>
    </row>
    <row r="28" spans="2:18" ht="16.5" customHeight="1" x14ac:dyDescent="0.3">
      <c r="B28" s="4" t="s">
        <v>67</v>
      </c>
      <c r="C28" s="6">
        <v>1665</v>
      </c>
      <c r="D28" s="6">
        <v>22443870</v>
      </c>
      <c r="E28" s="6">
        <v>22443870</v>
      </c>
      <c r="F28" s="5">
        <v>1.1599999999999999</v>
      </c>
      <c r="G28" s="6">
        <v>22443870</v>
      </c>
      <c r="H28" s="5">
        <v>1.1599999999999999</v>
      </c>
      <c r="I28" s="6">
        <v>22443870</v>
      </c>
      <c r="J28" s="5">
        <v>1.1599999999999999</v>
      </c>
      <c r="K28" s="6">
        <v>22417760</v>
      </c>
    </row>
    <row r="29" spans="2:18" ht="16.5" customHeight="1" x14ac:dyDescent="0.3">
      <c r="B29" s="4" t="s">
        <v>29</v>
      </c>
      <c r="C29" s="6">
        <v>6541</v>
      </c>
      <c r="D29" s="6">
        <v>10605202</v>
      </c>
      <c r="E29" s="6">
        <v>10605202</v>
      </c>
      <c r="F29" s="5">
        <v>0.55000000000000004</v>
      </c>
      <c r="G29" s="6">
        <v>10605202</v>
      </c>
      <c r="H29" s="5">
        <v>0.55000000000000004</v>
      </c>
      <c r="I29" s="6">
        <v>10605202</v>
      </c>
      <c r="J29" s="5">
        <v>0.55000000000000004</v>
      </c>
      <c r="K29" s="6">
        <v>10605202</v>
      </c>
    </row>
    <row r="30" spans="2:18" ht="16.5" customHeight="1" x14ac:dyDescent="0.3">
      <c r="B30" s="4" t="s">
        <v>68</v>
      </c>
      <c r="C30" s="5">
        <v>46</v>
      </c>
      <c r="D30" s="6">
        <v>2804568</v>
      </c>
      <c r="E30" s="6">
        <v>2804568</v>
      </c>
      <c r="F30" s="5">
        <v>0.15</v>
      </c>
      <c r="G30" s="6">
        <v>2804568</v>
      </c>
      <c r="H30" s="5">
        <v>0.15</v>
      </c>
      <c r="I30" s="6">
        <v>2804568</v>
      </c>
      <c r="J30" s="5">
        <v>0.15</v>
      </c>
      <c r="K30" s="6">
        <v>2804568</v>
      </c>
    </row>
    <row r="31" spans="2:18" ht="16.5" customHeight="1" x14ac:dyDescent="0.3">
      <c r="B31" s="4" t="s">
        <v>69</v>
      </c>
      <c r="C31" s="5">
        <v>1</v>
      </c>
      <c r="D31" s="6">
        <v>10000</v>
      </c>
      <c r="E31" s="6">
        <v>10000</v>
      </c>
      <c r="F31" s="5">
        <v>0</v>
      </c>
      <c r="G31" s="6">
        <v>10000</v>
      </c>
      <c r="H31" s="5">
        <v>0</v>
      </c>
      <c r="I31" s="6">
        <v>10000</v>
      </c>
      <c r="J31" s="5">
        <v>0</v>
      </c>
      <c r="K31" s="6">
        <v>10000</v>
      </c>
    </row>
    <row r="32" spans="2:18" ht="16.5" customHeight="1" x14ac:dyDescent="0.3">
      <c r="B32" s="4" t="s">
        <v>70</v>
      </c>
      <c r="C32" s="5">
        <v>59</v>
      </c>
      <c r="D32" s="6">
        <v>487164</v>
      </c>
      <c r="E32" s="6">
        <v>487164</v>
      </c>
      <c r="F32" s="5">
        <v>0.03</v>
      </c>
      <c r="G32" s="6">
        <v>487164</v>
      </c>
      <c r="H32" s="5">
        <v>0.03</v>
      </c>
      <c r="I32" s="6">
        <v>487164</v>
      </c>
      <c r="J32" s="5">
        <v>0.03</v>
      </c>
      <c r="K32" s="6">
        <v>487164</v>
      </c>
    </row>
    <row r="33" spans="2:11" ht="22.5" customHeight="1" x14ac:dyDescent="0.3">
      <c r="B33" s="4" t="s">
        <v>71</v>
      </c>
      <c r="C33" s="5">
        <v>1</v>
      </c>
      <c r="D33" s="6">
        <v>4000</v>
      </c>
      <c r="E33" s="6">
        <v>4000</v>
      </c>
      <c r="F33" s="5">
        <v>0</v>
      </c>
      <c r="G33" s="6">
        <v>4000</v>
      </c>
      <c r="H33" s="5">
        <v>0</v>
      </c>
      <c r="I33" s="6">
        <v>4000</v>
      </c>
      <c r="J33" s="5">
        <v>0</v>
      </c>
      <c r="K33" s="6">
        <v>4000</v>
      </c>
    </row>
    <row r="34" spans="2:11" ht="24.75" customHeight="1" x14ac:dyDescent="0.3">
      <c r="B34" s="4" t="s">
        <v>72</v>
      </c>
      <c r="C34" s="5">
        <v>1</v>
      </c>
      <c r="D34" s="6">
        <v>1693141</v>
      </c>
      <c r="E34" s="6">
        <v>1693141</v>
      </c>
      <c r="F34" s="5">
        <v>0.09</v>
      </c>
      <c r="G34" s="6">
        <v>1693141</v>
      </c>
      <c r="H34" s="5">
        <v>0.09</v>
      </c>
      <c r="I34" s="6">
        <v>1693141</v>
      </c>
      <c r="J34" s="5">
        <v>0.09</v>
      </c>
      <c r="K34" s="6">
        <v>1693141</v>
      </c>
    </row>
    <row r="35" spans="2:11" ht="16.5" customHeight="1" x14ac:dyDescent="0.3">
      <c r="B35" s="4" t="s">
        <v>73</v>
      </c>
      <c r="C35" s="6">
        <v>6265</v>
      </c>
      <c r="D35" s="6">
        <v>4709675</v>
      </c>
      <c r="E35" s="6">
        <v>4709675</v>
      </c>
      <c r="F35" s="5">
        <v>0.24</v>
      </c>
      <c r="G35" s="6">
        <v>4709675</v>
      </c>
      <c r="H35" s="5">
        <v>0.24</v>
      </c>
      <c r="I35" s="6">
        <v>4709675</v>
      </c>
      <c r="J35" s="5">
        <v>0.24</v>
      </c>
      <c r="K35" s="6">
        <v>4709675</v>
      </c>
    </row>
    <row r="36" spans="2:11" ht="16.5" customHeight="1" x14ac:dyDescent="0.3">
      <c r="B36" s="4" t="s">
        <v>74</v>
      </c>
      <c r="C36" s="5">
        <v>168</v>
      </c>
      <c r="D36" s="6">
        <v>896654</v>
      </c>
      <c r="E36" s="6">
        <v>896654</v>
      </c>
      <c r="F36" s="5">
        <v>0.05</v>
      </c>
      <c r="G36" s="6">
        <v>896654</v>
      </c>
      <c r="H36" s="5">
        <v>0.05</v>
      </c>
      <c r="I36" s="6">
        <v>896654</v>
      </c>
      <c r="J36" s="5">
        <v>0.05</v>
      </c>
      <c r="K36" s="6">
        <v>896654</v>
      </c>
    </row>
    <row r="37" spans="2:11" ht="16.5" customHeight="1" x14ac:dyDescent="0.3">
      <c r="B37" s="4" t="s">
        <v>75</v>
      </c>
      <c r="C37" s="6">
        <v>491239</v>
      </c>
      <c r="D37" s="6">
        <v>291242472</v>
      </c>
      <c r="E37" s="6">
        <v>291242472</v>
      </c>
      <c r="F37" s="5">
        <v>15.1</v>
      </c>
      <c r="G37" s="6">
        <v>291242472</v>
      </c>
      <c r="H37" s="5">
        <v>15.1</v>
      </c>
      <c r="I37" s="6">
        <v>291242472</v>
      </c>
      <c r="J37" s="5">
        <v>15.1</v>
      </c>
      <c r="K37" s="6">
        <v>289660342</v>
      </c>
    </row>
    <row r="38" spans="2:11" ht="16.5" customHeight="1" x14ac:dyDescent="0.3">
      <c r="B38" s="4" t="s">
        <v>76</v>
      </c>
      <c r="C38" s="6">
        <v>492122</v>
      </c>
      <c r="D38" s="6">
        <v>718012740</v>
      </c>
      <c r="E38" s="6">
        <v>718012740</v>
      </c>
      <c r="F38" s="5">
        <v>37.24</v>
      </c>
      <c r="G38" s="6">
        <v>718012740</v>
      </c>
      <c r="H38" s="5">
        <v>37.24</v>
      </c>
      <c r="I38" s="6">
        <v>718012740</v>
      </c>
      <c r="J38" s="5">
        <v>37.24</v>
      </c>
      <c r="K38" s="6">
        <v>716369640</v>
      </c>
    </row>
    <row r="42" spans="2:11" ht="18" customHeight="1" x14ac:dyDescent="0.3"/>
    <row r="43" spans="2:11" ht="18" customHeight="1" x14ac:dyDescent="0.3"/>
    <row r="44" spans="2:11" ht="18" customHeight="1" x14ac:dyDescent="0.3"/>
    <row r="45" spans="2:11" ht="18" customHeight="1" x14ac:dyDescent="0.3"/>
    <row r="46" spans="2:11" ht="18" customHeight="1" x14ac:dyDescent="0.3"/>
    <row r="47" spans="2:11" ht="18" customHeight="1" x14ac:dyDescent="0.3"/>
    <row r="48" spans="2:11" ht="30.75" customHeight="1" x14ac:dyDescent="0.3"/>
    <row r="49" ht="33" customHeight="1" x14ac:dyDescent="0.3"/>
    <row r="50" ht="23.25" customHeight="1" x14ac:dyDescent="0.3"/>
    <row r="51" ht="18" customHeight="1" x14ac:dyDescent="0.3"/>
    <row r="52" ht="18" customHeight="1" x14ac:dyDescent="0.3"/>
    <row r="53" ht="22.5" customHeight="1" x14ac:dyDescent="0.3"/>
    <row r="54" ht="18" customHeight="1" x14ac:dyDescent="0.3"/>
  </sheetData>
  <mergeCells count="10">
    <mergeCell ref="B1:K1"/>
    <mergeCell ref="M1:U1"/>
    <mergeCell ref="M2:M3"/>
    <mergeCell ref="N2:N3"/>
    <mergeCell ref="O2:O3"/>
    <mergeCell ref="P2:P3"/>
    <mergeCell ref="Q2:Q3"/>
    <mergeCell ref="R2:R3"/>
    <mergeCell ref="S2:T2"/>
    <mergeCell ref="U2:U3"/>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CEAF7"/>
  </sheetPr>
  <dimension ref="B1:P47"/>
  <sheetViews>
    <sheetView zoomScale="96" zoomScaleNormal="96" workbookViewId="0">
      <selection activeCell="B1" sqref="B1:H1"/>
    </sheetView>
  </sheetViews>
  <sheetFormatPr defaultColWidth="8.7265625" defaultRowHeight="11.5" x14ac:dyDescent="0.25"/>
  <cols>
    <col min="1" max="1" width="6.08984375" style="21" customWidth="1"/>
    <col min="2" max="2" width="13" style="21" customWidth="1"/>
    <col min="3" max="5" width="9.08984375" style="21" customWidth="1"/>
    <col min="6" max="6" width="3.81640625" style="21" customWidth="1"/>
    <col min="7" max="8" width="9.08984375" style="21" customWidth="1"/>
    <col min="9" max="9" width="8.7265625" style="21"/>
    <col min="10" max="10" width="17.26953125" style="21" customWidth="1"/>
    <col min="11" max="13" width="9.08984375" style="21" customWidth="1"/>
    <col min="14" max="14" width="5.453125" style="21" customWidth="1"/>
    <col min="15" max="16" width="9.08984375" style="21" customWidth="1"/>
    <col min="17" max="16384" width="8.7265625" style="21"/>
  </cols>
  <sheetData>
    <row r="1" spans="2:16" ht="18" customHeight="1" x14ac:dyDescent="0.25">
      <c r="B1" s="266" t="s">
        <v>77</v>
      </c>
      <c r="C1" s="266"/>
      <c r="D1" s="266"/>
      <c r="E1" s="266"/>
      <c r="F1" s="266"/>
      <c r="G1" s="266"/>
      <c r="H1" s="266"/>
      <c r="J1" s="266" t="s">
        <v>78</v>
      </c>
      <c r="K1" s="266"/>
      <c r="L1" s="266"/>
      <c r="M1" s="266"/>
      <c r="N1" s="266"/>
      <c r="O1" s="266"/>
      <c r="P1" s="266"/>
    </row>
    <row r="2" spans="2:16" ht="15" customHeight="1" x14ac:dyDescent="0.3">
      <c r="B2" s="22" t="s">
        <v>44</v>
      </c>
      <c r="C2" s="22" t="s">
        <v>79</v>
      </c>
      <c r="D2" s="22" t="s">
        <v>80</v>
      </c>
      <c r="E2" s="22" t="s">
        <v>81</v>
      </c>
      <c r="G2" s="267" t="s">
        <v>82</v>
      </c>
      <c r="H2" s="267"/>
      <c r="J2" s="22" t="s">
        <v>44</v>
      </c>
      <c r="K2" s="22" t="s">
        <v>79</v>
      </c>
      <c r="L2" s="22" t="s">
        <v>80</v>
      </c>
      <c r="M2" s="22" t="s">
        <v>81</v>
      </c>
      <c r="N2" s="23"/>
      <c r="O2" s="1" t="s">
        <v>82</v>
      </c>
      <c r="P2" s="24"/>
    </row>
    <row r="3" spans="2:16" ht="18" customHeight="1" x14ac:dyDescent="0.3">
      <c r="B3" s="25" t="s">
        <v>83</v>
      </c>
      <c r="C3" s="26"/>
      <c r="D3" s="26"/>
      <c r="E3" s="25"/>
      <c r="G3" s="22" t="s">
        <v>80</v>
      </c>
      <c r="H3" s="22" t="s">
        <v>81</v>
      </c>
      <c r="J3" s="27" t="s">
        <v>84</v>
      </c>
      <c r="K3" s="28"/>
      <c r="L3" s="28"/>
      <c r="M3" s="28"/>
      <c r="N3" s="23"/>
      <c r="O3" s="22" t="s">
        <v>80</v>
      </c>
      <c r="P3" s="22" t="s">
        <v>81</v>
      </c>
    </row>
    <row r="4" spans="2:16" ht="18" customHeight="1" x14ac:dyDescent="0.3">
      <c r="B4" s="29" t="s">
        <v>85</v>
      </c>
      <c r="C4" s="30">
        <v>24393.89</v>
      </c>
      <c r="D4" s="30">
        <v>20201.560000000001</v>
      </c>
      <c r="E4" s="30">
        <v>23154.6</v>
      </c>
      <c r="G4" s="31">
        <f>(D4-C4)/C4</f>
        <v>-0.17185983867271673</v>
      </c>
      <c r="H4" s="31">
        <f>(E4-D4)/D4</f>
        <v>0.14617880995329058</v>
      </c>
      <c r="J4" s="27" t="s">
        <v>86</v>
      </c>
      <c r="K4" s="28">
        <v>96.42</v>
      </c>
      <c r="L4" s="28">
        <v>96.42</v>
      </c>
      <c r="M4" s="28">
        <v>192.83</v>
      </c>
      <c r="N4" s="23"/>
      <c r="O4" s="31">
        <f>(L4-K4)/K4</f>
        <v>0</v>
      </c>
      <c r="P4" s="31">
        <f>(M4-L4)/L4</f>
        <v>0.99989628707736988</v>
      </c>
    </row>
    <row r="5" spans="2:16" ht="18" customHeight="1" x14ac:dyDescent="0.3">
      <c r="B5" s="29" t="s">
        <v>87</v>
      </c>
      <c r="C5" s="32">
        <v>0</v>
      </c>
      <c r="D5" s="32">
        <v>0</v>
      </c>
      <c r="E5" s="32">
        <v>0</v>
      </c>
      <c r="G5" s="31"/>
      <c r="H5" s="31"/>
      <c r="J5" s="33" t="s">
        <v>88</v>
      </c>
      <c r="K5" s="34">
        <v>96.42</v>
      </c>
      <c r="L5" s="34">
        <v>96.42</v>
      </c>
      <c r="M5" s="34">
        <v>192.83</v>
      </c>
      <c r="N5" s="23"/>
      <c r="O5" s="31">
        <f>(L5-K5)/K5</f>
        <v>0</v>
      </c>
      <c r="P5" s="31">
        <f>(M5-L5)/L5</f>
        <v>0.99989628707736988</v>
      </c>
    </row>
    <row r="6" spans="2:16" ht="18" customHeight="1" x14ac:dyDescent="0.3">
      <c r="B6" s="29" t="s">
        <v>89</v>
      </c>
      <c r="C6" s="35">
        <v>24393.89</v>
      </c>
      <c r="D6" s="35">
        <v>20201.560000000001</v>
      </c>
      <c r="E6" s="35">
        <v>23154.6</v>
      </c>
      <c r="G6" s="31">
        <f t="shared" ref="G6:H9" si="0">(D6-C6)/C6</f>
        <v>-0.17185983867271673</v>
      </c>
      <c r="H6" s="31">
        <f t="shared" si="0"/>
        <v>0.14617880995329058</v>
      </c>
      <c r="J6" s="36" t="s">
        <v>90</v>
      </c>
      <c r="K6" s="37">
        <v>0</v>
      </c>
      <c r="L6" s="37">
        <v>0</v>
      </c>
      <c r="M6" s="37">
        <v>0</v>
      </c>
      <c r="N6" s="23"/>
      <c r="O6" s="31"/>
      <c r="P6" s="31"/>
    </row>
    <row r="7" spans="2:16" ht="18" customHeight="1" x14ac:dyDescent="0.3">
      <c r="B7" s="29" t="s">
        <v>91</v>
      </c>
      <c r="C7" s="32">
        <v>152.33000000000001</v>
      </c>
      <c r="D7" s="32">
        <v>242.28</v>
      </c>
      <c r="E7" s="32">
        <v>161.13</v>
      </c>
      <c r="G7" s="31">
        <f t="shared" si="0"/>
        <v>0.59049432153876436</v>
      </c>
      <c r="H7" s="31">
        <f t="shared" si="0"/>
        <v>-0.33494304110946016</v>
      </c>
      <c r="J7" s="33" t="s">
        <v>92</v>
      </c>
      <c r="K7" s="38">
        <v>0</v>
      </c>
      <c r="L7" s="38">
        <v>0</v>
      </c>
      <c r="M7" s="38">
        <v>0</v>
      </c>
      <c r="N7" s="23"/>
      <c r="O7" s="31"/>
      <c r="P7" s="31"/>
    </row>
    <row r="8" spans="2:16" ht="18" customHeight="1" x14ac:dyDescent="0.3">
      <c r="B8" s="29" t="s">
        <v>93</v>
      </c>
      <c r="C8" s="32">
        <v>45.68</v>
      </c>
      <c r="D8" s="32">
        <v>139.66</v>
      </c>
      <c r="E8" s="32">
        <v>168.23</v>
      </c>
      <c r="G8" s="31">
        <f t="shared" si="0"/>
        <v>2.057355516637478</v>
      </c>
      <c r="H8" s="31">
        <f t="shared" si="0"/>
        <v>0.20456823714735783</v>
      </c>
      <c r="J8" s="36" t="s">
        <v>94</v>
      </c>
      <c r="K8" s="39">
        <v>0</v>
      </c>
      <c r="L8" s="39">
        <v>0</v>
      </c>
      <c r="M8" s="39">
        <v>0</v>
      </c>
      <c r="N8" s="23"/>
      <c r="O8" s="31"/>
      <c r="P8" s="31"/>
    </row>
    <row r="9" spans="2:16" ht="18" customHeight="1" x14ac:dyDescent="0.3">
      <c r="B9" s="25" t="s">
        <v>95</v>
      </c>
      <c r="C9" s="40">
        <v>24591.9</v>
      </c>
      <c r="D9" s="40">
        <v>20583.5</v>
      </c>
      <c r="E9" s="40">
        <v>23483.96</v>
      </c>
      <c r="G9" s="31">
        <f t="shared" si="0"/>
        <v>-0.16299675909547456</v>
      </c>
      <c r="H9" s="31">
        <f t="shared" si="0"/>
        <v>0.14091189545023922</v>
      </c>
      <c r="J9" s="36" t="s">
        <v>96</v>
      </c>
      <c r="K9" s="39">
        <v>0</v>
      </c>
      <c r="L9" s="39">
        <v>0</v>
      </c>
      <c r="M9" s="39">
        <v>0</v>
      </c>
      <c r="N9" s="23"/>
      <c r="O9" s="31"/>
      <c r="P9" s="31"/>
    </row>
    <row r="10" spans="2:16" ht="18" customHeight="1" x14ac:dyDescent="0.3">
      <c r="B10" s="25" t="s">
        <v>97</v>
      </c>
      <c r="C10" s="26"/>
      <c r="D10" s="26"/>
      <c r="E10" s="25"/>
      <c r="G10" s="31"/>
      <c r="H10" s="31"/>
      <c r="J10" s="33" t="s">
        <v>98</v>
      </c>
      <c r="K10" s="34">
        <v>0</v>
      </c>
      <c r="L10" s="34">
        <v>0</v>
      </c>
      <c r="M10" s="34">
        <v>0</v>
      </c>
      <c r="N10" s="23"/>
      <c r="O10" s="31"/>
      <c r="P10" s="31"/>
    </row>
    <row r="11" spans="2:16" ht="18" customHeight="1" x14ac:dyDescent="0.3">
      <c r="B11" s="29" t="s">
        <v>99</v>
      </c>
      <c r="C11" s="35">
        <v>10754.25</v>
      </c>
      <c r="D11" s="35">
        <v>8889.4599999999991</v>
      </c>
      <c r="E11" s="35">
        <v>10509.52</v>
      </c>
      <c r="G11" s="31">
        <f>(D11-C11)/C11</f>
        <v>-0.17340028360880591</v>
      </c>
      <c r="H11" s="31">
        <f>(E11-D11)/D11</f>
        <v>0.18224504075613157</v>
      </c>
      <c r="J11" s="36" t="s">
        <v>100</v>
      </c>
      <c r="K11" s="37">
        <v>3244.47</v>
      </c>
      <c r="L11" s="37">
        <v>3913.79</v>
      </c>
      <c r="M11" s="37">
        <v>4964.1400000000003</v>
      </c>
      <c r="N11" s="23"/>
      <c r="O11" s="31">
        <f t="shared" ref="O11:P13" si="1">(L11-K11)/K11</f>
        <v>0.2062956353425984</v>
      </c>
      <c r="P11" s="31">
        <f t="shared" si="1"/>
        <v>0.26837157844442355</v>
      </c>
    </row>
    <row r="12" spans="2:16" ht="18" customHeight="1" x14ac:dyDescent="0.3">
      <c r="B12" s="29" t="s">
        <v>101</v>
      </c>
      <c r="C12" s="32">
        <v>0</v>
      </c>
      <c r="D12" s="32">
        <v>0</v>
      </c>
      <c r="E12" s="32">
        <v>0</v>
      </c>
      <c r="G12" s="31"/>
      <c r="H12" s="31"/>
      <c r="J12" s="33" t="s">
        <v>102</v>
      </c>
      <c r="K12" s="34">
        <v>3340.89</v>
      </c>
      <c r="L12" s="34">
        <v>4010.21</v>
      </c>
      <c r="M12" s="34">
        <v>5156.97</v>
      </c>
      <c r="N12" s="23"/>
      <c r="O12" s="31">
        <f t="shared" si="1"/>
        <v>0.20034182508253795</v>
      </c>
      <c r="P12" s="31">
        <f t="shared" si="1"/>
        <v>0.28596008687824331</v>
      </c>
    </row>
    <row r="13" spans="2:16" ht="18" customHeight="1" x14ac:dyDescent="0.3">
      <c r="B13" s="29" t="s">
        <v>103</v>
      </c>
      <c r="C13" s="35">
        <v>2336.06</v>
      </c>
      <c r="D13" s="35">
        <v>2023.71</v>
      </c>
      <c r="E13" s="35">
        <v>2165.81</v>
      </c>
      <c r="G13" s="31">
        <f>(D13-C13)/C13</f>
        <v>-0.1337080383209335</v>
      </c>
      <c r="H13" s="31">
        <f>(E13-D13)/D13</f>
        <v>7.021757069935905E-2</v>
      </c>
      <c r="J13" s="33" t="s">
        <v>104</v>
      </c>
      <c r="K13" s="34">
        <v>31.14</v>
      </c>
      <c r="L13" s="34">
        <v>753.34</v>
      </c>
      <c r="M13" s="34">
        <v>24.44</v>
      </c>
      <c r="N13" s="23"/>
      <c r="O13" s="31">
        <f t="shared" si="1"/>
        <v>23.192035966602443</v>
      </c>
      <c r="P13" s="31">
        <f t="shared" si="1"/>
        <v>-0.96755780922292711</v>
      </c>
    </row>
    <row r="14" spans="2:16" ht="18" customHeight="1" x14ac:dyDescent="0.3">
      <c r="B14" s="29" t="s">
        <v>105</v>
      </c>
      <c r="C14" s="32">
        <v>0</v>
      </c>
      <c r="D14" s="32">
        <v>0</v>
      </c>
      <c r="E14" s="32">
        <v>0</v>
      </c>
      <c r="G14" s="31"/>
      <c r="H14" s="31"/>
      <c r="J14" s="33" t="s">
        <v>106</v>
      </c>
      <c r="K14" s="34">
        <v>0</v>
      </c>
      <c r="L14" s="34">
        <v>0</v>
      </c>
      <c r="M14" s="34">
        <v>0</v>
      </c>
      <c r="N14" s="23"/>
      <c r="O14" s="31"/>
      <c r="P14" s="31"/>
    </row>
    <row r="15" spans="2:16" ht="18" customHeight="1" x14ac:dyDescent="0.3">
      <c r="B15" s="29" t="s">
        <v>107</v>
      </c>
      <c r="C15" s="32">
        <v>0</v>
      </c>
      <c r="D15" s="32">
        <v>0</v>
      </c>
      <c r="E15" s="32">
        <v>0</v>
      </c>
      <c r="G15" s="31"/>
      <c r="H15" s="31"/>
      <c r="J15" s="33" t="s">
        <v>108</v>
      </c>
      <c r="K15" s="34">
        <v>31.14</v>
      </c>
      <c r="L15" s="34">
        <v>753.34</v>
      </c>
      <c r="M15" s="34">
        <v>24.44</v>
      </c>
      <c r="N15" s="23"/>
      <c r="O15" s="31">
        <f>(L15-K15)/K15</f>
        <v>23.192035966602443</v>
      </c>
      <c r="P15" s="31">
        <f>(M15-L15)/L15</f>
        <v>-0.96755780922292711</v>
      </c>
    </row>
    <row r="16" spans="2:16" ht="18" customHeight="1" x14ac:dyDescent="0.3">
      <c r="B16" s="29" t="s">
        <v>109</v>
      </c>
      <c r="C16" s="35">
        <v>5529.45</v>
      </c>
      <c r="D16" s="35">
        <v>4672.1000000000004</v>
      </c>
      <c r="E16" s="35">
        <v>5341.44</v>
      </c>
      <c r="G16" s="31">
        <f>(D16-C16)/C16</f>
        <v>-0.15505158740923591</v>
      </c>
      <c r="H16" s="31">
        <f>(E16-D16)/D16</f>
        <v>0.1432632007020396</v>
      </c>
      <c r="J16" s="36" t="s">
        <v>110</v>
      </c>
      <c r="K16" s="37">
        <v>0</v>
      </c>
      <c r="L16" s="39">
        <v>0</v>
      </c>
      <c r="M16" s="37">
        <v>0</v>
      </c>
      <c r="N16" s="23"/>
      <c r="O16" s="31"/>
      <c r="P16" s="31"/>
    </row>
    <row r="17" spans="2:16" ht="18" customHeight="1" x14ac:dyDescent="0.3">
      <c r="B17" s="29" t="s">
        <v>111</v>
      </c>
      <c r="C17" s="32">
        <v>0</v>
      </c>
      <c r="D17" s="32">
        <v>0</v>
      </c>
      <c r="E17" s="32">
        <v>0</v>
      </c>
      <c r="G17" s="31"/>
      <c r="H17" s="31"/>
      <c r="J17" s="36" t="s">
        <v>112</v>
      </c>
      <c r="K17" s="37">
        <v>0</v>
      </c>
      <c r="L17" s="37">
        <v>0</v>
      </c>
      <c r="M17" s="37">
        <v>0</v>
      </c>
      <c r="N17" s="23"/>
      <c r="O17" s="31"/>
      <c r="P17" s="31"/>
    </row>
    <row r="18" spans="2:16" ht="18" customHeight="1" x14ac:dyDescent="0.3">
      <c r="B18" s="29" t="s">
        <v>113</v>
      </c>
      <c r="C18" s="35">
        <v>18619.759999999998</v>
      </c>
      <c r="D18" s="35">
        <v>15585.27</v>
      </c>
      <c r="E18" s="35">
        <v>18016.77</v>
      </c>
      <c r="G18" s="31">
        <f t="shared" ref="G18:H23" si="2">(D18-C18)/C18</f>
        <v>-0.16297148835430736</v>
      </c>
      <c r="H18" s="31">
        <f t="shared" si="2"/>
        <v>0.15601269660390868</v>
      </c>
      <c r="J18" s="33" t="s">
        <v>114</v>
      </c>
      <c r="K18" s="34">
        <v>0</v>
      </c>
      <c r="L18" s="34">
        <v>0</v>
      </c>
      <c r="M18" s="34">
        <v>0</v>
      </c>
      <c r="N18" s="23"/>
      <c r="O18" s="31"/>
      <c r="P18" s="31"/>
    </row>
    <row r="19" spans="2:16" ht="18" customHeight="1" x14ac:dyDescent="0.3">
      <c r="B19" s="25" t="s">
        <v>115</v>
      </c>
      <c r="C19" s="41">
        <v>5819.81</v>
      </c>
      <c r="D19" s="41">
        <v>4755.95</v>
      </c>
      <c r="E19" s="41">
        <v>5306.06</v>
      </c>
      <c r="G19" s="31">
        <f t="shared" si="2"/>
        <v>-0.18279978212347148</v>
      </c>
      <c r="H19" s="31">
        <f t="shared" si="2"/>
        <v>0.1156677425120114</v>
      </c>
      <c r="J19" s="33" t="s">
        <v>116</v>
      </c>
      <c r="K19" s="38">
        <v>3372.03</v>
      </c>
      <c r="L19" s="38">
        <v>4763.55</v>
      </c>
      <c r="M19" s="38">
        <v>5181.41</v>
      </c>
      <c r="N19" s="23"/>
      <c r="O19" s="31">
        <f>(L19-K19)/K19</f>
        <v>0.41266536774583851</v>
      </c>
      <c r="P19" s="31">
        <f>(M19-L19)/L19</f>
        <v>8.7720292638893194E-2</v>
      </c>
    </row>
    <row r="20" spans="2:16" ht="18" customHeight="1" x14ac:dyDescent="0.3">
      <c r="B20" s="29" t="s">
        <v>117</v>
      </c>
      <c r="C20" s="30">
        <v>5972.14</v>
      </c>
      <c r="D20" s="30">
        <v>4998.2299999999996</v>
      </c>
      <c r="E20" s="30">
        <v>5467.19</v>
      </c>
      <c r="G20" s="31">
        <f t="shared" si="2"/>
        <v>-0.16307554745870001</v>
      </c>
      <c r="H20" s="31">
        <f t="shared" si="2"/>
        <v>9.3825214125800555E-2</v>
      </c>
      <c r="J20" s="33"/>
      <c r="K20" s="38" t="s">
        <v>79</v>
      </c>
      <c r="L20" s="38" t="s">
        <v>80</v>
      </c>
      <c r="M20" s="38" t="s">
        <v>81</v>
      </c>
      <c r="N20" s="23"/>
      <c r="O20" s="31"/>
      <c r="P20" s="31"/>
    </row>
    <row r="21" spans="2:16" ht="18" customHeight="1" x14ac:dyDescent="0.3">
      <c r="B21" s="29" t="s">
        <v>118</v>
      </c>
      <c r="C21" s="32">
        <v>145.49</v>
      </c>
      <c r="D21" s="32">
        <v>136</v>
      </c>
      <c r="E21" s="32">
        <v>158.31</v>
      </c>
      <c r="G21" s="31">
        <f t="shared" si="2"/>
        <v>-6.522785071138916E-2</v>
      </c>
      <c r="H21" s="31">
        <f t="shared" si="2"/>
        <v>0.16404411764705884</v>
      </c>
      <c r="J21" s="33" t="s">
        <v>119</v>
      </c>
      <c r="K21" s="38"/>
      <c r="L21" s="38"/>
      <c r="M21" s="34"/>
      <c r="N21" s="23"/>
      <c r="O21" s="31"/>
      <c r="P21" s="31"/>
    </row>
    <row r="22" spans="2:16" ht="18" customHeight="1" x14ac:dyDescent="0.3">
      <c r="B22" s="29" t="s">
        <v>120</v>
      </c>
      <c r="C22" s="35">
        <v>5826.65</v>
      </c>
      <c r="D22" s="35">
        <v>4862.2299999999996</v>
      </c>
      <c r="E22" s="35">
        <v>5308.88</v>
      </c>
      <c r="G22" s="31">
        <f t="shared" si="2"/>
        <v>-0.16551878008804374</v>
      </c>
      <c r="H22" s="31">
        <f t="shared" si="2"/>
        <v>9.1861141904023585E-2</v>
      </c>
      <c r="J22" s="36" t="s">
        <v>121</v>
      </c>
      <c r="K22" s="39">
        <v>5201.96</v>
      </c>
      <c r="L22" s="39">
        <v>6646.17</v>
      </c>
      <c r="M22" s="39">
        <v>6797.4</v>
      </c>
      <c r="N22" s="23"/>
      <c r="O22" s="31">
        <f>(L22-K22)/K22</f>
        <v>0.27762804788964163</v>
      </c>
      <c r="P22" s="31">
        <f>(M22-L22)/L22</f>
        <v>2.2754458582913101E-2</v>
      </c>
    </row>
    <row r="23" spans="2:16" ht="18" customHeight="1" x14ac:dyDescent="0.3">
      <c r="B23" s="29" t="s">
        <v>122</v>
      </c>
      <c r="C23" s="32">
        <v>537.78</v>
      </c>
      <c r="D23" s="32">
        <v>522.16</v>
      </c>
      <c r="E23" s="32">
        <v>699.23</v>
      </c>
      <c r="G23" s="31">
        <f t="shared" si="2"/>
        <v>-2.904533452341107E-2</v>
      </c>
      <c r="H23" s="31">
        <f t="shared" si="2"/>
        <v>0.33911061743526899</v>
      </c>
      <c r="J23" s="36" t="s">
        <v>123</v>
      </c>
      <c r="K23" s="39">
        <v>0</v>
      </c>
      <c r="L23" s="39">
        <v>0</v>
      </c>
      <c r="M23" s="39">
        <v>0</v>
      </c>
      <c r="N23" s="23"/>
      <c r="O23" s="31"/>
      <c r="P23" s="31"/>
    </row>
    <row r="24" spans="2:16" ht="18" customHeight="1" x14ac:dyDescent="0.3">
      <c r="B24" s="29" t="s">
        <v>124</v>
      </c>
      <c r="C24" s="32">
        <v>0</v>
      </c>
      <c r="D24" s="32">
        <v>0</v>
      </c>
      <c r="E24" s="32">
        <v>0</v>
      </c>
      <c r="G24" s="31"/>
      <c r="H24" s="31"/>
      <c r="J24" s="36" t="s">
        <v>125</v>
      </c>
      <c r="K24" s="37">
        <v>0</v>
      </c>
      <c r="L24" s="37">
        <v>0</v>
      </c>
      <c r="M24" s="37">
        <v>0</v>
      </c>
      <c r="N24" s="23"/>
      <c r="O24" s="31"/>
      <c r="P24" s="31"/>
    </row>
    <row r="25" spans="2:16" ht="18" customHeight="1" x14ac:dyDescent="0.3">
      <c r="B25" s="29" t="s">
        <v>126</v>
      </c>
      <c r="C25" s="35">
        <v>5288.87</v>
      </c>
      <c r="D25" s="35">
        <v>4340.07</v>
      </c>
      <c r="E25" s="35">
        <v>4609.6499999999996</v>
      </c>
      <c r="G25" s="31">
        <f>(D25-C25)/C25</f>
        <v>-0.17939559868176003</v>
      </c>
      <c r="H25" s="31">
        <f>(E25-D25)/D25</f>
        <v>6.2114205531247177E-2</v>
      </c>
      <c r="J25" s="36" t="s">
        <v>127</v>
      </c>
      <c r="K25" s="37">
        <v>5201.96</v>
      </c>
      <c r="L25" s="37">
        <v>6646.17</v>
      </c>
      <c r="M25" s="37">
        <v>6797.4</v>
      </c>
      <c r="N25" s="23"/>
      <c r="O25" s="31">
        <f>(L25-K25)/K25</f>
        <v>0.27762804788964163</v>
      </c>
      <c r="P25" s="31">
        <f>(M25-L25)/L25</f>
        <v>2.2754458582913101E-2</v>
      </c>
    </row>
    <row r="26" spans="2:16" ht="18" customHeight="1" x14ac:dyDescent="0.3">
      <c r="B26" s="29" t="s">
        <v>128</v>
      </c>
      <c r="C26" s="32">
        <v>0</v>
      </c>
      <c r="D26" s="32">
        <v>0</v>
      </c>
      <c r="E26" s="32">
        <v>0</v>
      </c>
      <c r="G26" s="31"/>
      <c r="H26" s="31"/>
      <c r="J26" s="33" t="s">
        <v>129</v>
      </c>
      <c r="K26" s="38">
        <v>0</v>
      </c>
      <c r="L26" s="38">
        <v>0</v>
      </c>
      <c r="M26" s="34">
        <v>0</v>
      </c>
      <c r="N26" s="23"/>
      <c r="O26" s="31"/>
      <c r="P26" s="31"/>
    </row>
    <row r="27" spans="2:16" ht="18" customHeight="1" x14ac:dyDescent="0.3">
      <c r="B27" s="29" t="s">
        <v>130</v>
      </c>
      <c r="C27" s="35">
        <v>5288.87</v>
      </c>
      <c r="D27" s="35">
        <v>4340.07</v>
      </c>
      <c r="E27" s="35">
        <v>4609.6499999999996</v>
      </c>
      <c r="G27" s="31">
        <f t="shared" ref="G27:H29" si="3">(D27-C27)/C27</f>
        <v>-0.17939559868176003</v>
      </c>
      <c r="H27" s="31">
        <f t="shared" si="3"/>
        <v>6.2114205531247177E-2</v>
      </c>
      <c r="J27" s="33" t="s">
        <v>131</v>
      </c>
      <c r="K27" s="34">
        <v>463.87</v>
      </c>
      <c r="L27" s="34">
        <v>575.03</v>
      </c>
      <c r="M27" s="34">
        <v>530.91999999999996</v>
      </c>
      <c r="N27" s="23"/>
      <c r="O27" s="31">
        <f t="shared" ref="O27:P32" si="4">(L27-K27)/K27</f>
        <v>0.23963610494319523</v>
      </c>
      <c r="P27" s="31">
        <f t="shared" si="4"/>
        <v>-7.6709041267412167E-2</v>
      </c>
    </row>
    <row r="28" spans="2:16" ht="18" customHeight="1" x14ac:dyDescent="0.3">
      <c r="B28" s="29" t="s">
        <v>132</v>
      </c>
      <c r="C28" s="35">
        <v>1356.03</v>
      </c>
      <c r="D28" s="35">
        <v>1108.53</v>
      </c>
      <c r="E28" s="35">
        <v>1065.05</v>
      </c>
      <c r="G28" s="31">
        <f t="shared" si="3"/>
        <v>-0.18251808588305568</v>
      </c>
      <c r="H28" s="31">
        <f t="shared" si="3"/>
        <v>-3.9223115296834567E-2</v>
      </c>
      <c r="J28" s="33" t="s">
        <v>133</v>
      </c>
      <c r="K28" s="34">
        <v>2089.36</v>
      </c>
      <c r="L28" s="34">
        <v>2850.14</v>
      </c>
      <c r="M28" s="34">
        <v>2569.2199999999998</v>
      </c>
      <c r="N28" s="23"/>
      <c r="O28" s="31">
        <f t="shared" si="4"/>
        <v>0.36412107056706344</v>
      </c>
      <c r="P28" s="31">
        <f t="shared" si="4"/>
        <v>-9.8563579332945073E-2</v>
      </c>
    </row>
    <row r="29" spans="2:16" ht="18" customHeight="1" x14ac:dyDescent="0.3">
      <c r="B29" s="25" t="s">
        <v>134</v>
      </c>
      <c r="C29" s="40">
        <v>3932.84</v>
      </c>
      <c r="D29" s="40">
        <v>3231.54</v>
      </c>
      <c r="E29" s="40">
        <v>3544.6</v>
      </c>
      <c r="G29" s="31">
        <f t="shared" si="3"/>
        <v>-0.17831897560032958</v>
      </c>
      <c r="H29" s="31">
        <f t="shared" si="3"/>
        <v>9.6876411865550155E-2</v>
      </c>
      <c r="J29" s="36" t="s">
        <v>135</v>
      </c>
      <c r="K29" s="39">
        <v>300.45999999999998</v>
      </c>
      <c r="L29" s="39">
        <v>363.15</v>
      </c>
      <c r="M29" s="39">
        <v>329.47</v>
      </c>
      <c r="N29" s="23"/>
      <c r="O29" s="31">
        <f t="shared" si="4"/>
        <v>0.20864674166278374</v>
      </c>
      <c r="P29" s="31">
        <f t="shared" si="4"/>
        <v>-9.2744045160401911E-2</v>
      </c>
    </row>
    <row r="30" spans="2:16" ht="18" customHeight="1" x14ac:dyDescent="0.3">
      <c r="B30" s="29" t="s">
        <v>110</v>
      </c>
      <c r="C30" s="32">
        <v>0</v>
      </c>
      <c r="D30" s="32">
        <v>0</v>
      </c>
      <c r="E30" s="32">
        <v>0</v>
      </c>
      <c r="G30" s="31"/>
      <c r="H30" s="31"/>
      <c r="J30" s="33" t="s">
        <v>136</v>
      </c>
      <c r="K30" s="34">
        <v>778.85</v>
      </c>
      <c r="L30" s="34">
        <v>95.65</v>
      </c>
      <c r="M30" s="34">
        <v>1340.87</v>
      </c>
      <c r="N30" s="23"/>
      <c r="O30" s="31">
        <f t="shared" si="4"/>
        <v>-0.87719072992232139</v>
      </c>
      <c r="P30" s="31">
        <f t="shared" si="4"/>
        <v>13.018504966021952</v>
      </c>
    </row>
    <row r="31" spans="2:16" ht="18" customHeight="1" x14ac:dyDescent="0.3">
      <c r="B31" s="29" t="s">
        <v>137</v>
      </c>
      <c r="C31" s="32">
        <v>0</v>
      </c>
      <c r="D31" s="32">
        <v>23.95</v>
      </c>
      <c r="E31" s="32">
        <v>45.52</v>
      </c>
      <c r="G31" s="31"/>
      <c r="H31" s="31">
        <f>(E31-D31)/D31</f>
        <v>0.90062630480167039</v>
      </c>
      <c r="J31" s="33" t="s">
        <v>138</v>
      </c>
      <c r="K31" s="34">
        <v>3168.67</v>
      </c>
      <c r="L31" s="34">
        <v>3308.94</v>
      </c>
      <c r="M31" s="34">
        <v>4239.5600000000004</v>
      </c>
      <c r="N31" s="23"/>
      <c r="O31" s="31">
        <f t="shared" si="4"/>
        <v>4.4267784275421544E-2</v>
      </c>
      <c r="P31" s="31">
        <f t="shared" si="4"/>
        <v>0.28124414465055286</v>
      </c>
    </row>
    <row r="32" spans="2:16" ht="18" customHeight="1" x14ac:dyDescent="0.3">
      <c r="B32" s="29" t="s">
        <v>139</v>
      </c>
      <c r="C32" s="35">
        <v>3928.47</v>
      </c>
      <c r="D32" s="35">
        <v>3024.17</v>
      </c>
      <c r="E32" s="35">
        <v>3378.3</v>
      </c>
      <c r="G32" s="31">
        <f>(D32-C32)/C32</f>
        <v>-0.23019139766881247</v>
      </c>
      <c r="H32" s="31">
        <f>(E32-D32)/D32</f>
        <v>0.1170998984845429</v>
      </c>
      <c r="J32" s="33" t="s">
        <v>140</v>
      </c>
      <c r="K32" s="34">
        <v>1688.56</v>
      </c>
      <c r="L32" s="34">
        <v>1663.18</v>
      </c>
      <c r="M32" s="34">
        <v>1614.62</v>
      </c>
      <c r="N32" s="23"/>
      <c r="O32" s="31">
        <f t="shared" si="4"/>
        <v>-1.5030558582460725E-2</v>
      </c>
      <c r="P32" s="31">
        <f t="shared" si="4"/>
        <v>-2.9197080291970906E-2</v>
      </c>
    </row>
    <row r="33" spans="2:16" ht="18" customHeight="1" x14ac:dyDescent="0.3">
      <c r="B33" s="29" t="s">
        <v>141</v>
      </c>
      <c r="C33" s="35">
        <v>7865.51</v>
      </c>
      <c r="D33" s="35">
        <v>6695.81</v>
      </c>
      <c r="E33" s="35">
        <v>7507.25</v>
      </c>
      <c r="G33" s="31">
        <f>(D33-C33)/C33</f>
        <v>-0.14871254375113627</v>
      </c>
      <c r="H33" s="31">
        <f>(E33-D33)/D33</f>
        <v>0.1211862343764234</v>
      </c>
      <c r="J33" s="33" t="s">
        <v>142</v>
      </c>
      <c r="K33" s="38">
        <v>0</v>
      </c>
      <c r="L33" s="38">
        <v>0</v>
      </c>
      <c r="M33" s="38">
        <v>0</v>
      </c>
      <c r="N33" s="23"/>
      <c r="O33" s="31"/>
      <c r="P33" s="31"/>
    </row>
    <row r="34" spans="2:16" ht="18" customHeight="1" x14ac:dyDescent="0.3">
      <c r="B34" s="29" t="s">
        <v>143</v>
      </c>
      <c r="C34" s="32">
        <v>0</v>
      </c>
      <c r="D34" s="32">
        <v>0</v>
      </c>
      <c r="E34" s="32">
        <v>0</v>
      </c>
      <c r="G34" s="31"/>
      <c r="H34" s="31"/>
      <c r="J34" s="36" t="s">
        <v>144</v>
      </c>
      <c r="K34" s="39">
        <v>4857.2299999999996</v>
      </c>
      <c r="L34" s="39">
        <v>4972.12</v>
      </c>
      <c r="M34" s="39">
        <v>5854.18</v>
      </c>
      <c r="N34" s="23"/>
      <c r="O34" s="31">
        <f>(L34-K34)/K34</f>
        <v>2.3653399159603381E-2</v>
      </c>
      <c r="P34" s="31">
        <f>(M34-L34)/L34</f>
        <v>0.17740118903003155</v>
      </c>
    </row>
    <row r="35" spans="2:16" ht="18" customHeight="1" x14ac:dyDescent="0.3">
      <c r="B35" s="29" t="s">
        <v>145</v>
      </c>
      <c r="C35" s="32">
        <v>0</v>
      </c>
      <c r="D35" s="32">
        <v>0</v>
      </c>
      <c r="E35" s="32">
        <v>0</v>
      </c>
      <c r="G35" s="31"/>
      <c r="H35" s="31"/>
      <c r="J35" s="36" t="s">
        <v>146</v>
      </c>
      <c r="K35" s="37">
        <v>0</v>
      </c>
      <c r="L35" s="37">
        <v>0</v>
      </c>
      <c r="M35" s="37">
        <v>0</v>
      </c>
      <c r="N35" s="23"/>
      <c r="O35" s="31"/>
      <c r="P35" s="31"/>
    </row>
    <row r="36" spans="2:16" ht="18" customHeight="1" x14ac:dyDescent="0.3">
      <c r="B36" s="29" t="s">
        <v>147</v>
      </c>
      <c r="C36" s="32">
        <v>0</v>
      </c>
      <c r="D36" s="32">
        <v>0</v>
      </c>
      <c r="E36" s="32">
        <v>0</v>
      </c>
      <c r="G36" s="31"/>
      <c r="H36" s="31"/>
      <c r="J36" s="33" t="s">
        <v>148</v>
      </c>
      <c r="K36" s="34">
        <v>3972.21</v>
      </c>
      <c r="L36" s="34">
        <v>4097.34</v>
      </c>
      <c r="M36" s="34">
        <v>4869.68</v>
      </c>
      <c r="N36" s="23"/>
      <c r="O36" s="31">
        <f t="shared" ref="O36:P39" si="5">(L36-K36)/K36</f>
        <v>3.1501355668506981E-2</v>
      </c>
      <c r="P36" s="31">
        <f t="shared" si="5"/>
        <v>0.18849790351789211</v>
      </c>
    </row>
    <row r="37" spans="2:16" ht="18" customHeight="1" x14ac:dyDescent="0.3">
      <c r="B37" s="25" t="s">
        <v>149</v>
      </c>
      <c r="C37" s="26"/>
      <c r="D37" s="26"/>
      <c r="E37" s="25"/>
      <c r="G37" s="31"/>
      <c r="H37" s="31"/>
      <c r="J37" s="33" t="s">
        <v>150</v>
      </c>
      <c r="K37" s="38">
        <v>3178.82</v>
      </c>
      <c r="L37" s="38">
        <v>3332.43</v>
      </c>
      <c r="M37" s="38">
        <v>3131.4</v>
      </c>
      <c r="N37" s="23"/>
      <c r="O37" s="31">
        <f t="shared" si="5"/>
        <v>4.8322962608766673E-2</v>
      </c>
      <c r="P37" s="31">
        <f t="shared" si="5"/>
        <v>-6.0325348169353823E-2</v>
      </c>
    </row>
    <row r="38" spans="2:16" ht="18" customHeight="1" x14ac:dyDescent="0.3">
      <c r="B38" s="29" t="s">
        <v>151</v>
      </c>
      <c r="C38" s="35">
        <v>9642</v>
      </c>
      <c r="D38" s="35">
        <v>9642</v>
      </c>
      <c r="E38" s="35">
        <v>19283</v>
      </c>
      <c r="G38" s="31">
        <f>(D38-C38)/C38</f>
        <v>0</v>
      </c>
      <c r="H38" s="31">
        <f>(E38-D38)/D38</f>
        <v>0.99989628707736988</v>
      </c>
      <c r="J38" s="33" t="s">
        <v>152</v>
      </c>
      <c r="K38" s="38">
        <v>7151.03</v>
      </c>
      <c r="L38" s="38">
        <v>7429.77</v>
      </c>
      <c r="M38" s="38">
        <v>8001.08</v>
      </c>
      <c r="N38" s="23"/>
      <c r="O38" s="31">
        <f t="shared" si="5"/>
        <v>3.8979000227939292E-2</v>
      </c>
      <c r="P38" s="31">
        <f t="shared" si="5"/>
        <v>7.6894708719112359E-2</v>
      </c>
    </row>
    <row r="39" spans="2:16" ht="18" customHeight="1" x14ac:dyDescent="0.3">
      <c r="B39" s="25" t="s">
        <v>153</v>
      </c>
      <c r="C39" s="26">
        <v>40.79</v>
      </c>
      <c r="D39" s="26">
        <v>33.520000000000003</v>
      </c>
      <c r="E39" s="26">
        <v>18.38</v>
      </c>
      <c r="G39" s="31">
        <f>(D39-C39)/C39</f>
        <v>-0.1782299583231183</v>
      </c>
      <c r="H39" s="31">
        <f>(E39-D39)/D39</f>
        <v>-0.45167064439140819</v>
      </c>
      <c r="J39" s="33" t="s">
        <v>154</v>
      </c>
      <c r="K39" s="38">
        <v>-2293.8000000000002</v>
      </c>
      <c r="L39" s="38">
        <v>-2457.65</v>
      </c>
      <c r="M39" s="38">
        <v>-2146.9</v>
      </c>
      <c r="N39" s="23"/>
      <c r="O39" s="31">
        <f t="shared" si="5"/>
        <v>7.1431685412851997E-2</v>
      </c>
      <c r="P39" s="31">
        <f t="shared" si="5"/>
        <v>-0.12644192623034198</v>
      </c>
    </row>
    <row r="40" spans="2:16" ht="18" customHeight="1" x14ac:dyDescent="0.3">
      <c r="B40" s="29" t="s">
        <v>155</v>
      </c>
      <c r="C40" s="32">
        <v>0</v>
      </c>
      <c r="D40" s="32">
        <v>0</v>
      </c>
      <c r="E40" s="32">
        <v>0</v>
      </c>
      <c r="G40" s="31"/>
      <c r="H40" s="31"/>
      <c r="J40" s="33" t="s">
        <v>110</v>
      </c>
      <c r="K40" s="34">
        <v>0</v>
      </c>
      <c r="L40" s="34">
        <v>0</v>
      </c>
      <c r="M40" s="34">
        <v>0</v>
      </c>
      <c r="N40" s="23"/>
      <c r="O40" s="31"/>
      <c r="P40" s="31"/>
    </row>
    <row r="41" spans="2:16" ht="18" customHeight="1" x14ac:dyDescent="0.3">
      <c r="B41" s="29" t="s">
        <v>156</v>
      </c>
      <c r="C41" s="32">
        <v>34.65</v>
      </c>
      <c r="D41" s="32">
        <v>41.59</v>
      </c>
      <c r="E41" s="32">
        <v>26.74</v>
      </c>
      <c r="G41" s="31">
        <f>(D41-C41)/C41</f>
        <v>0.20028860028860043</v>
      </c>
      <c r="H41" s="31">
        <f>(E41-D41)/D41</f>
        <v>-0.357056984852128</v>
      </c>
      <c r="J41" s="33" t="s">
        <v>114</v>
      </c>
      <c r="K41" s="38">
        <v>0</v>
      </c>
      <c r="L41" s="38">
        <v>0</v>
      </c>
      <c r="M41" s="38">
        <v>0</v>
      </c>
      <c r="N41" s="23"/>
      <c r="O41" s="31"/>
      <c r="P41" s="31"/>
    </row>
    <row r="42" spans="2:16" ht="22.5" customHeight="1" x14ac:dyDescent="0.3">
      <c r="J42" s="36" t="s">
        <v>109</v>
      </c>
      <c r="K42" s="39">
        <v>0</v>
      </c>
      <c r="L42" s="39">
        <v>0</v>
      </c>
      <c r="M42" s="39">
        <v>0</v>
      </c>
      <c r="N42" s="23"/>
      <c r="O42" s="31"/>
      <c r="P42" s="31"/>
    </row>
    <row r="43" spans="2:16" ht="12" customHeight="1" x14ac:dyDescent="0.3">
      <c r="J43" s="36" t="s">
        <v>157</v>
      </c>
      <c r="K43" s="39">
        <v>3372.03</v>
      </c>
      <c r="L43" s="39">
        <v>4763.55</v>
      </c>
      <c r="M43" s="39">
        <v>5181.42</v>
      </c>
      <c r="N43" s="23"/>
      <c r="O43" s="31">
        <f>(L43-K43)/K43</f>
        <v>0.41266536774583851</v>
      </c>
      <c r="P43" s="31">
        <f>(M43-L43)/L43</f>
        <v>8.7722391913593822E-2</v>
      </c>
    </row>
    <row r="44" spans="2:16" ht="12" customHeight="1" x14ac:dyDescent="0.3">
      <c r="J44" s="36" t="s">
        <v>158</v>
      </c>
      <c r="K44" s="37">
        <v>0</v>
      </c>
      <c r="L44" s="37">
        <v>0</v>
      </c>
      <c r="M44" s="37">
        <v>0</v>
      </c>
      <c r="N44" s="23"/>
      <c r="O44" s="31"/>
      <c r="P44" s="31"/>
    </row>
    <row r="45" spans="2:16" ht="12" customHeight="1" x14ac:dyDescent="0.3">
      <c r="J45" s="36" t="s">
        <v>156</v>
      </c>
      <c r="K45" s="37">
        <v>34.65</v>
      </c>
      <c r="L45" s="37">
        <v>41.59</v>
      </c>
      <c r="M45" s="37">
        <v>26.74</v>
      </c>
      <c r="N45" s="23"/>
      <c r="O45" s="31">
        <f>(L45-K45)/K45</f>
        <v>0.20028860028860043</v>
      </c>
      <c r="P45" s="31">
        <f>(M45-L45)/L45</f>
        <v>-0.357056984852128</v>
      </c>
    </row>
    <row r="47" spans="2:16" ht="12" customHeight="1" x14ac:dyDescent="0.3">
      <c r="J47" s="23"/>
      <c r="K47" s="23"/>
      <c r="L47" s="23"/>
      <c r="M47" s="23"/>
      <c r="N47" s="23"/>
      <c r="O47" s="23"/>
      <c r="P47" s="23"/>
    </row>
  </sheetData>
  <mergeCells count="3">
    <mergeCell ref="B1:H1"/>
    <mergeCell ref="J1:P1"/>
    <mergeCell ref="G2:H2"/>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EAF7"/>
  </sheetPr>
  <dimension ref="A1:Q37"/>
  <sheetViews>
    <sheetView zoomScale="76" zoomScaleNormal="76" workbookViewId="0">
      <selection activeCell="G26" sqref="G26"/>
    </sheetView>
  </sheetViews>
  <sheetFormatPr defaultColWidth="8.7265625" defaultRowHeight="10.5" x14ac:dyDescent="0.25"/>
  <cols>
    <col min="1" max="1" width="8.7265625" style="42"/>
    <col min="2" max="2" width="23.26953125" style="42" customWidth="1"/>
    <col min="3" max="6" width="13.36328125" style="42" customWidth="1"/>
    <col min="7" max="7" width="16.90625" style="42" customWidth="1"/>
    <col min="8" max="8" width="23.1796875" style="42" customWidth="1"/>
    <col min="9" max="13" width="13.36328125" style="42" customWidth="1"/>
    <col min="14" max="16384" width="8.7265625" style="42"/>
  </cols>
  <sheetData>
    <row r="1" spans="1:17" ht="20.25" customHeight="1" x14ac:dyDescent="0.25">
      <c r="A1" s="43"/>
      <c r="B1" s="273" t="s">
        <v>159</v>
      </c>
      <c r="C1" s="273"/>
      <c r="D1" s="273"/>
      <c r="E1" s="273"/>
      <c r="F1" s="273"/>
      <c r="G1" s="273"/>
      <c r="H1" s="273"/>
      <c r="I1" s="273"/>
      <c r="J1" s="273"/>
      <c r="K1" s="273"/>
    </row>
    <row r="2" spans="1:17" ht="9.75" customHeight="1" x14ac:dyDescent="0.3">
      <c r="A2" s="43"/>
      <c r="B2" s="3"/>
      <c r="C2" s="3"/>
      <c r="D2" s="3"/>
      <c r="E2" s="3"/>
      <c r="F2" s="3"/>
      <c r="G2" s="3"/>
      <c r="H2" s="3"/>
      <c r="I2" s="3"/>
      <c r="J2" s="3"/>
      <c r="K2" s="3"/>
      <c r="M2" s="3"/>
      <c r="N2" s="3"/>
      <c r="O2" s="3"/>
      <c r="P2" s="3"/>
      <c r="Q2" s="3"/>
    </row>
    <row r="3" spans="1:17" ht="22.5" customHeight="1" x14ac:dyDescent="0.25">
      <c r="A3" s="44"/>
      <c r="B3" s="270" t="s">
        <v>160</v>
      </c>
      <c r="C3" s="274" t="s">
        <v>161</v>
      </c>
      <c r="D3" s="274"/>
      <c r="E3" s="274"/>
      <c r="F3" s="274"/>
      <c r="G3" s="274"/>
      <c r="H3" s="274"/>
      <c r="I3" s="274"/>
      <c r="J3" s="274"/>
      <c r="K3" s="274"/>
    </row>
    <row r="4" spans="1:17" ht="22.5" customHeight="1" x14ac:dyDescent="0.25">
      <c r="A4" s="45"/>
      <c r="B4" s="270"/>
      <c r="C4" s="274"/>
      <c r="D4" s="274"/>
      <c r="E4" s="274"/>
      <c r="F4" s="274"/>
      <c r="G4" s="274"/>
      <c r="H4" s="274"/>
      <c r="I4" s="274"/>
      <c r="J4" s="274"/>
      <c r="K4" s="274"/>
    </row>
    <row r="5" spans="1:17" ht="14.25" customHeight="1" x14ac:dyDescent="0.3">
      <c r="A5" s="45"/>
      <c r="B5" s="46"/>
      <c r="C5" s="3"/>
      <c r="D5" s="3"/>
      <c r="E5" s="3"/>
      <c r="F5" s="3"/>
      <c r="G5" s="3"/>
      <c r="H5" s="3"/>
      <c r="I5" s="3"/>
      <c r="J5" s="3"/>
      <c r="K5" s="3"/>
    </row>
    <row r="6" spans="1:17" ht="22.5" customHeight="1" x14ac:dyDescent="0.25">
      <c r="A6" s="43"/>
      <c r="B6" s="270" t="s">
        <v>162</v>
      </c>
      <c r="C6" s="274" t="s">
        <v>163</v>
      </c>
      <c r="D6" s="274"/>
      <c r="E6" s="274"/>
      <c r="F6" s="274"/>
      <c r="G6" s="274"/>
      <c r="H6" s="274"/>
      <c r="I6" s="274"/>
      <c r="J6" s="274"/>
      <c r="K6" s="274"/>
    </row>
    <row r="7" spans="1:17" ht="22.5" customHeight="1" x14ac:dyDescent="0.25">
      <c r="A7" s="43"/>
      <c r="B7" s="270"/>
      <c r="C7" s="274"/>
      <c r="D7" s="274"/>
      <c r="E7" s="274"/>
      <c r="F7" s="274"/>
      <c r="G7" s="274"/>
      <c r="H7" s="274"/>
      <c r="I7" s="274"/>
      <c r="J7" s="274"/>
      <c r="K7" s="274"/>
    </row>
    <row r="8" spans="1:17" ht="14.25" customHeight="1" x14ac:dyDescent="0.3">
      <c r="A8" s="47"/>
      <c r="B8" s="46"/>
      <c r="C8" s="3"/>
      <c r="D8" s="3"/>
      <c r="E8" s="3"/>
      <c r="F8" s="3"/>
      <c r="G8" s="3"/>
      <c r="H8" s="3"/>
      <c r="I8" s="3"/>
      <c r="J8" s="3"/>
      <c r="K8" s="3"/>
    </row>
    <row r="9" spans="1:17" ht="22.5" customHeight="1" x14ac:dyDescent="0.25">
      <c r="A9" s="43"/>
      <c r="B9" s="270" t="s">
        <v>164</v>
      </c>
      <c r="C9" s="271" t="s">
        <v>165</v>
      </c>
      <c r="D9" s="271"/>
      <c r="E9" s="271"/>
      <c r="F9" s="271"/>
      <c r="G9" s="271"/>
      <c r="H9" s="271"/>
      <c r="I9" s="271"/>
      <c r="J9" s="271"/>
      <c r="K9" s="271"/>
    </row>
    <row r="10" spans="1:17" ht="22.5" customHeight="1" x14ac:dyDescent="0.25">
      <c r="A10" s="43"/>
      <c r="B10" s="270"/>
      <c r="C10" s="271"/>
      <c r="D10" s="271"/>
      <c r="E10" s="271"/>
      <c r="F10" s="271"/>
      <c r="G10" s="271"/>
      <c r="H10" s="271"/>
      <c r="I10" s="271"/>
      <c r="J10" s="271"/>
      <c r="K10" s="271"/>
    </row>
    <row r="11" spans="1:17" ht="14.25" customHeight="1" x14ac:dyDescent="0.3">
      <c r="A11" s="43"/>
      <c r="B11" s="46"/>
      <c r="C11" s="3"/>
      <c r="D11" s="3"/>
      <c r="E11" s="3"/>
      <c r="F11" s="3"/>
      <c r="G11" s="3"/>
      <c r="H11" s="3"/>
      <c r="I11" s="3"/>
      <c r="J11" s="3"/>
      <c r="K11" s="3"/>
    </row>
    <row r="12" spans="1:17" ht="22.5" customHeight="1" x14ac:dyDescent="0.25">
      <c r="A12" s="43"/>
      <c r="B12" s="270" t="s">
        <v>166</v>
      </c>
      <c r="C12" s="271" t="s">
        <v>167</v>
      </c>
      <c r="D12" s="271"/>
      <c r="E12" s="271"/>
      <c r="F12" s="271"/>
      <c r="G12" s="271"/>
      <c r="H12" s="271"/>
      <c r="I12" s="271"/>
      <c r="J12" s="271"/>
      <c r="K12" s="271"/>
    </row>
    <row r="13" spans="1:17" ht="22.5" customHeight="1" x14ac:dyDescent="0.25">
      <c r="A13" s="43"/>
      <c r="B13" s="270"/>
      <c r="C13" s="271"/>
      <c r="D13" s="271"/>
      <c r="E13" s="271"/>
      <c r="F13" s="271"/>
      <c r="G13" s="271"/>
      <c r="H13" s="271"/>
      <c r="I13" s="271"/>
      <c r="J13" s="271"/>
      <c r="K13" s="271"/>
    </row>
    <row r="14" spans="1:17" ht="15" customHeight="1" x14ac:dyDescent="0.25"/>
    <row r="15" spans="1:17" ht="30" customHeight="1" x14ac:dyDescent="0.25">
      <c r="B15" s="48" t="s">
        <v>168</v>
      </c>
      <c r="C15" s="49" t="s">
        <v>169</v>
      </c>
      <c r="D15" s="49" t="s">
        <v>170</v>
      </c>
      <c r="E15" s="49" t="s">
        <v>171</v>
      </c>
      <c r="F15" s="49" t="s">
        <v>172</v>
      </c>
      <c r="G15" s="49" t="s">
        <v>173</v>
      </c>
      <c r="H15" s="49" t="s">
        <v>174</v>
      </c>
      <c r="I15" s="49" t="s">
        <v>175</v>
      </c>
      <c r="J15" s="49" t="s">
        <v>176</v>
      </c>
      <c r="K15" s="50" t="s">
        <v>177</v>
      </c>
    </row>
    <row r="16" spans="1:17" ht="18" customHeight="1" x14ac:dyDescent="0.25">
      <c r="B16" s="51" t="s">
        <v>160</v>
      </c>
      <c r="C16" s="52">
        <v>1430.3</v>
      </c>
      <c r="D16" s="5">
        <v>-2.0099999999999998</v>
      </c>
      <c r="E16" s="52">
        <v>23154.6</v>
      </c>
      <c r="F16" s="52">
        <v>3544.6</v>
      </c>
      <c r="G16" s="5">
        <v>192.83</v>
      </c>
      <c r="H16" s="5">
        <v>23.61</v>
      </c>
      <c r="I16" s="5">
        <v>15.31</v>
      </c>
      <c r="J16" s="5">
        <v>18.38</v>
      </c>
      <c r="K16" s="5">
        <v>22.01</v>
      </c>
    </row>
    <row r="17" spans="2:13" ht="18" customHeight="1" x14ac:dyDescent="0.25">
      <c r="B17" s="51" t="s">
        <v>162</v>
      </c>
      <c r="C17" s="52">
        <v>5405</v>
      </c>
      <c r="D17" s="5">
        <v>0.63</v>
      </c>
      <c r="E17" s="52">
        <v>18445.82</v>
      </c>
      <c r="F17" s="5">
        <v>2561.7199999999998</v>
      </c>
      <c r="G17" s="5">
        <v>24.09</v>
      </c>
      <c r="H17" s="5">
        <v>20.11</v>
      </c>
      <c r="I17" s="5">
        <v>13.89</v>
      </c>
      <c r="J17" s="5">
        <v>106.35</v>
      </c>
      <c r="K17" s="5">
        <v>119.01</v>
      </c>
    </row>
    <row r="18" spans="2:13" ht="18" customHeight="1" x14ac:dyDescent="0.25">
      <c r="B18" s="51" t="s">
        <v>164</v>
      </c>
      <c r="C18" s="5">
        <v>669.7</v>
      </c>
      <c r="D18" s="5">
        <v>3.11</v>
      </c>
      <c r="E18" s="5">
        <v>2536.86</v>
      </c>
      <c r="F18" s="5">
        <v>212.42</v>
      </c>
      <c r="G18" s="5">
        <v>25.06</v>
      </c>
      <c r="H18" s="5">
        <v>14.44</v>
      </c>
      <c r="I18" s="5">
        <v>8.3699999999999992</v>
      </c>
      <c r="J18" s="5">
        <v>8.48</v>
      </c>
      <c r="K18" s="5">
        <v>11.24</v>
      </c>
    </row>
    <row r="19" spans="2:13" ht="18" customHeight="1" x14ac:dyDescent="0.25">
      <c r="B19" s="51" t="s">
        <v>178</v>
      </c>
      <c r="C19" s="5">
        <v>181.95</v>
      </c>
      <c r="D19" s="5">
        <v>0.64</v>
      </c>
      <c r="E19" s="5">
        <v>1741.91</v>
      </c>
      <c r="F19" s="5">
        <v>121.03</v>
      </c>
      <c r="G19" s="5">
        <v>61.35</v>
      </c>
      <c r="H19" s="5">
        <v>14.11</v>
      </c>
      <c r="I19" s="5">
        <v>6.95</v>
      </c>
      <c r="J19" s="5">
        <v>20.100000000000001</v>
      </c>
      <c r="K19" s="5">
        <v>31.34</v>
      </c>
    </row>
    <row r="21" spans="2:13" ht="18.75" customHeight="1" x14ac:dyDescent="0.25">
      <c r="B21" s="272" t="s">
        <v>179</v>
      </c>
      <c r="C21" s="272"/>
      <c r="D21" s="272"/>
      <c r="E21" s="272"/>
      <c r="F21" s="272"/>
      <c r="H21" s="269" t="s">
        <v>162</v>
      </c>
      <c r="I21" s="269"/>
      <c r="J21" s="269"/>
      <c r="K21" s="269"/>
      <c r="L21" s="269"/>
      <c r="M21" s="269"/>
    </row>
    <row r="22" spans="2:13" ht="13.5" customHeight="1" x14ac:dyDescent="0.25">
      <c r="B22" s="53" t="s">
        <v>44</v>
      </c>
      <c r="C22" s="54">
        <v>45536</v>
      </c>
      <c r="D22" s="54">
        <v>45901</v>
      </c>
      <c r="E22" s="53">
        <v>45717</v>
      </c>
      <c r="F22" s="54">
        <v>46082</v>
      </c>
      <c r="H22" s="53" t="s">
        <v>44</v>
      </c>
      <c r="I22" s="54">
        <v>44621</v>
      </c>
      <c r="J22" s="54">
        <v>44986</v>
      </c>
      <c r="K22" s="53">
        <v>45352</v>
      </c>
      <c r="L22" s="54">
        <v>45717</v>
      </c>
      <c r="M22" s="55">
        <v>46082</v>
      </c>
    </row>
    <row r="23" spans="2:13" ht="13.5" customHeight="1" x14ac:dyDescent="0.25">
      <c r="B23" s="56" t="s">
        <v>180</v>
      </c>
      <c r="C23" s="57">
        <v>4</v>
      </c>
      <c r="D23" s="57">
        <v>4</v>
      </c>
      <c r="E23" s="57">
        <v>7</v>
      </c>
      <c r="F23" s="57">
        <v>5</v>
      </c>
      <c r="H23" s="56" t="s">
        <v>180</v>
      </c>
      <c r="I23" s="57">
        <v>9</v>
      </c>
      <c r="J23" s="57">
        <v>7</v>
      </c>
      <c r="K23" s="57">
        <v>9</v>
      </c>
      <c r="L23" s="57">
        <v>9</v>
      </c>
      <c r="M23" s="58">
        <v>9</v>
      </c>
    </row>
    <row r="24" spans="2:13" ht="13.5" customHeight="1" x14ac:dyDescent="0.25">
      <c r="B24" s="56" t="s">
        <v>181</v>
      </c>
      <c r="C24" s="57">
        <v>83</v>
      </c>
      <c r="D24" s="57">
        <v>83</v>
      </c>
      <c r="E24" s="57">
        <v>139</v>
      </c>
      <c r="F24" s="57">
        <v>91</v>
      </c>
      <c r="H24" s="56" t="s">
        <v>181</v>
      </c>
      <c r="I24" s="57">
        <v>57</v>
      </c>
      <c r="J24" s="57">
        <v>45</v>
      </c>
      <c r="K24" s="57">
        <v>45</v>
      </c>
      <c r="L24" s="57">
        <v>43</v>
      </c>
      <c r="M24" s="58">
        <v>44</v>
      </c>
    </row>
    <row r="25" spans="2:13" ht="13.5" customHeight="1" x14ac:dyDescent="0.25">
      <c r="B25" s="56" t="s">
        <v>182</v>
      </c>
      <c r="C25" s="57">
        <v>92</v>
      </c>
      <c r="D25" s="57">
        <v>112</v>
      </c>
      <c r="E25" s="57">
        <v>128</v>
      </c>
      <c r="F25" s="57">
        <v>112</v>
      </c>
      <c r="H25" s="56" t="s">
        <v>182</v>
      </c>
      <c r="I25" s="57">
        <v>55</v>
      </c>
      <c r="J25" s="57">
        <v>55</v>
      </c>
      <c r="K25" s="57">
        <v>63</v>
      </c>
      <c r="L25" s="57">
        <v>60</v>
      </c>
      <c r="M25" s="58">
        <v>62</v>
      </c>
    </row>
    <row r="26" spans="2:13" ht="13.5" customHeight="1" x14ac:dyDescent="0.25">
      <c r="B26" s="56" t="s">
        <v>183</v>
      </c>
      <c r="C26" s="57">
        <v>-5</v>
      </c>
      <c r="D26" s="57">
        <v>-24</v>
      </c>
      <c r="E26" s="57">
        <v>18</v>
      </c>
      <c r="F26" s="57">
        <v>-16</v>
      </c>
      <c r="H26" s="56" t="s">
        <v>183</v>
      </c>
      <c r="I26" s="57">
        <v>10</v>
      </c>
      <c r="J26" s="57">
        <v>-2</v>
      </c>
      <c r="K26" s="57">
        <v>-9</v>
      </c>
      <c r="L26" s="57">
        <v>-9</v>
      </c>
      <c r="M26" s="58">
        <v>-9</v>
      </c>
    </row>
    <row r="27" spans="2:13" ht="13.5" customHeight="1" x14ac:dyDescent="0.25">
      <c r="B27" s="56" t="s">
        <v>184</v>
      </c>
      <c r="C27" s="57">
        <v>-10</v>
      </c>
      <c r="D27" s="57">
        <v>-19</v>
      </c>
      <c r="E27" s="57">
        <v>-19</v>
      </c>
      <c r="F27" s="57">
        <v>-24</v>
      </c>
      <c r="H27" s="56" t="s">
        <v>184</v>
      </c>
      <c r="I27" s="57">
        <v>-31</v>
      </c>
      <c r="J27" s="57">
        <v>-31</v>
      </c>
      <c r="K27" s="57">
        <v>-30</v>
      </c>
      <c r="L27" s="57">
        <v>-23</v>
      </c>
      <c r="M27" s="58">
        <v>3</v>
      </c>
    </row>
    <row r="28" spans="2:13" ht="13.5" customHeight="1" x14ac:dyDescent="0.25">
      <c r="B28" s="56" t="s">
        <v>185</v>
      </c>
      <c r="C28" s="59">
        <v>1.53</v>
      </c>
      <c r="D28" s="59">
        <v>1.69</v>
      </c>
      <c r="E28" s="59">
        <v>0.96</v>
      </c>
      <c r="F28" s="59">
        <v>0.84</v>
      </c>
      <c r="H28" s="56" t="s">
        <v>185</v>
      </c>
      <c r="I28" s="59">
        <v>0.41</v>
      </c>
      <c r="J28" s="59">
        <v>0.49</v>
      </c>
      <c r="K28" s="59">
        <v>0.49</v>
      </c>
      <c r="L28" s="59">
        <v>0.53</v>
      </c>
      <c r="M28" s="58">
        <v>0.56000000000000005</v>
      </c>
    </row>
    <row r="29" spans="2:13" ht="10.5" customHeight="1" x14ac:dyDescent="0.25">
      <c r="M29" s="60"/>
    </row>
    <row r="30" spans="2:13" ht="14.25" customHeight="1" x14ac:dyDescent="0.25">
      <c r="B30" s="268" t="s">
        <v>164</v>
      </c>
      <c r="C30" s="268"/>
      <c r="D30" s="268"/>
      <c r="E30" s="268"/>
      <c r="F30" s="268"/>
      <c r="H30" s="269" t="s">
        <v>178</v>
      </c>
      <c r="I30" s="269"/>
      <c r="J30" s="269"/>
      <c r="K30" s="269"/>
      <c r="L30" s="269"/>
      <c r="M30" s="269"/>
    </row>
    <row r="31" spans="2:13" ht="13.5" customHeight="1" x14ac:dyDescent="0.25">
      <c r="B31" s="53" t="s">
        <v>44</v>
      </c>
      <c r="C31" s="54">
        <v>44621</v>
      </c>
      <c r="D31" s="54">
        <v>44986</v>
      </c>
      <c r="E31" s="53">
        <v>45352</v>
      </c>
      <c r="F31" s="54">
        <v>45717</v>
      </c>
      <c r="H31" s="53" t="s">
        <v>44</v>
      </c>
      <c r="I31" s="54">
        <v>44256</v>
      </c>
      <c r="J31" s="54">
        <v>44621</v>
      </c>
      <c r="K31" s="53">
        <v>44986</v>
      </c>
      <c r="L31" s="54">
        <v>45352</v>
      </c>
      <c r="M31" s="55">
        <v>45717</v>
      </c>
    </row>
    <row r="32" spans="2:13" ht="13.5" customHeight="1" x14ac:dyDescent="0.25">
      <c r="B32" s="56" t="s">
        <v>180</v>
      </c>
      <c r="C32" s="57">
        <v>17</v>
      </c>
      <c r="D32" s="57">
        <v>15</v>
      </c>
      <c r="E32" s="57">
        <v>16</v>
      </c>
      <c r="F32" s="57">
        <v>14</v>
      </c>
      <c r="H32" s="56" t="s">
        <v>180</v>
      </c>
      <c r="I32" s="57">
        <v>29</v>
      </c>
      <c r="J32" s="57">
        <v>28</v>
      </c>
      <c r="K32" s="57">
        <v>25</v>
      </c>
      <c r="L32" s="57">
        <v>31</v>
      </c>
      <c r="M32" s="58">
        <v>27</v>
      </c>
    </row>
    <row r="33" spans="2:13" ht="13.5" customHeight="1" x14ac:dyDescent="0.25">
      <c r="B33" s="56" t="s">
        <v>181</v>
      </c>
      <c r="C33" s="57">
        <v>27</v>
      </c>
      <c r="D33" s="57">
        <v>21</v>
      </c>
      <c r="E33" s="57">
        <v>20</v>
      </c>
      <c r="F33" s="57">
        <v>22</v>
      </c>
      <c r="H33" s="56" t="s">
        <v>181</v>
      </c>
      <c r="I33" s="57">
        <v>46</v>
      </c>
      <c r="J33" s="57">
        <v>54</v>
      </c>
      <c r="K33" s="57">
        <v>41</v>
      </c>
      <c r="L33" s="57">
        <v>46</v>
      </c>
      <c r="M33" s="58">
        <v>52</v>
      </c>
    </row>
    <row r="34" spans="2:13" ht="13.5" customHeight="1" x14ac:dyDescent="0.25">
      <c r="B34" s="56" t="s">
        <v>182</v>
      </c>
      <c r="C34" s="57">
        <v>16</v>
      </c>
      <c r="D34" s="57">
        <v>14</v>
      </c>
      <c r="E34" s="57">
        <v>14</v>
      </c>
      <c r="F34" s="57">
        <v>14</v>
      </c>
      <c r="H34" s="56" t="s">
        <v>182</v>
      </c>
      <c r="I34" s="57">
        <v>46</v>
      </c>
      <c r="J34" s="57">
        <v>38</v>
      </c>
      <c r="K34" s="57">
        <v>38</v>
      </c>
      <c r="L34" s="57">
        <v>45</v>
      </c>
      <c r="M34" s="58">
        <v>38</v>
      </c>
    </row>
    <row r="35" spans="2:13" ht="13.5" customHeight="1" x14ac:dyDescent="0.25">
      <c r="B35" s="56" t="s">
        <v>183</v>
      </c>
      <c r="C35" s="57">
        <v>28</v>
      </c>
      <c r="D35" s="57">
        <v>21</v>
      </c>
      <c r="E35" s="57">
        <v>22</v>
      </c>
      <c r="F35" s="57">
        <v>22</v>
      </c>
      <c r="H35" s="56" t="s">
        <v>183</v>
      </c>
      <c r="I35" s="57">
        <v>30</v>
      </c>
      <c r="J35" s="57">
        <v>44</v>
      </c>
      <c r="K35" s="57">
        <v>28</v>
      </c>
      <c r="L35" s="57">
        <v>31</v>
      </c>
      <c r="M35" s="58">
        <v>42</v>
      </c>
    </row>
    <row r="36" spans="2:13" ht="13.5" customHeight="1" x14ac:dyDescent="0.25">
      <c r="B36" s="56" t="s">
        <v>184</v>
      </c>
      <c r="C36" s="57">
        <v>14</v>
      </c>
      <c r="D36" s="57">
        <v>19</v>
      </c>
      <c r="E36" s="57">
        <v>16</v>
      </c>
      <c r="F36" s="57">
        <v>28</v>
      </c>
      <c r="H36" s="56" t="s">
        <v>184</v>
      </c>
      <c r="I36" s="57">
        <v>23</v>
      </c>
      <c r="J36" s="57">
        <v>20</v>
      </c>
      <c r="K36" s="57">
        <v>13</v>
      </c>
      <c r="L36" s="57">
        <v>9</v>
      </c>
      <c r="M36" s="58">
        <v>18</v>
      </c>
    </row>
    <row r="37" spans="2:13" ht="13.5" customHeight="1" x14ac:dyDescent="0.25">
      <c r="B37" s="56" t="s">
        <v>185</v>
      </c>
      <c r="C37" s="59">
        <v>0.13</v>
      </c>
      <c r="D37" s="59">
        <v>0.18</v>
      </c>
      <c r="E37" s="59">
        <v>0.28999999999999998</v>
      </c>
      <c r="F37" s="59">
        <v>0.18</v>
      </c>
      <c r="H37" s="56" t="s">
        <v>185</v>
      </c>
      <c r="I37" s="59">
        <v>0.2</v>
      </c>
      <c r="J37" s="59">
        <v>0.13</v>
      </c>
      <c r="K37" s="59">
        <v>0.19</v>
      </c>
      <c r="L37" s="59">
        <v>0.24</v>
      </c>
      <c r="M37" s="58">
        <v>0.16</v>
      </c>
    </row>
  </sheetData>
  <mergeCells count="13">
    <mergeCell ref="B1:K1"/>
    <mergeCell ref="B3:B4"/>
    <mergeCell ref="C3:K4"/>
    <mergeCell ref="B6:B7"/>
    <mergeCell ref="C6:K7"/>
    <mergeCell ref="B30:F30"/>
    <mergeCell ref="H30:M30"/>
    <mergeCell ref="B9:B10"/>
    <mergeCell ref="C9:K10"/>
    <mergeCell ref="B12:B13"/>
    <mergeCell ref="C12:K13"/>
    <mergeCell ref="B21:F21"/>
    <mergeCell ref="H21:M2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EAF7"/>
  </sheetPr>
  <dimension ref="B1:AB37"/>
  <sheetViews>
    <sheetView showGridLines="0" zoomScale="79" zoomScaleNormal="79" workbookViewId="0">
      <selection activeCell="Q15" sqref="Q15"/>
    </sheetView>
  </sheetViews>
  <sheetFormatPr defaultColWidth="8.54296875" defaultRowHeight="14.5" x14ac:dyDescent="0.35"/>
  <cols>
    <col min="1" max="1" width="3.36328125" customWidth="1"/>
    <col min="2" max="2" width="19.54296875" customWidth="1"/>
    <col min="9" max="9" width="3.54296875" customWidth="1"/>
    <col min="16" max="16" width="16.90625" customWidth="1"/>
    <col min="23" max="23" width="4.26953125" customWidth="1"/>
  </cols>
  <sheetData>
    <row r="1" spans="2:28" ht="15" customHeight="1" x14ac:dyDescent="0.35">
      <c r="B1" s="266" t="s">
        <v>77</v>
      </c>
      <c r="C1" s="266"/>
      <c r="D1" s="266"/>
      <c r="E1" s="266"/>
      <c r="F1" s="266"/>
      <c r="G1" s="266"/>
      <c r="H1" s="266"/>
      <c r="I1" s="266"/>
      <c r="J1" s="266"/>
      <c r="K1" s="266"/>
      <c r="L1" s="266"/>
      <c r="M1" s="266"/>
      <c r="N1" s="266"/>
      <c r="P1" s="276" t="s">
        <v>78</v>
      </c>
      <c r="Q1" s="276"/>
      <c r="R1" s="276"/>
      <c r="S1" s="276"/>
      <c r="T1" s="276"/>
      <c r="U1" s="276"/>
      <c r="V1" s="276"/>
      <c r="W1" s="276"/>
      <c r="X1" s="276"/>
      <c r="Y1" s="276"/>
      <c r="Z1" s="276"/>
      <c r="AA1" s="276"/>
      <c r="AB1" s="276"/>
    </row>
    <row r="2" spans="2:28" ht="14.25" customHeight="1" x14ac:dyDescent="0.35">
      <c r="B2" s="61" t="s">
        <v>44</v>
      </c>
      <c r="C2" s="62" t="s">
        <v>186</v>
      </c>
      <c r="D2" s="62" t="s">
        <v>187</v>
      </c>
      <c r="E2" s="62" t="s">
        <v>188</v>
      </c>
      <c r="F2" s="62" t="s">
        <v>79</v>
      </c>
      <c r="G2" s="62" t="s">
        <v>80</v>
      </c>
      <c r="H2" s="62" t="s">
        <v>81</v>
      </c>
      <c r="J2" s="277" t="s">
        <v>189</v>
      </c>
      <c r="K2" s="277"/>
      <c r="L2" s="277"/>
      <c r="M2" s="277"/>
      <c r="N2" s="277"/>
      <c r="P2" s="63" t="s">
        <v>44</v>
      </c>
      <c r="Q2" s="64" t="s">
        <v>186</v>
      </c>
      <c r="R2" s="64" t="s">
        <v>187</v>
      </c>
      <c r="S2" s="64" t="s">
        <v>188</v>
      </c>
      <c r="T2" s="64" t="s">
        <v>79</v>
      </c>
      <c r="U2" s="64" t="s">
        <v>80</v>
      </c>
      <c r="V2" s="64" t="s">
        <v>81</v>
      </c>
      <c r="W2" s="42"/>
      <c r="X2" s="278" t="s">
        <v>189</v>
      </c>
      <c r="Y2" s="278"/>
      <c r="Z2" s="278"/>
      <c r="AA2" s="278"/>
      <c r="AB2" s="278"/>
    </row>
    <row r="3" spans="2:28" ht="14.25" customHeight="1" x14ac:dyDescent="0.35">
      <c r="B3" s="279" t="s">
        <v>83</v>
      </c>
      <c r="C3" s="279"/>
      <c r="D3" s="279"/>
      <c r="E3" s="279"/>
      <c r="F3" s="279"/>
      <c r="G3" s="279"/>
      <c r="H3" s="279"/>
      <c r="J3" s="62" t="s">
        <v>187</v>
      </c>
      <c r="K3" s="62" t="s">
        <v>188</v>
      </c>
      <c r="L3" s="62" t="s">
        <v>79</v>
      </c>
      <c r="M3" s="62" t="s">
        <v>80</v>
      </c>
      <c r="N3" s="62" t="s">
        <v>81</v>
      </c>
      <c r="P3" s="65" t="s">
        <v>190</v>
      </c>
      <c r="Q3" s="66">
        <v>96</v>
      </c>
      <c r="R3" s="66">
        <v>96</v>
      </c>
      <c r="S3" s="66">
        <v>96</v>
      </c>
      <c r="T3" s="66">
        <v>96</v>
      </c>
      <c r="U3" s="66">
        <v>96</v>
      </c>
      <c r="V3" s="66">
        <v>193</v>
      </c>
      <c r="W3" s="42"/>
      <c r="X3" s="67" t="s">
        <v>187</v>
      </c>
      <c r="Y3" s="67" t="s">
        <v>188</v>
      </c>
      <c r="Z3" s="67" t="s">
        <v>79</v>
      </c>
      <c r="AA3" s="67" t="s">
        <v>80</v>
      </c>
      <c r="AB3" s="67" t="s">
        <v>81</v>
      </c>
    </row>
    <row r="4" spans="2:28" ht="14.25" customHeight="1" x14ac:dyDescent="0.35">
      <c r="B4" s="68" t="s">
        <v>85</v>
      </c>
      <c r="C4" s="69">
        <v>14709.41</v>
      </c>
      <c r="D4" s="69">
        <v>16896.96</v>
      </c>
      <c r="E4" s="69">
        <v>19126.3</v>
      </c>
      <c r="F4" s="69">
        <v>24393.89</v>
      </c>
      <c r="G4" s="69">
        <v>20201.560000000001</v>
      </c>
      <c r="H4" s="69">
        <v>23154.6</v>
      </c>
      <c r="J4" s="70">
        <f t="shared" ref="J4:N8" si="0">(D4-C4)/C4</f>
        <v>0.14871772559198496</v>
      </c>
      <c r="K4" s="70">
        <f t="shared" si="0"/>
        <v>0.13193734257523249</v>
      </c>
      <c r="L4" s="70">
        <f t="shared" si="0"/>
        <v>0.27541082174806419</v>
      </c>
      <c r="M4" s="70">
        <f t="shared" si="0"/>
        <v>-0.17185983867271673</v>
      </c>
      <c r="N4" s="70">
        <f t="shared" si="0"/>
        <v>0.14617880995329058</v>
      </c>
      <c r="P4" s="65" t="s">
        <v>100</v>
      </c>
      <c r="Q4" s="71">
        <v>1850</v>
      </c>
      <c r="R4" s="71">
        <v>2363</v>
      </c>
      <c r="S4" s="71">
        <v>2363</v>
      </c>
      <c r="T4" s="71">
        <v>3244</v>
      </c>
      <c r="U4" s="71">
        <v>4021</v>
      </c>
      <c r="V4" s="71">
        <v>5116</v>
      </c>
      <c r="W4" s="42"/>
      <c r="X4" s="70">
        <f t="shared" ref="X4:AB10" si="1">(R4-Q4)/Q4</f>
        <v>0.2772972972972973</v>
      </c>
      <c r="Y4" s="70">
        <f t="shared" si="1"/>
        <v>0</v>
      </c>
      <c r="Z4" s="70">
        <f t="shared" si="1"/>
        <v>0.37283114684722812</v>
      </c>
      <c r="AA4" s="70">
        <f t="shared" si="1"/>
        <v>0.23951911220715166</v>
      </c>
      <c r="AB4" s="70">
        <f t="shared" si="1"/>
        <v>0.27232031832877396</v>
      </c>
    </row>
    <row r="5" spans="2:28" ht="14.25" customHeight="1" x14ac:dyDescent="0.35">
      <c r="B5" s="68" t="s">
        <v>89</v>
      </c>
      <c r="C5" s="69">
        <v>14709.41</v>
      </c>
      <c r="D5" s="69">
        <v>16896.96</v>
      </c>
      <c r="E5" s="69">
        <v>19126.3</v>
      </c>
      <c r="F5" s="69">
        <v>24393.89</v>
      </c>
      <c r="G5" s="69">
        <v>20201.560000000001</v>
      </c>
      <c r="H5" s="69">
        <v>23154.6</v>
      </c>
      <c r="J5" s="70">
        <f t="shared" si="0"/>
        <v>0.14871772559198496</v>
      </c>
      <c r="K5" s="70">
        <f t="shared" si="0"/>
        <v>0.13193734257523249</v>
      </c>
      <c r="L5" s="70">
        <f t="shared" si="0"/>
        <v>0.27541082174806419</v>
      </c>
      <c r="M5" s="70">
        <f t="shared" si="0"/>
        <v>-0.17185983867271673</v>
      </c>
      <c r="N5" s="70">
        <f t="shared" si="0"/>
        <v>0.14617880995329058</v>
      </c>
      <c r="P5" s="65" t="s">
        <v>191</v>
      </c>
      <c r="Q5" s="66">
        <v>266</v>
      </c>
      <c r="R5" s="66">
        <v>271</v>
      </c>
      <c r="S5" s="66">
        <v>271</v>
      </c>
      <c r="T5" s="66">
        <v>345</v>
      </c>
      <c r="U5" s="71">
        <v>1167</v>
      </c>
      <c r="V5" s="66">
        <v>444</v>
      </c>
      <c r="W5" s="42"/>
      <c r="X5" s="70">
        <f t="shared" si="1"/>
        <v>1.8796992481203006E-2</v>
      </c>
      <c r="Y5" s="70">
        <f t="shared" si="1"/>
        <v>0</v>
      </c>
      <c r="Z5" s="70">
        <f t="shared" si="1"/>
        <v>0.27306273062730629</v>
      </c>
      <c r="AA5" s="70">
        <f t="shared" si="1"/>
        <v>2.3826086956521739</v>
      </c>
      <c r="AB5" s="70">
        <f t="shared" si="1"/>
        <v>-0.61953727506426737</v>
      </c>
    </row>
    <row r="6" spans="2:28" ht="14.25" customHeight="1" x14ac:dyDescent="0.35">
      <c r="B6" s="68" t="s">
        <v>91</v>
      </c>
      <c r="C6" s="72">
        <v>-267.95</v>
      </c>
      <c r="D6" s="72">
        <v>214.92</v>
      </c>
      <c r="E6" s="72">
        <v>115.5</v>
      </c>
      <c r="F6" s="72">
        <v>109.43</v>
      </c>
      <c r="G6" s="72">
        <v>269.11</v>
      </c>
      <c r="H6" s="72">
        <v>161.13</v>
      </c>
      <c r="J6" s="70">
        <f t="shared" si="0"/>
        <v>-1.8020899421533869</v>
      </c>
      <c r="K6" s="70">
        <f t="shared" si="0"/>
        <v>-0.4625907314349525</v>
      </c>
      <c r="L6" s="70">
        <f t="shared" si="0"/>
        <v>-5.2554112554112492E-2</v>
      </c>
      <c r="M6" s="70">
        <f t="shared" si="0"/>
        <v>1.4591976606049528</v>
      </c>
      <c r="N6" s="70">
        <f t="shared" si="0"/>
        <v>-0.40124856006837356</v>
      </c>
      <c r="P6" s="73" t="s">
        <v>192</v>
      </c>
      <c r="Q6" s="66">
        <v>27</v>
      </c>
      <c r="R6" s="66">
        <v>27</v>
      </c>
      <c r="S6" s="66">
        <v>27</v>
      </c>
      <c r="T6" s="66">
        <v>25</v>
      </c>
      <c r="U6" s="66">
        <v>22</v>
      </c>
      <c r="V6" s="66">
        <v>20</v>
      </c>
      <c r="W6" s="42"/>
      <c r="X6" s="70">
        <f t="shared" si="1"/>
        <v>0</v>
      </c>
      <c r="Y6" s="70">
        <f t="shared" si="1"/>
        <v>0</v>
      </c>
      <c r="Z6" s="70">
        <f t="shared" si="1"/>
        <v>-7.407407407407407E-2</v>
      </c>
      <c r="AA6" s="70">
        <f t="shared" si="1"/>
        <v>-0.12</v>
      </c>
      <c r="AB6" s="70">
        <f t="shared" si="1"/>
        <v>-9.0909090909090912E-2</v>
      </c>
    </row>
    <row r="7" spans="2:28" ht="14.25" customHeight="1" x14ac:dyDescent="0.35">
      <c r="B7" s="68" t="s">
        <v>93</v>
      </c>
      <c r="C7" s="72">
        <v>62.7</v>
      </c>
      <c r="D7" s="72">
        <v>250.27</v>
      </c>
      <c r="E7" s="72">
        <v>40.01</v>
      </c>
      <c r="F7" s="72">
        <v>45.68</v>
      </c>
      <c r="G7" s="72">
        <v>139.66</v>
      </c>
      <c r="H7" s="68">
        <v>168.23</v>
      </c>
      <c r="J7" s="70">
        <f t="shared" si="0"/>
        <v>2.991547049441786</v>
      </c>
      <c r="K7" s="70">
        <f t="shared" si="0"/>
        <v>-0.8401326567307309</v>
      </c>
      <c r="L7" s="70">
        <f t="shared" si="0"/>
        <v>0.14171457135716076</v>
      </c>
      <c r="M7" s="70">
        <f t="shared" si="0"/>
        <v>2.057355516637478</v>
      </c>
      <c r="N7" s="70">
        <f t="shared" si="0"/>
        <v>0.20456823714735783</v>
      </c>
      <c r="P7" s="73" t="s">
        <v>193</v>
      </c>
      <c r="Q7" s="66">
        <v>7</v>
      </c>
      <c r="R7" s="66">
        <v>3</v>
      </c>
      <c r="S7" s="66">
        <v>3</v>
      </c>
      <c r="T7" s="66">
        <v>6</v>
      </c>
      <c r="U7" s="66">
        <v>731</v>
      </c>
      <c r="V7" s="66">
        <v>4</v>
      </c>
      <c r="W7" s="42"/>
      <c r="X7" s="70">
        <f t="shared" si="1"/>
        <v>-0.5714285714285714</v>
      </c>
      <c r="Y7" s="70">
        <f t="shared" si="1"/>
        <v>0</v>
      </c>
      <c r="Z7" s="70">
        <f t="shared" si="1"/>
        <v>1</v>
      </c>
      <c r="AA7" s="70">
        <f t="shared" si="1"/>
        <v>120.83333333333333</v>
      </c>
      <c r="AB7" s="70">
        <f t="shared" si="1"/>
        <v>-0.99452804377564974</v>
      </c>
    </row>
    <row r="8" spans="2:28" ht="14.25" customHeight="1" x14ac:dyDescent="0.35">
      <c r="B8" s="74" t="s">
        <v>95</v>
      </c>
      <c r="C8" s="75">
        <v>14504.16</v>
      </c>
      <c r="D8" s="75">
        <v>17362.150000000001</v>
      </c>
      <c r="E8" s="75">
        <v>19281.810000000001</v>
      </c>
      <c r="F8" s="75">
        <v>24549</v>
      </c>
      <c r="G8" s="75">
        <v>20610.330000000002</v>
      </c>
      <c r="H8" s="75">
        <v>23483.96</v>
      </c>
      <c r="J8" s="70">
        <f t="shared" si="0"/>
        <v>0.19704622673770847</v>
      </c>
      <c r="K8" s="70">
        <f t="shared" si="0"/>
        <v>0.11056579974254339</v>
      </c>
      <c r="L8" s="70">
        <f t="shared" si="0"/>
        <v>0.27316885707306515</v>
      </c>
      <c r="M8" s="70">
        <f t="shared" si="0"/>
        <v>-0.1604411584993278</v>
      </c>
      <c r="N8" s="70">
        <f t="shared" si="0"/>
        <v>0.13942668555040105</v>
      </c>
      <c r="P8" s="73" t="s">
        <v>194</v>
      </c>
      <c r="Q8" s="66">
        <v>232</v>
      </c>
      <c r="R8" s="66">
        <v>240</v>
      </c>
      <c r="S8" s="66">
        <v>240</v>
      </c>
      <c r="T8" s="66">
        <v>313</v>
      </c>
      <c r="U8" s="66">
        <v>414</v>
      </c>
      <c r="V8" s="66">
        <v>420</v>
      </c>
      <c r="W8" s="42"/>
      <c r="X8" s="70">
        <f t="shared" si="1"/>
        <v>3.4482758620689655E-2</v>
      </c>
      <c r="Y8" s="70">
        <f t="shared" si="1"/>
        <v>0</v>
      </c>
      <c r="Z8" s="70">
        <f t="shared" si="1"/>
        <v>0.30416666666666664</v>
      </c>
      <c r="AA8" s="70">
        <f t="shared" si="1"/>
        <v>0.32268370607028751</v>
      </c>
      <c r="AB8" s="70">
        <f t="shared" si="1"/>
        <v>1.4492753623188406E-2</v>
      </c>
    </row>
    <row r="9" spans="2:28" ht="14.25" customHeight="1" x14ac:dyDescent="0.35">
      <c r="B9" s="74" t="s">
        <v>97</v>
      </c>
      <c r="C9" s="74"/>
      <c r="D9" s="76"/>
      <c r="E9" s="76"/>
      <c r="F9" s="76"/>
      <c r="G9" s="76"/>
      <c r="H9" s="74"/>
      <c r="J9" s="70"/>
      <c r="K9" s="70"/>
      <c r="L9" s="70"/>
      <c r="M9" s="70"/>
      <c r="N9" s="70"/>
      <c r="P9" s="65" t="s">
        <v>195</v>
      </c>
      <c r="Q9" s="71">
        <v>6021</v>
      </c>
      <c r="R9" s="71">
        <v>6249</v>
      </c>
      <c r="S9" s="71">
        <v>6249</v>
      </c>
      <c r="T9" s="71">
        <v>6838</v>
      </c>
      <c r="U9" s="71">
        <v>7040</v>
      </c>
      <c r="V9" s="71">
        <v>7604</v>
      </c>
      <c r="W9" s="42"/>
      <c r="X9" s="70">
        <f t="shared" si="1"/>
        <v>3.7867463876432486E-2</v>
      </c>
      <c r="Y9" s="70">
        <f t="shared" si="1"/>
        <v>0</v>
      </c>
      <c r="Z9" s="70">
        <f t="shared" si="1"/>
        <v>9.4255080812930075E-2</v>
      </c>
      <c r="AA9" s="70">
        <f t="shared" si="1"/>
        <v>2.9540801403919275E-2</v>
      </c>
      <c r="AB9" s="70">
        <f t="shared" si="1"/>
        <v>8.0113636363636359E-2</v>
      </c>
    </row>
    <row r="10" spans="2:28" ht="14.25" customHeight="1" x14ac:dyDescent="0.35">
      <c r="B10" s="68" t="s">
        <v>99</v>
      </c>
      <c r="C10" s="69">
        <v>6443.79</v>
      </c>
      <c r="D10" s="69">
        <v>8073.54</v>
      </c>
      <c r="E10" s="69">
        <v>8472.7199999999993</v>
      </c>
      <c r="F10" s="69">
        <v>10846.5</v>
      </c>
      <c r="G10" s="69">
        <v>8971.67</v>
      </c>
      <c r="H10" s="69">
        <v>10509.52</v>
      </c>
      <c r="J10" s="70">
        <f>(D10-C10)/C10</f>
        <v>0.25291792563072352</v>
      </c>
      <c r="K10" s="70">
        <f>(E10-D10)/D10</f>
        <v>4.9442995266017059E-2</v>
      </c>
      <c r="L10" s="70">
        <f>(F10-E10)/E10</f>
        <v>0.28016740786901972</v>
      </c>
      <c r="M10" s="70">
        <f>(G10-F10)/F10</f>
        <v>-0.17285115014059835</v>
      </c>
      <c r="N10" s="70">
        <f>(H10-G10)/G10</f>
        <v>0.17141178844072513</v>
      </c>
      <c r="P10" s="73" t="s">
        <v>196</v>
      </c>
      <c r="Q10" s="71">
        <v>1748</v>
      </c>
      <c r="R10" s="71">
        <v>2121</v>
      </c>
      <c r="S10" s="71">
        <v>2121</v>
      </c>
      <c r="T10" s="71">
        <v>2812</v>
      </c>
      <c r="U10" s="71">
        <v>2624</v>
      </c>
      <c r="V10" s="71">
        <v>3160</v>
      </c>
      <c r="W10" s="42"/>
      <c r="X10" s="70">
        <f t="shared" si="1"/>
        <v>0.21338672768878719</v>
      </c>
      <c r="Y10" s="70">
        <f t="shared" si="1"/>
        <v>0</v>
      </c>
      <c r="Z10" s="70">
        <f t="shared" si="1"/>
        <v>0.32578972182932581</v>
      </c>
      <c r="AA10" s="70">
        <f t="shared" si="1"/>
        <v>-6.6856330014224752E-2</v>
      </c>
      <c r="AB10" s="70">
        <f t="shared" si="1"/>
        <v>0.20426829268292682</v>
      </c>
    </row>
    <row r="11" spans="2:28" ht="14.25" customHeight="1" x14ac:dyDescent="0.35">
      <c r="B11" s="68" t="s">
        <v>101</v>
      </c>
      <c r="C11" s="72">
        <v>408.66</v>
      </c>
      <c r="D11" s="72">
        <v>572.61</v>
      </c>
      <c r="E11" s="72">
        <v>0</v>
      </c>
      <c r="F11" s="72">
        <v>674.83</v>
      </c>
      <c r="G11" s="72">
        <v>536.65</v>
      </c>
      <c r="H11" s="72">
        <v>0</v>
      </c>
      <c r="J11" s="70">
        <f t="shared" ref="J11:J26" si="2">(D11-C11)/C11</f>
        <v>0.40118925267948902</v>
      </c>
      <c r="K11" s="70">
        <f t="shared" ref="K11:K26" si="3">(E11-D11)/D11</f>
        <v>-1</v>
      </c>
      <c r="L11" s="70"/>
      <c r="M11" s="70">
        <f t="shared" ref="M11:M26" si="4">(G11-F11)/F11</f>
        <v>-0.20476268097150402</v>
      </c>
      <c r="N11" s="70">
        <f t="shared" ref="N11:N26" si="5">(H11-G11)/G11</f>
        <v>-1</v>
      </c>
      <c r="P11" s="73" t="s">
        <v>197</v>
      </c>
      <c r="Q11" s="66">
        <v>69</v>
      </c>
      <c r="R11" s="66">
        <v>114</v>
      </c>
      <c r="S11" s="66"/>
      <c r="T11" s="66">
        <v>16</v>
      </c>
      <c r="U11" s="66">
        <v>27</v>
      </c>
      <c r="V11" s="66"/>
      <c r="W11" s="42"/>
      <c r="X11" s="70"/>
      <c r="Y11" s="70"/>
      <c r="Z11" s="70"/>
      <c r="AA11" s="70"/>
      <c r="AB11" s="70"/>
    </row>
    <row r="12" spans="2:28" ht="14.25" customHeight="1" x14ac:dyDescent="0.35">
      <c r="B12" s="68" t="s">
        <v>103</v>
      </c>
      <c r="C12" s="69">
        <v>1521.3</v>
      </c>
      <c r="D12" s="69">
        <v>1635.46</v>
      </c>
      <c r="E12" s="69">
        <v>1849.18</v>
      </c>
      <c r="F12" s="69">
        <v>2336.06</v>
      </c>
      <c r="G12" s="69">
        <v>2023.71</v>
      </c>
      <c r="H12" s="69">
        <v>2165.81</v>
      </c>
      <c r="J12" s="70">
        <f t="shared" si="2"/>
        <v>7.5041083284033444E-2</v>
      </c>
      <c r="K12" s="70">
        <f t="shared" si="3"/>
        <v>0.13067883042079906</v>
      </c>
      <c r="L12" s="70">
        <f t="shared" ref="L12:L25" si="6">(F12-E12)/E12</f>
        <v>0.26329508214451802</v>
      </c>
      <c r="M12" s="70">
        <f t="shared" si="4"/>
        <v>-0.1337080383209335</v>
      </c>
      <c r="N12" s="70">
        <f t="shared" si="5"/>
        <v>7.021757069935905E-2</v>
      </c>
      <c r="P12" s="73" t="s">
        <v>198</v>
      </c>
      <c r="Q12" s="71">
        <v>4204</v>
      </c>
      <c r="R12" s="71">
        <v>4014</v>
      </c>
      <c r="S12" s="71">
        <v>4128</v>
      </c>
      <c r="T12" s="71">
        <v>4010</v>
      </c>
      <c r="U12" s="71">
        <v>4389</v>
      </c>
      <c r="V12" s="71">
        <v>4444</v>
      </c>
      <c r="W12" s="42"/>
      <c r="X12" s="70">
        <f>(R12-Q12)/Q12</f>
        <v>-4.5195052331113227E-2</v>
      </c>
      <c r="Y12" s="70">
        <f>(S12-R12)/R12</f>
        <v>2.8400597907324365E-2</v>
      </c>
      <c r="Z12" s="70">
        <f>(T12-S12)/S12</f>
        <v>-2.8585271317829456E-2</v>
      </c>
      <c r="AA12" s="70">
        <f>(U12-T12)/T12</f>
        <v>9.4513715710723187E-2</v>
      </c>
      <c r="AB12" s="70">
        <f>(V12-U12)/U12</f>
        <v>1.2531328320802004E-2</v>
      </c>
    </row>
    <row r="13" spans="2:28" ht="14.25" customHeight="1" x14ac:dyDescent="0.35">
      <c r="B13" s="68" t="s">
        <v>107</v>
      </c>
      <c r="C13" s="72">
        <v>764.4</v>
      </c>
      <c r="D13" s="72">
        <v>695.59</v>
      </c>
      <c r="E13" s="72">
        <v>39.5</v>
      </c>
      <c r="F13" s="69">
        <v>1287.68</v>
      </c>
      <c r="G13" s="72">
        <v>965.86</v>
      </c>
      <c r="H13" s="72">
        <v>0</v>
      </c>
      <c r="J13" s="70">
        <f t="shared" si="2"/>
        <v>-9.0018315018314948E-2</v>
      </c>
      <c r="K13" s="70">
        <f t="shared" si="3"/>
        <v>-0.94321367472217832</v>
      </c>
      <c r="L13" s="70">
        <f t="shared" si="6"/>
        <v>31.599493670886076</v>
      </c>
      <c r="M13" s="70">
        <f t="shared" si="4"/>
        <v>-0.24992234095427437</v>
      </c>
      <c r="N13" s="70">
        <f t="shared" si="5"/>
        <v>-1</v>
      </c>
      <c r="P13" s="65" t="s">
        <v>116</v>
      </c>
      <c r="Q13" s="71">
        <v>8234</v>
      </c>
      <c r="R13" s="71">
        <v>8979</v>
      </c>
      <c r="S13" s="71">
        <v>8979</v>
      </c>
      <c r="T13" s="71">
        <v>10523</v>
      </c>
      <c r="U13" s="71">
        <v>12324</v>
      </c>
      <c r="V13" s="71">
        <v>13357</v>
      </c>
      <c r="W13" s="42"/>
      <c r="X13" s="70">
        <f t="shared" ref="X13:Y20" si="7">(R13-Q13)/Q13</f>
        <v>9.0478503764877344E-2</v>
      </c>
      <c r="Y13" s="70">
        <f t="shared" si="7"/>
        <v>0</v>
      </c>
      <c r="Z13" s="70"/>
      <c r="AA13" s="70">
        <f t="shared" ref="AA13:AB20" si="8">(U13-T13)/T13</f>
        <v>0.17114891190725079</v>
      </c>
      <c r="AB13" s="70">
        <f t="shared" si="8"/>
        <v>8.3820188250568001E-2</v>
      </c>
    </row>
    <row r="14" spans="2:28" ht="14.25" customHeight="1" x14ac:dyDescent="0.35">
      <c r="B14" s="68" t="s">
        <v>109</v>
      </c>
      <c r="C14" s="69">
        <v>2042.42</v>
      </c>
      <c r="D14" s="69">
        <v>2457.48</v>
      </c>
      <c r="E14" s="69">
        <v>4333.92</v>
      </c>
      <c r="F14" s="69">
        <v>3474.69</v>
      </c>
      <c r="G14" s="69">
        <v>3091.37</v>
      </c>
      <c r="H14" s="69">
        <v>5341.44</v>
      </c>
      <c r="J14" s="70">
        <f t="shared" si="2"/>
        <v>0.20321970995191974</v>
      </c>
      <c r="K14" s="70">
        <f t="shared" si="3"/>
        <v>0.76356267395868938</v>
      </c>
      <c r="L14" s="70">
        <f t="shared" si="6"/>
        <v>-0.19825700520544912</v>
      </c>
      <c r="M14" s="70">
        <f t="shared" si="4"/>
        <v>-0.11031775496519118</v>
      </c>
      <c r="N14" s="70">
        <f t="shared" si="5"/>
        <v>0.72785528746154615</v>
      </c>
      <c r="P14" s="65" t="s">
        <v>199</v>
      </c>
      <c r="Q14" s="71">
        <v>2995</v>
      </c>
      <c r="R14" s="71">
        <v>3044</v>
      </c>
      <c r="S14" s="71">
        <v>3044</v>
      </c>
      <c r="T14" s="71">
        <v>3460</v>
      </c>
      <c r="U14" s="71">
        <v>5474</v>
      </c>
      <c r="V14" s="71">
        <v>6290</v>
      </c>
      <c r="W14" s="42"/>
      <c r="X14" s="70">
        <f t="shared" si="7"/>
        <v>1.6360601001669448E-2</v>
      </c>
      <c r="Y14" s="70">
        <f t="shared" si="7"/>
        <v>0</v>
      </c>
      <c r="Z14" s="70">
        <f>(T14-S14)/S14</f>
        <v>0.13666228646517739</v>
      </c>
      <c r="AA14" s="70">
        <f t="shared" si="8"/>
        <v>0.58208092485549134</v>
      </c>
      <c r="AB14" s="70">
        <f t="shared" si="8"/>
        <v>0.14906832298136646</v>
      </c>
    </row>
    <row r="15" spans="2:28" ht="14.25" customHeight="1" x14ac:dyDescent="0.35">
      <c r="B15" s="68" t="s">
        <v>113</v>
      </c>
      <c r="C15" s="69">
        <v>11180.57</v>
      </c>
      <c r="D15" s="69">
        <v>13434.68</v>
      </c>
      <c r="E15" s="69">
        <v>14695.32</v>
      </c>
      <c r="F15" s="69">
        <v>18619.759999999998</v>
      </c>
      <c r="G15" s="69">
        <v>15589.26</v>
      </c>
      <c r="H15" s="69">
        <v>18016.77</v>
      </c>
      <c r="J15" s="70">
        <f t="shared" si="2"/>
        <v>0.20160957804476878</v>
      </c>
      <c r="K15" s="70">
        <f t="shared" si="3"/>
        <v>9.3834761974233807E-2</v>
      </c>
      <c r="L15" s="70">
        <f t="shared" si="6"/>
        <v>0.26705372867007993</v>
      </c>
      <c r="M15" s="70">
        <f t="shared" si="4"/>
        <v>-0.16275719987797901</v>
      </c>
      <c r="N15" s="70">
        <f t="shared" si="5"/>
        <v>0.15571682042637047</v>
      </c>
      <c r="P15" s="73" t="s">
        <v>200</v>
      </c>
      <c r="Q15" s="66">
        <v>141.57</v>
      </c>
      <c r="R15" s="66">
        <v>141.57</v>
      </c>
      <c r="S15" s="66"/>
      <c r="T15" s="66">
        <v>150.81</v>
      </c>
      <c r="U15" s="66">
        <v>215.27</v>
      </c>
      <c r="V15" s="66"/>
      <c r="W15" s="42"/>
      <c r="X15" s="70">
        <f t="shared" si="7"/>
        <v>0</v>
      </c>
      <c r="Y15" s="70">
        <f t="shared" si="7"/>
        <v>-1</v>
      </c>
      <c r="Z15" s="70"/>
      <c r="AA15" s="70">
        <f t="shared" si="8"/>
        <v>0.42742523705324587</v>
      </c>
      <c r="AB15" s="70">
        <f t="shared" si="8"/>
        <v>-1</v>
      </c>
    </row>
    <row r="16" spans="2:28" ht="14.25" customHeight="1" x14ac:dyDescent="0.35">
      <c r="B16" s="74" t="s">
        <v>115</v>
      </c>
      <c r="C16" s="75">
        <v>3591.54</v>
      </c>
      <c r="D16" s="75">
        <v>3712.55</v>
      </c>
      <c r="E16" s="75">
        <v>4470.99</v>
      </c>
      <c r="F16" s="75">
        <v>5819.81</v>
      </c>
      <c r="G16" s="75">
        <v>4751.96</v>
      </c>
      <c r="H16" s="75">
        <v>5306.06</v>
      </c>
      <c r="J16" s="70">
        <f t="shared" si="2"/>
        <v>3.3693067597743646E-2</v>
      </c>
      <c r="K16" s="70">
        <f t="shared" si="3"/>
        <v>0.20429085130166585</v>
      </c>
      <c r="L16" s="70">
        <f t="shared" si="6"/>
        <v>0.30168262510092858</v>
      </c>
      <c r="M16" s="70">
        <f t="shared" si="4"/>
        <v>-0.18348537151556499</v>
      </c>
      <c r="N16" s="70">
        <f t="shared" si="5"/>
        <v>0.11660451687303773</v>
      </c>
      <c r="P16" s="73" t="s">
        <v>201</v>
      </c>
      <c r="Q16" s="77">
        <v>1485.32</v>
      </c>
      <c r="R16" s="77">
        <v>1532.2</v>
      </c>
      <c r="S16" s="66"/>
      <c r="T16" s="77">
        <v>1820.81</v>
      </c>
      <c r="U16" s="77">
        <v>2332.31</v>
      </c>
      <c r="V16" s="66"/>
      <c r="W16" s="42"/>
      <c r="X16" s="70">
        <f t="shared" si="7"/>
        <v>3.1562222282067239E-2</v>
      </c>
      <c r="Y16" s="70">
        <f t="shared" si="7"/>
        <v>-1</v>
      </c>
      <c r="Z16" s="70"/>
      <c r="AA16" s="70">
        <f t="shared" si="8"/>
        <v>0.28091893168425042</v>
      </c>
      <c r="AB16" s="70">
        <f t="shared" si="8"/>
        <v>-1</v>
      </c>
    </row>
    <row r="17" spans="2:28" ht="14.25" customHeight="1" x14ac:dyDescent="0.35">
      <c r="B17" s="68" t="s">
        <v>117</v>
      </c>
      <c r="C17" s="69">
        <v>3323.59</v>
      </c>
      <c r="D17" s="69">
        <v>3927.47</v>
      </c>
      <c r="E17" s="69">
        <v>4586.49</v>
      </c>
      <c r="F17" s="69">
        <v>5929.24</v>
      </c>
      <c r="G17" s="69">
        <v>5021.07</v>
      </c>
      <c r="H17" s="69">
        <v>5467.19</v>
      </c>
      <c r="J17" s="70">
        <f t="shared" si="2"/>
        <v>0.1816950947619892</v>
      </c>
      <c r="K17" s="70">
        <f t="shared" si="3"/>
        <v>0.167797589796994</v>
      </c>
      <c r="L17" s="70">
        <f t="shared" si="6"/>
        <v>0.2927620031876228</v>
      </c>
      <c r="M17" s="70">
        <f t="shared" si="4"/>
        <v>-0.15316802828018433</v>
      </c>
      <c r="N17" s="70">
        <f t="shared" si="5"/>
        <v>8.8849587836855468E-2</v>
      </c>
      <c r="P17" s="73" t="s">
        <v>202</v>
      </c>
      <c r="Q17" s="77">
        <v>3286.91</v>
      </c>
      <c r="R17" s="77">
        <v>3545.66</v>
      </c>
      <c r="S17" s="66"/>
      <c r="T17" s="77">
        <v>4068.09</v>
      </c>
      <c r="U17" s="77">
        <v>5931.88</v>
      </c>
      <c r="V17" s="66"/>
      <c r="W17" s="42"/>
      <c r="X17" s="70">
        <f t="shared" si="7"/>
        <v>7.8721352273107573E-2</v>
      </c>
      <c r="Y17" s="70">
        <f t="shared" si="7"/>
        <v>-1</v>
      </c>
      <c r="Z17" s="70"/>
      <c r="AA17" s="70">
        <f t="shared" si="8"/>
        <v>0.45814866436091628</v>
      </c>
      <c r="AB17" s="70">
        <f t="shared" si="8"/>
        <v>-1</v>
      </c>
    </row>
    <row r="18" spans="2:28" ht="14.25" customHeight="1" x14ac:dyDescent="0.35">
      <c r="B18" s="68" t="s">
        <v>118</v>
      </c>
      <c r="C18" s="72">
        <v>201.19</v>
      </c>
      <c r="D18" s="72">
        <v>154.57</v>
      </c>
      <c r="E18" s="72">
        <v>119.29</v>
      </c>
      <c r="F18" s="72">
        <v>145.49</v>
      </c>
      <c r="G18" s="72">
        <v>136</v>
      </c>
      <c r="H18" s="72">
        <v>158.31</v>
      </c>
      <c r="J18" s="70">
        <f t="shared" si="2"/>
        <v>-0.23172125851185449</v>
      </c>
      <c r="K18" s="70">
        <f t="shared" si="3"/>
        <v>-0.22824610208966803</v>
      </c>
      <c r="L18" s="70">
        <f t="shared" si="6"/>
        <v>0.21963282756308158</v>
      </c>
      <c r="M18" s="70">
        <f t="shared" si="4"/>
        <v>-6.522785071138916E-2</v>
      </c>
      <c r="N18" s="70">
        <f t="shared" si="5"/>
        <v>0.16404411764705884</v>
      </c>
      <c r="P18" s="73" t="s">
        <v>203</v>
      </c>
      <c r="Q18" s="66">
        <v>23.08</v>
      </c>
      <c r="R18" s="66">
        <v>43.23</v>
      </c>
      <c r="S18" s="66"/>
      <c r="T18" s="66">
        <v>50.93</v>
      </c>
      <c r="U18" s="66">
        <v>52.3</v>
      </c>
      <c r="V18" s="66"/>
      <c r="W18" s="42"/>
      <c r="X18" s="70">
        <f t="shared" si="7"/>
        <v>0.87305025996533792</v>
      </c>
      <c r="Y18" s="70">
        <f t="shared" si="7"/>
        <v>-1</v>
      </c>
      <c r="Z18" s="70"/>
      <c r="AA18" s="70">
        <f t="shared" si="8"/>
        <v>2.6899666208521449E-2</v>
      </c>
      <c r="AB18" s="70">
        <f t="shared" si="8"/>
        <v>-1</v>
      </c>
    </row>
    <row r="19" spans="2:28" ht="14.25" customHeight="1" x14ac:dyDescent="0.35">
      <c r="B19" s="68" t="s">
        <v>120</v>
      </c>
      <c r="C19" s="69">
        <v>3122.4</v>
      </c>
      <c r="D19" s="69">
        <v>3772.9</v>
      </c>
      <c r="E19" s="69">
        <v>4467.2</v>
      </c>
      <c r="F19" s="69">
        <v>5783.75</v>
      </c>
      <c r="G19" s="69">
        <v>4885.07</v>
      </c>
      <c r="H19" s="69">
        <v>5308.88</v>
      </c>
      <c r="J19" s="70">
        <f t="shared" si="2"/>
        <v>0.20833333333333331</v>
      </c>
      <c r="K19" s="70">
        <f t="shared" si="3"/>
        <v>0.18402290015637832</v>
      </c>
      <c r="L19" s="70">
        <f t="shared" si="6"/>
        <v>0.29471481017191981</v>
      </c>
      <c r="M19" s="70">
        <f t="shared" si="4"/>
        <v>-0.15538015993084076</v>
      </c>
      <c r="N19" s="70">
        <f t="shared" si="5"/>
        <v>8.6756177495921336E-2</v>
      </c>
      <c r="P19" s="73" t="s">
        <v>204</v>
      </c>
      <c r="Q19" s="66">
        <v>97.64</v>
      </c>
      <c r="R19" s="66">
        <v>129.24</v>
      </c>
      <c r="S19" s="66"/>
      <c r="T19" s="66">
        <v>155.25</v>
      </c>
      <c r="U19" s="66">
        <v>167.69</v>
      </c>
      <c r="V19" s="66"/>
      <c r="W19" s="42"/>
      <c r="X19" s="70">
        <f t="shared" si="7"/>
        <v>0.32363785333879563</v>
      </c>
      <c r="Y19" s="70">
        <f t="shared" si="7"/>
        <v>-1</v>
      </c>
      <c r="Z19" s="70"/>
      <c r="AA19" s="70">
        <f t="shared" si="8"/>
        <v>8.0128824476650554E-2</v>
      </c>
      <c r="AB19" s="70">
        <f t="shared" si="8"/>
        <v>-1</v>
      </c>
    </row>
    <row r="20" spans="2:28" ht="14.25" customHeight="1" x14ac:dyDescent="0.35">
      <c r="B20" s="68" t="s">
        <v>122</v>
      </c>
      <c r="C20" s="72">
        <v>390.19</v>
      </c>
      <c r="D20" s="72">
        <v>403.01</v>
      </c>
      <c r="E20" s="72">
        <v>428.91</v>
      </c>
      <c r="F20" s="72">
        <v>537.78</v>
      </c>
      <c r="G20" s="72">
        <v>518.16999999999996</v>
      </c>
      <c r="H20" s="72">
        <v>699.23</v>
      </c>
      <c r="J20" s="70">
        <f t="shared" si="2"/>
        <v>3.2855788205745903E-2</v>
      </c>
      <c r="K20" s="70">
        <f t="shared" si="3"/>
        <v>6.4266395374804677E-2</v>
      </c>
      <c r="L20" s="70">
        <f t="shared" si="6"/>
        <v>0.25382947471497502</v>
      </c>
      <c r="M20" s="70">
        <f t="shared" si="4"/>
        <v>-3.6464725352374605E-2</v>
      </c>
      <c r="N20" s="70">
        <f t="shared" si="5"/>
        <v>0.34942200436150311</v>
      </c>
      <c r="P20" s="73" t="s">
        <v>205</v>
      </c>
      <c r="Q20" s="66">
        <v>65.14</v>
      </c>
      <c r="R20" s="66">
        <v>64.41</v>
      </c>
      <c r="S20" s="66"/>
      <c r="T20" s="66">
        <v>67.67</v>
      </c>
      <c r="U20" s="66">
        <v>71.23</v>
      </c>
      <c r="V20" s="66"/>
      <c r="W20" s="42"/>
      <c r="X20" s="70">
        <f t="shared" si="7"/>
        <v>-1.1206631869818913E-2</v>
      </c>
      <c r="Y20" s="70">
        <f t="shared" si="7"/>
        <v>-1</v>
      </c>
      <c r="Z20" s="70"/>
      <c r="AA20" s="70">
        <f t="shared" si="8"/>
        <v>5.2608245899216817E-2</v>
      </c>
      <c r="AB20" s="70">
        <f t="shared" si="8"/>
        <v>-1</v>
      </c>
    </row>
    <row r="21" spans="2:28" ht="14.25" customHeight="1" x14ac:dyDescent="0.35">
      <c r="B21" s="68" t="s">
        <v>126</v>
      </c>
      <c r="C21" s="69">
        <v>2732.21</v>
      </c>
      <c r="D21" s="69">
        <v>3369.89</v>
      </c>
      <c r="E21" s="69">
        <v>4038.29</v>
      </c>
      <c r="F21" s="69">
        <v>5245.97</v>
      </c>
      <c r="G21" s="69">
        <v>4366.8999999999996</v>
      </c>
      <c r="H21" s="69">
        <v>4609.6499999999996</v>
      </c>
      <c r="J21" s="70">
        <f t="shared" si="2"/>
        <v>0.23339348000336718</v>
      </c>
      <c r="K21" s="70">
        <f t="shared" si="3"/>
        <v>0.19834475309283095</v>
      </c>
      <c r="L21" s="70">
        <f t="shared" si="6"/>
        <v>0.29905727424231549</v>
      </c>
      <c r="M21" s="70">
        <f t="shared" si="4"/>
        <v>-0.16757053509646463</v>
      </c>
      <c r="N21" s="70">
        <f t="shared" si="5"/>
        <v>5.5588632668483365E-2</v>
      </c>
      <c r="P21" s="73" t="s">
        <v>206</v>
      </c>
      <c r="Q21" s="66">
        <v>0</v>
      </c>
      <c r="R21" s="66">
        <v>0</v>
      </c>
      <c r="S21" s="66"/>
      <c r="T21" s="66">
        <v>0</v>
      </c>
      <c r="U21" s="66">
        <v>0</v>
      </c>
      <c r="V21" s="66"/>
      <c r="W21" s="42"/>
      <c r="X21" s="70"/>
      <c r="Y21" s="70"/>
      <c r="Z21" s="70"/>
      <c r="AA21" s="70"/>
      <c r="AB21" s="70"/>
    </row>
    <row r="22" spans="2:28" ht="14.25" customHeight="1" x14ac:dyDescent="0.35">
      <c r="B22" s="68" t="s">
        <v>130</v>
      </c>
      <c r="C22" s="69">
        <v>2732.21</v>
      </c>
      <c r="D22" s="69">
        <v>3369.89</v>
      </c>
      <c r="E22" s="69">
        <v>4038.29</v>
      </c>
      <c r="F22" s="69">
        <v>5245.97</v>
      </c>
      <c r="G22" s="69">
        <v>4366.8999999999996</v>
      </c>
      <c r="H22" s="69">
        <v>4609.6499999999996</v>
      </c>
      <c r="J22" s="70">
        <f t="shared" si="2"/>
        <v>0.23339348000336718</v>
      </c>
      <c r="K22" s="70">
        <f t="shared" si="3"/>
        <v>0.19834475309283095</v>
      </c>
      <c r="L22" s="70">
        <f t="shared" si="6"/>
        <v>0.29905727424231549</v>
      </c>
      <c r="M22" s="70">
        <f t="shared" si="4"/>
        <v>-0.16757053509646463</v>
      </c>
      <c r="N22" s="70">
        <f t="shared" si="5"/>
        <v>5.5588632668483365E-2</v>
      </c>
      <c r="P22" s="73" t="s">
        <v>207</v>
      </c>
      <c r="Q22" s="66">
        <v>19.079999999999998</v>
      </c>
      <c r="R22" s="66">
        <v>17.690000000000001</v>
      </c>
      <c r="S22" s="66"/>
      <c r="T22" s="66">
        <v>20.12</v>
      </c>
      <c r="U22" s="66">
        <v>25.34</v>
      </c>
      <c r="V22" s="66"/>
      <c r="W22" s="42"/>
      <c r="X22" s="70">
        <f>(R22-Q22)/Q22</f>
        <v>-7.2851153039832139E-2</v>
      </c>
      <c r="Y22" s="70">
        <f>(S22-R22)/R22</f>
        <v>-1</v>
      </c>
      <c r="Z22" s="70"/>
      <c r="AA22" s="70">
        <f>(U22-T22)/T22</f>
        <v>0.25944333996023849</v>
      </c>
      <c r="AB22" s="70">
        <f>(V22-U22)/U22</f>
        <v>-1</v>
      </c>
    </row>
    <row r="23" spans="2:28" ht="14.25" customHeight="1" x14ac:dyDescent="0.35">
      <c r="B23" s="68" t="s">
        <v>132</v>
      </c>
      <c r="C23" s="72">
        <v>738.91</v>
      </c>
      <c r="D23" s="72">
        <v>865.45</v>
      </c>
      <c r="E23" s="69">
        <v>1039.6199999999999</v>
      </c>
      <c r="F23" s="69">
        <v>1356.03</v>
      </c>
      <c r="G23" s="69">
        <v>1132.97</v>
      </c>
      <c r="H23" s="69">
        <v>1065.05</v>
      </c>
      <c r="J23" s="70">
        <f t="shared" si="2"/>
        <v>0.17125224993571622</v>
      </c>
      <c r="K23" s="70">
        <f t="shared" si="3"/>
        <v>0.20124790571379034</v>
      </c>
      <c r="L23" s="70">
        <f t="shared" si="6"/>
        <v>0.30435159000404005</v>
      </c>
      <c r="M23" s="70">
        <f t="shared" si="4"/>
        <v>-0.16449488580636118</v>
      </c>
      <c r="N23" s="70">
        <f t="shared" si="5"/>
        <v>-5.9948630590395222E-2</v>
      </c>
      <c r="P23" s="73" t="s">
        <v>208</v>
      </c>
      <c r="Q23" s="66">
        <v>0</v>
      </c>
      <c r="R23" s="66">
        <v>0</v>
      </c>
      <c r="S23" s="66">
        <v>0</v>
      </c>
      <c r="T23" s="66">
        <v>0</v>
      </c>
      <c r="U23" s="66">
        <v>0</v>
      </c>
      <c r="V23" s="66">
        <v>0</v>
      </c>
      <c r="W23" s="42"/>
      <c r="X23" s="70"/>
      <c r="Y23" s="70"/>
      <c r="Z23" s="70"/>
      <c r="AA23" s="70"/>
      <c r="AB23" s="70"/>
    </row>
    <row r="24" spans="2:28" ht="14.25" customHeight="1" x14ac:dyDescent="0.35">
      <c r="B24" s="74" t="s">
        <v>134</v>
      </c>
      <c r="C24" s="75">
        <v>2144.86</v>
      </c>
      <c r="D24" s="75">
        <v>2390.52</v>
      </c>
      <c r="E24" s="75">
        <v>2998.67</v>
      </c>
      <c r="F24" s="75">
        <v>3932.84</v>
      </c>
      <c r="G24" s="75">
        <v>3314.5</v>
      </c>
      <c r="H24" s="75">
        <v>3544.6</v>
      </c>
      <c r="J24" s="70">
        <f t="shared" si="2"/>
        <v>0.1145342819577967</v>
      </c>
      <c r="K24" s="70">
        <f t="shared" si="3"/>
        <v>0.25440071616217397</v>
      </c>
      <c r="L24" s="70">
        <f t="shared" si="6"/>
        <v>0.31152811079578613</v>
      </c>
      <c r="M24" s="70">
        <f t="shared" si="4"/>
        <v>-0.15722480446700099</v>
      </c>
      <c r="N24" s="70">
        <f t="shared" si="5"/>
        <v>6.9422235631316914E-2</v>
      </c>
      <c r="P24" s="73" t="s">
        <v>209</v>
      </c>
      <c r="Q24" s="66">
        <v>0</v>
      </c>
      <c r="R24" s="66">
        <v>0</v>
      </c>
      <c r="S24" s="66"/>
      <c r="T24" s="66">
        <v>0</v>
      </c>
      <c r="U24" s="66">
        <v>0</v>
      </c>
      <c r="V24" s="66"/>
      <c r="W24" s="42"/>
      <c r="X24" s="70"/>
      <c r="Y24" s="70"/>
      <c r="Z24" s="70"/>
      <c r="AA24" s="70"/>
      <c r="AB24" s="70"/>
    </row>
    <row r="25" spans="2:28" ht="14.25" customHeight="1" x14ac:dyDescent="0.35">
      <c r="B25" s="68" t="s">
        <v>141</v>
      </c>
      <c r="C25" s="69">
        <v>4736.78</v>
      </c>
      <c r="D25" s="69">
        <v>5361.14</v>
      </c>
      <c r="E25" s="69">
        <v>6222.6</v>
      </c>
      <c r="F25" s="69">
        <v>7773.26</v>
      </c>
      <c r="G25" s="69">
        <v>6617.59</v>
      </c>
      <c r="H25" s="69">
        <v>7507.25</v>
      </c>
      <c r="J25" s="70">
        <f t="shared" si="2"/>
        <v>0.13181106152280675</v>
      </c>
      <c r="K25" s="70">
        <f t="shared" si="3"/>
        <v>0.16068597350563499</v>
      </c>
      <c r="L25" s="70">
        <f t="shared" si="6"/>
        <v>0.2491980844020184</v>
      </c>
      <c r="M25" s="70">
        <f t="shared" si="4"/>
        <v>-0.14867250034091231</v>
      </c>
      <c r="N25" s="70">
        <f t="shared" si="5"/>
        <v>0.13443867027120143</v>
      </c>
      <c r="P25" s="73" t="s">
        <v>121</v>
      </c>
      <c r="Q25" s="77">
        <v>5118.74</v>
      </c>
      <c r="R25" s="77">
        <v>5474</v>
      </c>
      <c r="S25" s="66"/>
      <c r="T25" s="77">
        <v>6333.68</v>
      </c>
      <c r="U25" s="77">
        <v>8796.02</v>
      </c>
      <c r="V25" s="66"/>
      <c r="W25" s="42"/>
      <c r="X25" s="70">
        <f t="shared" ref="X25:X35" si="9">(R25-Q25)/Q25</f>
        <v>6.9403798591059565E-2</v>
      </c>
      <c r="Y25" s="70">
        <f t="shared" ref="Y25:Y35" si="10">(S25-R25)/R25</f>
        <v>-1</v>
      </c>
      <c r="Z25" s="70"/>
      <c r="AA25" s="70">
        <f t="shared" ref="AA25:AA35" si="11">(U25-T25)/T25</f>
        <v>0.38876924631493853</v>
      </c>
      <c r="AB25" s="70">
        <f t="shared" ref="AB25:AB35" si="12">(V25-U25)/U25</f>
        <v>-1</v>
      </c>
    </row>
    <row r="26" spans="2:28" ht="14.25" customHeight="1" x14ac:dyDescent="0.35">
      <c r="B26" s="68" t="s">
        <v>145</v>
      </c>
      <c r="C26" s="69">
        <v>1928.31</v>
      </c>
      <c r="D26" s="69">
        <v>2024.73</v>
      </c>
      <c r="E26" s="72">
        <v>0</v>
      </c>
      <c r="F26" s="69">
        <v>3008.18</v>
      </c>
      <c r="G26" s="69">
        <v>2458.6</v>
      </c>
      <c r="H26" s="72">
        <v>0</v>
      </c>
      <c r="J26" s="70">
        <f t="shared" si="2"/>
        <v>5.0002333649672548E-2</v>
      </c>
      <c r="K26" s="70">
        <f t="shared" si="3"/>
        <v>-1</v>
      </c>
      <c r="L26" s="70"/>
      <c r="M26" s="70">
        <f t="shared" si="4"/>
        <v>-0.18269518446369565</v>
      </c>
      <c r="N26" s="70">
        <f t="shared" si="5"/>
        <v>-1</v>
      </c>
      <c r="P26" s="73" t="s">
        <v>210</v>
      </c>
      <c r="Q26" s="77">
        <v>2124.0700000000002</v>
      </c>
      <c r="R26" s="77">
        <v>2430.3000000000002</v>
      </c>
      <c r="S26" s="66"/>
      <c r="T26" s="77">
        <v>2873.43</v>
      </c>
      <c r="U26" s="77">
        <v>3322.41</v>
      </c>
      <c r="V26" s="66"/>
      <c r="W26" s="42"/>
      <c r="X26" s="70">
        <f t="shared" si="9"/>
        <v>0.14417133145329486</v>
      </c>
      <c r="Y26" s="70">
        <f t="shared" si="10"/>
        <v>-1</v>
      </c>
      <c r="Z26" s="70"/>
      <c r="AA26" s="70">
        <f t="shared" si="11"/>
        <v>0.15625228385587958</v>
      </c>
      <c r="AB26" s="70">
        <f t="shared" si="12"/>
        <v>-1</v>
      </c>
    </row>
    <row r="27" spans="2:28" ht="14.25" customHeight="1" x14ac:dyDescent="0.35">
      <c r="B27" s="74" t="s">
        <v>149</v>
      </c>
      <c r="C27" s="74"/>
      <c r="D27" s="76"/>
      <c r="E27" s="76"/>
      <c r="F27" s="76"/>
      <c r="G27" s="76"/>
      <c r="H27" s="74"/>
      <c r="J27" s="70"/>
      <c r="K27" s="70"/>
      <c r="L27" s="70"/>
      <c r="M27" s="70"/>
      <c r="N27" s="70"/>
      <c r="P27" s="65" t="s">
        <v>211</v>
      </c>
      <c r="Q27" s="66">
        <v>246</v>
      </c>
      <c r="R27" s="66">
        <v>358</v>
      </c>
      <c r="S27" s="66">
        <v>358</v>
      </c>
      <c r="T27" s="71">
        <v>1742</v>
      </c>
      <c r="U27" s="71">
        <v>1173</v>
      </c>
      <c r="V27" s="66">
        <v>507</v>
      </c>
      <c r="W27" s="42"/>
      <c r="X27" s="70">
        <f t="shared" si="9"/>
        <v>0.45528455284552843</v>
      </c>
      <c r="Y27" s="70">
        <f t="shared" si="10"/>
        <v>0</v>
      </c>
      <c r="Z27" s="70">
        <f>(T27-S27)/S27</f>
        <v>3.8659217877094973</v>
      </c>
      <c r="AA27" s="70">
        <f t="shared" si="11"/>
        <v>-0.32663605051664751</v>
      </c>
      <c r="AB27" s="70">
        <f t="shared" si="12"/>
        <v>-0.56777493606138107</v>
      </c>
    </row>
    <row r="28" spans="2:28" ht="14.25" customHeight="1" x14ac:dyDescent="0.35">
      <c r="B28" s="68" t="s">
        <v>151</v>
      </c>
      <c r="C28" s="72">
        <v>964.16</v>
      </c>
      <c r="D28" s="72">
        <v>964.16</v>
      </c>
      <c r="E28" s="72">
        <v>964.2</v>
      </c>
      <c r="F28" s="69">
        <v>9641.57</v>
      </c>
      <c r="G28" s="69">
        <v>9641.57</v>
      </c>
      <c r="H28" s="69">
        <v>19283</v>
      </c>
      <c r="J28" s="70">
        <f t="shared" ref="J28:N31" si="13">(D28-C28)/C28</f>
        <v>0</v>
      </c>
      <c r="K28" s="70">
        <f t="shared" si="13"/>
        <v>4.1486890142795081E-5</v>
      </c>
      <c r="L28" s="70">
        <f t="shared" si="13"/>
        <v>8.9995540344326894</v>
      </c>
      <c r="M28" s="70">
        <f t="shared" si="13"/>
        <v>0</v>
      </c>
      <c r="N28" s="70">
        <f t="shared" si="13"/>
        <v>0.99998547954326944</v>
      </c>
      <c r="P28" s="65" t="s">
        <v>131</v>
      </c>
      <c r="Q28" s="66">
        <v>774</v>
      </c>
      <c r="R28" s="66">
        <v>778</v>
      </c>
      <c r="S28" s="66">
        <v>778</v>
      </c>
      <c r="T28" s="66">
        <v>464</v>
      </c>
      <c r="U28" s="66">
        <v>706</v>
      </c>
      <c r="V28" s="66">
        <v>706</v>
      </c>
      <c r="W28" s="42"/>
      <c r="X28" s="70">
        <f t="shared" si="9"/>
        <v>5.1679586563307496E-3</v>
      </c>
      <c r="Y28" s="70">
        <f t="shared" si="10"/>
        <v>0</v>
      </c>
      <c r="Z28" s="70">
        <v>0</v>
      </c>
      <c r="AA28" s="70">
        <f t="shared" si="11"/>
        <v>0.52155172413793105</v>
      </c>
      <c r="AB28" s="70">
        <f t="shared" si="12"/>
        <v>0</v>
      </c>
    </row>
    <row r="29" spans="2:28" ht="14.25" customHeight="1" x14ac:dyDescent="0.35">
      <c r="B29" s="74" t="s">
        <v>153</v>
      </c>
      <c r="C29" s="76">
        <v>222.46</v>
      </c>
      <c r="D29" s="76">
        <v>247.94</v>
      </c>
      <c r="E29" s="76">
        <v>311</v>
      </c>
      <c r="F29" s="76">
        <v>40.79</v>
      </c>
      <c r="G29" s="76">
        <v>34.380000000000003</v>
      </c>
      <c r="H29" s="76">
        <v>18.38</v>
      </c>
      <c r="J29" s="70">
        <f t="shared" si="13"/>
        <v>0.11453744493392065</v>
      </c>
      <c r="K29" s="70">
        <f t="shared" si="13"/>
        <v>0.25433572638541585</v>
      </c>
      <c r="L29" s="70">
        <f t="shared" si="13"/>
        <v>-0.86884244372990349</v>
      </c>
      <c r="M29" s="70">
        <f t="shared" si="13"/>
        <v>-0.1571463594018141</v>
      </c>
      <c r="N29" s="70">
        <f t="shared" si="13"/>
        <v>-0.46538685282140785</v>
      </c>
      <c r="P29" s="65" t="s">
        <v>212</v>
      </c>
      <c r="Q29" s="71">
        <v>4219</v>
      </c>
      <c r="R29" s="71">
        <v>4799</v>
      </c>
      <c r="S29" s="71">
        <v>4799</v>
      </c>
      <c r="T29" s="71">
        <v>4857</v>
      </c>
      <c r="U29" s="71">
        <v>4972</v>
      </c>
      <c r="V29" s="71">
        <v>5854</v>
      </c>
      <c r="W29" s="42"/>
      <c r="X29" s="78">
        <f t="shared" si="9"/>
        <v>0.13747333491348659</v>
      </c>
      <c r="Y29" s="78">
        <f t="shared" si="10"/>
        <v>0</v>
      </c>
      <c r="Z29" s="78">
        <f t="shared" ref="Z29:Z35" si="14">(T29-S29)/S29</f>
        <v>1.2085851219003959E-2</v>
      </c>
      <c r="AA29" s="78">
        <f t="shared" si="11"/>
        <v>2.3677166975499278E-2</v>
      </c>
      <c r="AB29" s="78">
        <f t="shared" si="12"/>
        <v>0.17739340305711987</v>
      </c>
    </row>
    <row r="30" spans="2:28" ht="14.25" customHeight="1" x14ac:dyDescent="0.35">
      <c r="B30" s="68" t="s">
        <v>155</v>
      </c>
      <c r="C30" s="69">
        <v>2000</v>
      </c>
      <c r="D30" s="69">
        <v>2200</v>
      </c>
      <c r="E30" s="69">
        <v>1670</v>
      </c>
      <c r="F30" s="69">
        <v>3220</v>
      </c>
      <c r="G30" s="69">
        <v>2700</v>
      </c>
      <c r="H30" s="69">
        <v>1200</v>
      </c>
      <c r="J30" s="70">
        <f t="shared" si="13"/>
        <v>0.1</v>
      </c>
      <c r="K30" s="70">
        <f t="shared" si="13"/>
        <v>-0.24090909090909091</v>
      </c>
      <c r="L30" s="70">
        <f t="shared" si="13"/>
        <v>0.92814371257485029</v>
      </c>
      <c r="M30" s="70">
        <f t="shared" si="13"/>
        <v>-0.16149068322981366</v>
      </c>
      <c r="N30" s="70">
        <f t="shared" si="13"/>
        <v>-0.55555555555555558</v>
      </c>
      <c r="P30" s="73" t="s">
        <v>133</v>
      </c>
      <c r="Q30" s="71">
        <v>1593</v>
      </c>
      <c r="R30" s="71">
        <v>1929</v>
      </c>
      <c r="S30" s="71">
        <v>1929</v>
      </c>
      <c r="T30" s="71">
        <v>2089</v>
      </c>
      <c r="U30" s="71">
        <v>2850</v>
      </c>
      <c r="V30" s="71">
        <v>2569</v>
      </c>
      <c r="W30" s="42"/>
      <c r="X30" s="78">
        <f t="shared" si="9"/>
        <v>0.21092278719397364</v>
      </c>
      <c r="Y30" s="78">
        <f t="shared" si="10"/>
        <v>0</v>
      </c>
      <c r="Z30" s="78">
        <f t="shared" si="14"/>
        <v>8.2944530844997408E-2</v>
      </c>
      <c r="AA30" s="78">
        <f t="shared" si="11"/>
        <v>0.36428913355672571</v>
      </c>
      <c r="AB30" s="78">
        <f t="shared" si="12"/>
        <v>-9.8596491228070182E-2</v>
      </c>
    </row>
    <row r="31" spans="2:28" ht="14.25" customHeight="1" x14ac:dyDescent="0.35">
      <c r="B31" s="68" t="s">
        <v>156</v>
      </c>
      <c r="C31" s="72">
        <v>216.2</v>
      </c>
      <c r="D31" s="72">
        <v>255.06</v>
      </c>
      <c r="E31" s="72">
        <v>320.76</v>
      </c>
      <c r="F31" s="72">
        <v>34.65</v>
      </c>
      <c r="G31" s="72">
        <v>42.7</v>
      </c>
      <c r="H31" s="72">
        <v>27.53</v>
      </c>
      <c r="J31" s="70">
        <f t="shared" si="13"/>
        <v>0.1797409805735431</v>
      </c>
      <c r="K31" s="70">
        <f t="shared" si="13"/>
        <v>0.25758645024700066</v>
      </c>
      <c r="L31" s="70">
        <f t="shared" si="13"/>
        <v>-0.89197530864197538</v>
      </c>
      <c r="M31" s="70">
        <f t="shared" si="13"/>
        <v>0.23232323232323246</v>
      </c>
      <c r="N31" s="70">
        <f t="shared" si="13"/>
        <v>-0.35526932084309137</v>
      </c>
      <c r="P31" s="73" t="s">
        <v>213</v>
      </c>
      <c r="Q31" s="66">
        <v>166</v>
      </c>
      <c r="R31" s="66">
        <v>192</v>
      </c>
      <c r="S31" s="66">
        <v>192</v>
      </c>
      <c r="T31" s="66">
        <v>300</v>
      </c>
      <c r="U31" s="66">
        <v>363</v>
      </c>
      <c r="V31" s="66">
        <v>329</v>
      </c>
      <c r="W31" s="42"/>
      <c r="X31" s="78">
        <f t="shared" si="9"/>
        <v>0.15662650602409639</v>
      </c>
      <c r="Y31" s="78">
        <f t="shared" si="10"/>
        <v>0</v>
      </c>
      <c r="Z31" s="78">
        <f t="shared" si="14"/>
        <v>0.5625</v>
      </c>
      <c r="AA31" s="78">
        <f t="shared" si="11"/>
        <v>0.21</v>
      </c>
      <c r="AB31" s="78">
        <f t="shared" si="12"/>
        <v>-9.366391184573003E-2</v>
      </c>
    </row>
    <row r="32" spans="2:28" ht="14.25" customHeight="1" x14ac:dyDescent="0.35">
      <c r="B32" s="79"/>
      <c r="C32" s="80"/>
      <c r="D32" s="80"/>
      <c r="E32" s="80"/>
      <c r="F32" s="80"/>
      <c r="G32" s="80"/>
      <c r="P32" s="73" t="s">
        <v>214</v>
      </c>
      <c r="Q32" s="66">
        <v>735</v>
      </c>
      <c r="R32" s="66">
        <v>946</v>
      </c>
      <c r="S32" s="66">
        <v>946</v>
      </c>
      <c r="T32" s="66">
        <v>779</v>
      </c>
      <c r="U32" s="66">
        <v>96</v>
      </c>
      <c r="V32" s="71">
        <v>1341</v>
      </c>
      <c r="W32" s="42"/>
      <c r="X32" s="78">
        <f t="shared" si="9"/>
        <v>0.28707482993197281</v>
      </c>
      <c r="Y32" s="78">
        <f t="shared" si="10"/>
        <v>0</v>
      </c>
      <c r="Z32" s="78">
        <f t="shared" si="14"/>
        <v>-0.17653276955602537</v>
      </c>
      <c r="AA32" s="78">
        <f t="shared" si="11"/>
        <v>-0.87676508344030812</v>
      </c>
      <c r="AB32" s="78">
        <f t="shared" si="12"/>
        <v>12.96875</v>
      </c>
    </row>
    <row r="33" spans="2:28" ht="14.25" customHeight="1" x14ac:dyDescent="0.35">
      <c r="B33" s="79"/>
      <c r="C33" s="80"/>
      <c r="D33" s="80"/>
      <c r="E33" s="80"/>
      <c r="F33" s="80"/>
      <c r="G33" s="80"/>
      <c r="P33" s="73" t="s">
        <v>215</v>
      </c>
      <c r="Q33" s="66">
        <v>93</v>
      </c>
      <c r="R33" s="66">
        <v>68</v>
      </c>
      <c r="S33" s="66">
        <v>66</v>
      </c>
      <c r="T33" s="66">
        <v>76</v>
      </c>
      <c r="U33" s="66">
        <v>81</v>
      </c>
      <c r="V33" s="66">
        <v>80</v>
      </c>
      <c r="W33" s="42"/>
      <c r="X33" s="78">
        <f t="shared" si="9"/>
        <v>-0.26881720430107525</v>
      </c>
      <c r="Y33" s="78">
        <f t="shared" si="10"/>
        <v>-2.9411764705882353E-2</v>
      </c>
      <c r="Z33" s="78">
        <f t="shared" si="14"/>
        <v>0.15151515151515152</v>
      </c>
      <c r="AA33" s="78">
        <f t="shared" si="11"/>
        <v>6.5789473684210523E-2</v>
      </c>
      <c r="AB33" s="78">
        <f t="shared" si="12"/>
        <v>-1.2345679012345678E-2</v>
      </c>
    </row>
    <row r="34" spans="2:28" ht="14.25" customHeight="1" x14ac:dyDescent="0.35">
      <c r="B34" s="81"/>
      <c r="C34" s="81"/>
      <c r="D34" s="82"/>
      <c r="E34" s="82"/>
      <c r="F34" s="82"/>
      <c r="G34" s="82"/>
      <c r="P34" s="73" t="s">
        <v>216</v>
      </c>
      <c r="Q34" s="71">
        <v>1632</v>
      </c>
      <c r="R34" s="71">
        <v>1665</v>
      </c>
      <c r="S34" s="71">
        <v>1667</v>
      </c>
      <c r="T34" s="71">
        <v>1613</v>
      </c>
      <c r="U34" s="71">
        <v>1582</v>
      </c>
      <c r="V34" s="71">
        <v>1535</v>
      </c>
      <c r="W34" s="42"/>
      <c r="X34" s="78">
        <f t="shared" si="9"/>
        <v>2.0220588235294119E-2</v>
      </c>
      <c r="Y34" s="78">
        <f t="shared" si="10"/>
        <v>1.2012012012012011E-3</v>
      </c>
      <c r="Z34" s="78">
        <f t="shared" si="14"/>
        <v>-3.239352129574085E-2</v>
      </c>
      <c r="AA34" s="78">
        <f t="shared" si="11"/>
        <v>-1.9218846869187848E-2</v>
      </c>
      <c r="AB34" s="78">
        <f t="shared" si="12"/>
        <v>-2.9709228824273071E-2</v>
      </c>
    </row>
    <row r="35" spans="2:28" ht="14.25" customHeight="1" x14ac:dyDescent="0.35">
      <c r="B35" s="79"/>
      <c r="C35" s="80"/>
      <c r="D35" s="80"/>
      <c r="E35" s="80"/>
      <c r="F35" s="80"/>
      <c r="G35" s="80"/>
      <c r="P35" s="65" t="s">
        <v>157</v>
      </c>
      <c r="Q35" s="71">
        <v>8234</v>
      </c>
      <c r="R35" s="71">
        <v>8979</v>
      </c>
      <c r="S35" s="71">
        <v>8979</v>
      </c>
      <c r="T35" s="71">
        <v>10523</v>
      </c>
      <c r="U35" s="71">
        <v>12324</v>
      </c>
      <c r="V35" s="71">
        <v>13357</v>
      </c>
      <c r="W35" s="42"/>
      <c r="X35" s="78">
        <f t="shared" si="9"/>
        <v>9.0478503764877344E-2</v>
      </c>
      <c r="Y35" s="78">
        <f t="shared" si="10"/>
        <v>0</v>
      </c>
      <c r="Z35" s="78">
        <f t="shared" si="14"/>
        <v>0.17195678806103129</v>
      </c>
      <c r="AA35" s="78">
        <f t="shared" si="11"/>
        <v>0.17114891190725079</v>
      </c>
      <c r="AB35" s="78">
        <f t="shared" si="12"/>
        <v>8.3820188250568001E-2</v>
      </c>
    </row>
    <row r="36" spans="2:28" ht="14.25" customHeight="1" x14ac:dyDescent="0.35">
      <c r="B36" s="79"/>
      <c r="C36" s="80"/>
      <c r="D36" s="80"/>
      <c r="E36" s="80"/>
      <c r="F36" s="80"/>
      <c r="G36" s="80"/>
    </row>
    <row r="37" spans="2:28" ht="15.75" customHeight="1" x14ac:dyDescent="0.35">
      <c r="B37" s="275"/>
      <c r="C37" s="275"/>
      <c r="D37" s="82"/>
      <c r="E37" s="82"/>
      <c r="F37" s="82"/>
      <c r="G37" s="82"/>
    </row>
  </sheetData>
  <mergeCells count="6">
    <mergeCell ref="B37:C37"/>
    <mergeCell ref="B1:N1"/>
    <mergeCell ref="P1:AB1"/>
    <mergeCell ref="J2:N2"/>
    <mergeCell ref="X2:AB2"/>
    <mergeCell ref="B3:H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89999084444715716"/>
  </sheetPr>
  <dimension ref="A1:R1485"/>
  <sheetViews>
    <sheetView topLeftCell="B2" zoomScale="101" zoomScaleNormal="83" workbookViewId="0">
      <selection activeCell="G25" sqref="G25"/>
    </sheetView>
  </sheetViews>
  <sheetFormatPr defaultColWidth="8.54296875" defaultRowHeight="14.5" x14ac:dyDescent="0.35"/>
  <cols>
    <col min="1" max="1" width="11.90625" customWidth="1"/>
    <col min="4" max="4" width="6.6328125" customWidth="1"/>
    <col min="5" max="5" width="11.7265625" customWidth="1"/>
    <col min="8" max="8" width="5.453125" customWidth="1"/>
    <col min="9" max="9" width="8.90625" customWidth="1"/>
    <col min="10" max="10" width="17.90625" customWidth="1"/>
    <col min="11" max="12" width="12.54296875" customWidth="1"/>
    <col min="15" max="15" width="11.54296875" customWidth="1"/>
    <col min="16" max="16" width="9.90625" customWidth="1"/>
    <col min="17" max="17" width="12.54296875" customWidth="1"/>
    <col min="18" max="18" width="11.26953125" customWidth="1"/>
  </cols>
  <sheetData>
    <row r="1" spans="1:15" ht="15" customHeight="1" x14ac:dyDescent="0.35"/>
    <row r="2" spans="1:15" ht="18" customHeight="1" x14ac:dyDescent="0.35">
      <c r="A2" s="284" t="s">
        <v>179</v>
      </c>
      <c r="B2" s="284"/>
      <c r="C2" s="284"/>
      <c r="E2" s="284" t="s">
        <v>217</v>
      </c>
      <c r="F2" s="284"/>
      <c r="G2" s="284"/>
      <c r="I2" s="285" t="s">
        <v>218</v>
      </c>
      <c r="J2" s="285"/>
      <c r="K2" s="285"/>
      <c r="L2" s="285"/>
      <c r="M2" s="285"/>
      <c r="N2" s="285"/>
      <c r="O2" s="285"/>
    </row>
    <row r="3" spans="1:15" ht="15" customHeight="1" x14ac:dyDescent="0.35">
      <c r="A3" s="83" t="s">
        <v>219</v>
      </c>
      <c r="B3" s="84" t="s">
        <v>220</v>
      </c>
      <c r="C3" s="83" t="s">
        <v>221</v>
      </c>
      <c r="E3" s="83" t="s">
        <v>219</v>
      </c>
      <c r="F3" s="84" t="s">
        <v>220</v>
      </c>
      <c r="G3" s="83" t="s">
        <v>221</v>
      </c>
      <c r="I3" s="3"/>
      <c r="J3" s="3"/>
      <c r="K3" s="3"/>
      <c r="L3" s="3"/>
      <c r="M3" s="3"/>
      <c r="N3" s="3"/>
      <c r="O3" s="3"/>
    </row>
    <row r="4" spans="1:15" ht="15" customHeight="1" x14ac:dyDescent="0.35">
      <c r="A4" s="85">
        <v>43922</v>
      </c>
      <c r="B4">
        <v>731.49</v>
      </c>
      <c r="E4" s="86">
        <v>43922</v>
      </c>
      <c r="F4" s="87">
        <v>8253.7998046875</v>
      </c>
      <c r="G4" s="88"/>
      <c r="I4" s="89" t="s">
        <v>222</v>
      </c>
      <c r="J4" s="90" t="s">
        <v>223</v>
      </c>
      <c r="K4" s="90" t="s">
        <v>224</v>
      </c>
      <c r="L4" s="286" t="s">
        <v>225</v>
      </c>
      <c r="M4" s="286"/>
      <c r="N4" s="286"/>
      <c r="O4" s="286"/>
    </row>
    <row r="5" spans="1:15" ht="15" customHeight="1" x14ac:dyDescent="0.35">
      <c r="A5" s="85">
        <v>43924</v>
      </c>
      <c r="B5">
        <v>705.8</v>
      </c>
      <c r="C5">
        <f t="shared" ref="C5:C68" si="0">(B5-B4)/B4</f>
        <v>-3.5120097335575404E-2</v>
      </c>
      <c r="E5" s="86">
        <v>43924</v>
      </c>
      <c r="F5" s="87">
        <v>8083.7998046875</v>
      </c>
      <c r="G5" s="88">
        <f t="shared" ref="G5:G68" si="1">(F5-F4)/F4</f>
        <v>-2.0596574186770748E-2</v>
      </c>
      <c r="I5" s="91">
        <v>1</v>
      </c>
      <c r="J5" s="92" t="s">
        <v>226</v>
      </c>
      <c r="K5" s="93">
        <f>SLOPE(C4:C1485,G4:G1485)</f>
        <v>0.49579970950600694</v>
      </c>
      <c r="L5" s="280" t="str">
        <f ca="1">+_xlfn.FORMULATEXT(K5)</f>
        <v>=SLOPE(C4:C1485,G4:G1485)</v>
      </c>
      <c r="M5" s="280"/>
      <c r="N5" s="280"/>
      <c r="O5" s="280"/>
    </row>
    <row r="6" spans="1:15" ht="15" customHeight="1" x14ac:dyDescent="0.35">
      <c r="A6" s="85">
        <v>43928</v>
      </c>
      <c r="B6">
        <v>796.17</v>
      </c>
      <c r="C6">
        <f t="shared" si="0"/>
        <v>0.12803910456219894</v>
      </c>
      <c r="E6" s="86">
        <v>43928</v>
      </c>
      <c r="F6" s="87">
        <v>8792.2001953125</v>
      </c>
      <c r="G6" s="88">
        <f t="shared" si="1"/>
        <v>8.7632104671150374E-2</v>
      </c>
      <c r="I6" s="94"/>
      <c r="J6" s="3"/>
      <c r="K6" s="3"/>
      <c r="L6" s="3"/>
      <c r="M6" s="3"/>
      <c r="N6" s="3"/>
      <c r="O6" s="3"/>
    </row>
    <row r="7" spans="1:15" ht="15" customHeight="1" x14ac:dyDescent="0.35">
      <c r="A7" s="85">
        <v>43929</v>
      </c>
      <c r="B7">
        <v>788.34</v>
      </c>
      <c r="C7">
        <f t="shared" si="0"/>
        <v>-9.8345830664304454E-3</v>
      </c>
      <c r="E7" s="86">
        <v>43929</v>
      </c>
      <c r="F7" s="87">
        <v>8748.75</v>
      </c>
      <c r="G7" s="88">
        <f t="shared" si="1"/>
        <v>-4.9419024075071866E-3</v>
      </c>
      <c r="I7" s="95">
        <v>2</v>
      </c>
      <c r="J7" s="96" t="s">
        <v>227</v>
      </c>
      <c r="K7" s="97">
        <f>_xlfn.COVARIANCE.S(C5:C1485,G5:G1485)/_xlfn.VAR.S(G5:G1485)</f>
        <v>0.49579970950600627</v>
      </c>
      <c r="L7" s="280" t="str">
        <f ca="1">+_xlfn.FORMULATEXT(K7)</f>
        <v>=COVARIANCE.S(C5:C1485,G5:G1485)/VAR.S(G5:G1485)</v>
      </c>
      <c r="M7" s="280"/>
      <c r="N7" s="280"/>
      <c r="O7" s="280"/>
    </row>
    <row r="8" spans="1:15" ht="15" customHeight="1" x14ac:dyDescent="0.35">
      <c r="A8" s="85">
        <v>43930</v>
      </c>
      <c r="B8">
        <v>786.87</v>
      </c>
      <c r="C8">
        <f t="shared" si="0"/>
        <v>-1.8646776771444138E-3</v>
      </c>
      <c r="E8" s="86">
        <v>43930</v>
      </c>
      <c r="F8" s="87">
        <v>9111.900390625</v>
      </c>
      <c r="G8" s="88">
        <f t="shared" si="1"/>
        <v>4.1508831618802686E-2</v>
      </c>
    </row>
    <row r="9" spans="1:15" ht="15" customHeight="1" x14ac:dyDescent="0.35">
      <c r="A9" s="85">
        <v>43934</v>
      </c>
      <c r="B9">
        <v>775.67</v>
      </c>
      <c r="C9">
        <f t="shared" si="0"/>
        <v>-1.4233609109509889E-2</v>
      </c>
      <c r="E9" s="86">
        <v>43934</v>
      </c>
      <c r="F9" s="87">
        <v>8993.849609375</v>
      </c>
      <c r="G9" s="88">
        <f t="shared" si="1"/>
        <v>-1.2955670737079107E-2</v>
      </c>
      <c r="I9" s="98">
        <v>3</v>
      </c>
      <c r="J9" s="281" t="s">
        <v>228</v>
      </c>
      <c r="K9" s="281"/>
    </row>
    <row r="10" spans="1:15" ht="14.25" customHeight="1" x14ac:dyDescent="0.35">
      <c r="A10" s="85">
        <v>43936</v>
      </c>
      <c r="B10">
        <v>809.59</v>
      </c>
      <c r="C10">
        <f t="shared" si="0"/>
        <v>4.3729936699885355E-2</v>
      </c>
      <c r="E10" s="86">
        <v>43936</v>
      </c>
      <c r="F10" s="87">
        <v>8925.2998046875</v>
      </c>
      <c r="G10" s="88">
        <f t="shared" si="1"/>
        <v>-7.6218535626885646E-3</v>
      </c>
      <c r="J10" s="282" t="s">
        <v>229</v>
      </c>
      <c r="K10" s="282"/>
    </row>
    <row r="11" spans="1:15" ht="14.25" customHeight="1" x14ac:dyDescent="0.35">
      <c r="A11" s="85">
        <v>43937</v>
      </c>
      <c r="B11">
        <v>836.19</v>
      </c>
      <c r="C11">
        <f t="shared" si="0"/>
        <v>3.2856137057028896E-2</v>
      </c>
      <c r="E11" s="86">
        <v>43937</v>
      </c>
      <c r="F11" s="87">
        <v>8992.7998046875</v>
      </c>
      <c r="G11" s="88">
        <f t="shared" si="1"/>
        <v>7.5627711647903986E-3</v>
      </c>
      <c r="J11" t="s">
        <v>230</v>
      </c>
      <c r="K11">
        <v>0.377571335085639</v>
      </c>
    </row>
    <row r="12" spans="1:15" ht="14.25" customHeight="1" x14ac:dyDescent="0.35">
      <c r="A12" s="85">
        <v>43938</v>
      </c>
      <c r="B12">
        <v>809.51</v>
      </c>
      <c r="C12">
        <f t="shared" si="0"/>
        <v>-3.1906624092610608E-2</v>
      </c>
      <c r="E12" s="86">
        <v>43938</v>
      </c>
      <c r="F12" s="87">
        <v>9266.75</v>
      </c>
      <c r="G12" s="88">
        <f t="shared" si="1"/>
        <v>3.0463281876874804E-2</v>
      </c>
      <c r="J12" t="s">
        <v>231</v>
      </c>
      <c r="K12">
        <v>0.14256011307835201</v>
      </c>
    </row>
    <row r="13" spans="1:15" ht="14.25" customHeight="1" x14ac:dyDescent="0.35">
      <c r="A13" s="85">
        <v>43941</v>
      </c>
      <c r="B13">
        <v>793.26</v>
      </c>
      <c r="C13">
        <f t="shared" si="0"/>
        <v>-2.0073871848402119E-2</v>
      </c>
      <c r="E13" s="86">
        <v>43941</v>
      </c>
      <c r="F13" s="87">
        <v>9261.849609375</v>
      </c>
      <c r="G13" s="88">
        <f t="shared" si="1"/>
        <v>-5.2881437666927461E-4</v>
      </c>
      <c r="J13" t="s">
        <v>232</v>
      </c>
      <c r="K13">
        <v>0.14198037008516601</v>
      </c>
    </row>
    <row r="14" spans="1:15" ht="14.25" customHeight="1" x14ac:dyDescent="0.35">
      <c r="A14" s="85">
        <v>43942</v>
      </c>
      <c r="B14">
        <v>795.08</v>
      </c>
      <c r="C14">
        <f t="shared" si="0"/>
        <v>2.2943297279581095E-3</v>
      </c>
      <c r="E14" s="86">
        <v>43942</v>
      </c>
      <c r="F14" s="87">
        <v>8981.4501953125</v>
      </c>
      <c r="G14" s="88">
        <f t="shared" si="1"/>
        <v>-3.0274667144095602E-2</v>
      </c>
      <c r="J14" t="s">
        <v>233</v>
      </c>
      <c r="K14">
        <v>1.19172354833001E-2</v>
      </c>
    </row>
    <row r="15" spans="1:15" ht="15" customHeight="1" x14ac:dyDescent="0.35">
      <c r="A15" s="85">
        <v>43943</v>
      </c>
      <c r="B15">
        <v>824.36</v>
      </c>
      <c r="C15">
        <f t="shared" si="0"/>
        <v>3.6826482869648298E-2</v>
      </c>
      <c r="E15" s="86">
        <v>43943</v>
      </c>
      <c r="F15" s="87">
        <v>9187.2998046875</v>
      </c>
      <c r="G15" s="88">
        <f t="shared" si="1"/>
        <v>2.2919417788725787E-2</v>
      </c>
      <c r="J15" s="100" t="s">
        <v>234</v>
      </c>
      <c r="K15" s="100">
        <v>1481</v>
      </c>
    </row>
    <row r="16" spans="1:15" ht="14.25" customHeight="1" x14ac:dyDescent="0.35">
      <c r="A16" s="85">
        <v>43944</v>
      </c>
      <c r="B16">
        <v>814.73</v>
      </c>
      <c r="C16">
        <f t="shared" si="0"/>
        <v>-1.1681789509437619E-2</v>
      </c>
      <c r="E16" s="86">
        <v>43944</v>
      </c>
      <c r="F16" s="87">
        <v>9313.900390625</v>
      </c>
      <c r="G16" s="88">
        <f t="shared" si="1"/>
        <v>1.3779955877014752E-2</v>
      </c>
    </row>
    <row r="17" spans="1:18" ht="15" customHeight="1" x14ac:dyDescent="0.35">
      <c r="A17" s="85">
        <v>43945</v>
      </c>
      <c r="B17">
        <v>813.33</v>
      </c>
      <c r="C17">
        <f t="shared" si="0"/>
        <v>-1.7183606839075243E-3</v>
      </c>
      <c r="E17" s="86">
        <v>43945</v>
      </c>
      <c r="F17" s="87">
        <v>9154.400390625</v>
      </c>
      <c r="G17" s="88">
        <f t="shared" si="1"/>
        <v>-1.7124941572334865E-2</v>
      </c>
      <c r="J17" s="283" t="s">
        <v>235</v>
      </c>
      <c r="K17" s="283"/>
      <c r="L17" s="283"/>
      <c r="M17" s="283"/>
      <c r="N17" s="283"/>
      <c r="O17" s="283"/>
    </row>
    <row r="18" spans="1:18" ht="14.25" customHeight="1" x14ac:dyDescent="0.35">
      <c r="A18" s="85">
        <v>43948</v>
      </c>
      <c r="B18">
        <v>838.79</v>
      </c>
      <c r="C18">
        <f t="shared" si="0"/>
        <v>3.1303406981176056E-2</v>
      </c>
      <c r="E18" s="86">
        <v>43948</v>
      </c>
      <c r="F18" s="87">
        <v>9282.2998046875</v>
      </c>
      <c r="G18" s="88">
        <f t="shared" si="1"/>
        <v>1.3971358975458566E-2</v>
      </c>
      <c r="J18" s="99"/>
      <c r="K18" s="99" t="s">
        <v>236</v>
      </c>
      <c r="L18" s="99" t="s">
        <v>237</v>
      </c>
      <c r="M18" s="99" t="s">
        <v>238</v>
      </c>
      <c r="N18" s="99" t="s">
        <v>239</v>
      </c>
      <c r="O18" s="99" t="s">
        <v>240</v>
      </c>
    </row>
    <row r="19" spans="1:18" ht="14.25" customHeight="1" x14ac:dyDescent="0.35">
      <c r="A19" s="85">
        <v>43949</v>
      </c>
      <c r="B19">
        <v>820.98</v>
      </c>
      <c r="C19">
        <f t="shared" si="0"/>
        <v>-2.1232966535127917E-2</v>
      </c>
      <c r="E19" s="86">
        <v>43949</v>
      </c>
      <c r="F19" s="87">
        <v>9380.900390625</v>
      </c>
      <c r="G19" s="88">
        <f t="shared" si="1"/>
        <v>1.0622430648890199E-2</v>
      </c>
      <c r="J19" t="s">
        <v>241</v>
      </c>
      <c r="K19">
        <v>1</v>
      </c>
      <c r="L19">
        <v>3.4923162505533997E-2</v>
      </c>
      <c r="M19">
        <v>3.4923162505533997E-2</v>
      </c>
      <c r="N19">
        <v>245.90226143999001</v>
      </c>
      <c r="O19">
        <v>2.1991785544089899E-51</v>
      </c>
    </row>
    <row r="20" spans="1:18" ht="14.25" customHeight="1" x14ac:dyDescent="0.35">
      <c r="A20" s="85">
        <v>43950</v>
      </c>
      <c r="B20">
        <v>817.24</v>
      </c>
      <c r="C20">
        <f t="shared" si="0"/>
        <v>-4.5555311944261842E-3</v>
      </c>
      <c r="E20" s="86">
        <v>43950</v>
      </c>
      <c r="F20" s="87">
        <v>9553.349609375</v>
      </c>
      <c r="G20" s="88">
        <f t="shared" si="1"/>
        <v>1.838301352419654E-2</v>
      </c>
      <c r="J20" t="s">
        <v>242</v>
      </c>
      <c r="K20">
        <v>1479</v>
      </c>
      <c r="L20">
        <v>0.21004832181378599</v>
      </c>
      <c r="M20">
        <v>1.42020501564426E-4</v>
      </c>
    </row>
    <row r="21" spans="1:18" ht="15" customHeight="1" x14ac:dyDescent="0.35">
      <c r="A21" s="85">
        <v>43951</v>
      </c>
      <c r="B21">
        <v>837.57</v>
      </c>
      <c r="C21">
        <f t="shared" si="0"/>
        <v>2.4876413293524597E-2</v>
      </c>
      <c r="E21" s="86">
        <v>43951</v>
      </c>
      <c r="F21" s="87">
        <v>9859.900390625</v>
      </c>
      <c r="G21" s="88">
        <f t="shared" si="1"/>
        <v>3.2088303452139151E-2</v>
      </c>
      <c r="J21" s="100" t="s">
        <v>23</v>
      </c>
      <c r="K21" s="100">
        <v>1480</v>
      </c>
      <c r="L21" s="100">
        <v>0.24497148431932</v>
      </c>
      <c r="M21" s="100"/>
      <c r="N21" s="100"/>
      <c r="O21" s="100"/>
    </row>
    <row r="22" spans="1:18" ht="15" customHeight="1" x14ac:dyDescent="0.35">
      <c r="A22" s="85">
        <v>43955</v>
      </c>
      <c r="B22">
        <v>815.69</v>
      </c>
      <c r="C22">
        <f t="shared" si="0"/>
        <v>-2.612318970354716E-2</v>
      </c>
      <c r="E22" s="86">
        <v>43955</v>
      </c>
      <c r="F22" s="87">
        <v>9293.5</v>
      </c>
      <c r="G22" s="88">
        <f t="shared" si="1"/>
        <v>-5.7444839013134998E-2</v>
      </c>
    </row>
    <row r="23" spans="1:18" ht="14.25" customHeight="1" x14ac:dyDescent="0.35">
      <c r="A23" s="85">
        <v>43956</v>
      </c>
      <c r="B23">
        <v>814.05</v>
      </c>
      <c r="C23">
        <f t="shared" si="0"/>
        <v>-2.0105677401955398E-3</v>
      </c>
      <c r="E23" s="86">
        <v>43956</v>
      </c>
      <c r="F23" s="87">
        <v>9205.599609375</v>
      </c>
      <c r="G23" s="88">
        <f t="shared" si="1"/>
        <v>-9.4582655216011186E-3</v>
      </c>
      <c r="J23" s="99"/>
      <c r="K23" s="99" t="s">
        <v>243</v>
      </c>
      <c r="L23" s="99" t="s">
        <v>233</v>
      </c>
      <c r="M23" s="99" t="s">
        <v>244</v>
      </c>
      <c r="N23" s="99" t="s">
        <v>245</v>
      </c>
      <c r="O23" s="99" t="s">
        <v>246</v>
      </c>
      <c r="P23" s="99" t="s">
        <v>247</v>
      </c>
      <c r="Q23" s="99" t="s">
        <v>248</v>
      </c>
      <c r="R23" s="99" t="s">
        <v>249</v>
      </c>
    </row>
    <row r="24" spans="1:18" ht="14.25" customHeight="1" x14ac:dyDescent="0.35">
      <c r="A24" s="85">
        <v>43957</v>
      </c>
      <c r="B24">
        <v>808.81</v>
      </c>
      <c r="C24">
        <f t="shared" si="0"/>
        <v>-6.4369510472329821E-3</v>
      </c>
      <c r="E24" s="86">
        <v>43957</v>
      </c>
      <c r="F24" s="87">
        <v>9270.900390625</v>
      </c>
      <c r="G24" s="88">
        <f t="shared" si="1"/>
        <v>7.0935934671216378E-3</v>
      </c>
      <c r="J24" t="s">
        <v>250</v>
      </c>
      <c r="K24">
        <v>4.4977575889105202E-5</v>
      </c>
      <c r="L24">
        <v>3.1050531110219699E-4</v>
      </c>
      <c r="M24">
        <v>0.144852839165452</v>
      </c>
      <c r="N24">
        <v>0.88484679870571403</v>
      </c>
      <c r="O24">
        <v>-5.6410009289611495E-4</v>
      </c>
      <c r="P24">
        <v>6.5405524467432503E-4</v>
      </c>
      <c r="Q24">
        <v>-5.6410009289611495E-4</v>
      </c>
      <c r="R24">
        <v>6.5405524467432503E-4</v>
      </c>
    </row>
    <row r="25" spans="1:18" ht="15" customHeight="1" x14ac:dyDescent="0.35">
      <c r="A25" s="85">
        <v>43958</v>
      </c>
      <c r="B25">
        <v>801.02</v>
      </c>
      <c r="C25">
        <f t="shared" si="0"/>
        <v>-9.6314338348931945E-3</v>
      </c>
      <c r="E25" s="86">
        <v>43958</v>
      </c>
      <c r="F25" s="87">
        <v>9199.0498046875</v>
      </c>
      <c r="G25" s="88">
        <f t="shared" si="1"/>
        <v>-7.7501195040513404E-3</v>
      </c>
      <c r="J25" s="100" t="s">
        <v>251</v>
      </c>
      <c r="K25" s="100">
        <v>0.49579970950600799</v>
      </c>
      <c r="L25" s="100">
        <v>3.1617316493744899E-2</v>
      </c>
      <c r="M25" s="100">
        <v>15.6812710403205</v>
      </c>
      <c r="N25" s="100">
        <v>2.1991785544059801E-51</v>
      </c>
      <c r="O25" s="100">
        <v>0.433780153850432</v>
      </c>
      <c r="P25" s="100">
        <v>0.55781926516158398</v>
      </c>
      <c r="Q25" s="100">
        <v>0.433780153850432</v>
      </c>
      <c r="R25" s="100">
        <v>0.55781926516158398</v>
      </c>
    </row>
    <row r="26" spans="1:18" ht="14.25" customHeight="1" x14ac:dyDescent="0.35">
      <c r="A26" s="85">
        <v>43959</v>
      </c>
      <c r="B26">
        <v>831.88</v>
      </c>
      <c r="C26">
        <f t="shared" si="0"/>
        <v>3.8525879503632884E-2</v>
      </c>
      <c r="E26" s="86">
        <v>43959</v>
      </c>
      <c r="F26" s="87">
        <v>9251.5</v>
      </c>
      <c r="G26" s="88">
        <f t="shared" si="1"/>
        <v>5.7016970693835461E-3</v>
      </c>
    </row>
    <row r="27" spans="1:18" ht="14.25" customHeight="1" x14ac:dyDescent="0.35">
      <c r="A27" s="85">
        <v>43962</v>
      </c>
      <c r="B27">
        <v>820.62</v>
      </c>
      <c r="C27">
        <f t="shared" si="0"/>
        <v>-1.3535606097033215E-2</v>
      </c>
      <c r="E27" s="86">
        <v>43962</v>
      </c>
      <c r="F27" s="87">
        <v>9239.2001953125</v>
      </c>
      <c r="G27" s="88">
        <f t="shared" si="1"/>
        <v>-1.3294930214019349E-3</v>
      </c>
    </row>
    <row r="28" spans="1:18" ht="14.25" customHeight="1" x14ac:dyDescent="0.35">
      <c r="A28" s="85">
        <v>43963</v>
      </c>
      <c r="B28">
        <v>815.94</v>
      </c>
      <c r="C28">
        <f t="shared" si="0"/>
        <v>-5.7030050449659404E-3</v>
      </c>
      <c r="E28" s="86">
        <v>43963</v>
      </c>
      <c r="F28" s="87">
        <v>9196.5498046875</v>
      </c>
      <c r="G28" s="88">
        <f t="shared" si="1"/>
        <v>-4.6162427183511663E-3</v>
      </c>
    </row>
    <row r="29" spans="1:18" ht="14.25" customHeight="1" x14ac:dyDescent="0.35">
      <c r="A29" s="85">
        <v>43964</v>
      </c>
      <c r="B29">
        <v>771.57</v>
      </c>
      <c r="C29">
        <f t="shared" si="0"/>
        <v>-5.4378998455768809E-2</v>
      </c>
      <c r="E29" s="86">
        <v>43964</v>
      </c>
      <c r="F29" s="87">
        <v>9383.5498046875</v>
      </c>
      <c r="G29" s="88">
        <f t="shared" si="1"/>
        <v>2.0333712530397619E-2</v>
      </c>
    </row>
    <row r="30" spans="1:18" ht="14.25" customHeight="1" x14ac:dyDescent="0.35">
      <c r="A30" s="85">
        <v>43965</v>
      </c>
      <c r="B30">
        <v>758.96</v>
      </c>
      <c r="C30">
        <f t="shared" si="0"/>
        <v>-1.6343300024625133E-2</v>
      </c>
      <c r="E30" s="86">
        <v>43965</v>
      </c>
      <c r="F30" s="87">
        <v>9142.75</v>
      </c>
      <c r="G30" s="88">
        <f t="shared" si="1"/>
        <v>-2.5661909373274686E-2</v>
      </c>
    </row>
    <row r="31" spans="1:18" ht="14.25" customHeight="1" x14ac:dyDescent="0.35">
      <c r="A31" s="85">
        <v>43966</v>
      </c>
      <c r="B31">
        <v>768.37</v>
      </c>
      <c r="C31">
        <f t="shared" si="0"/>
        <v>1.2398545377885485E-2</v>
      </c>
      <c r="E31" s="86">
        <v>43966</v>
      </c>
      <c r="F31" s="87">
        <v>9136.849609375</v>
      </c>
      <c r="G31" s="88">
        <f t="shared" si="1"/>
        <v>-6.453627874545405E-4</v>
      </c>
    </row>
    <row r="32" spans="1:18" ht="14.25" customHeight="1" x14ac:dyDescent="0.35">
      <c r="A32" s="85">
        <v>43969</v>
      </c>
      <c r="B32">
        <v>758.86</v>
      </c>
      <c r="C32">
        <f t="shared" si="0"/>
        <v>-1.2376849694808479E-2</v>
      </c>
      <c r="E32" s="86">
        <v>43969</v>
      </c>
      <c r="F32" s="87">
        <v>8823.25</v>
      </c>
      <c r="G32" s="88">
        <f t="shared" si="1"/>
        <v>-3.4322509703259917E-2</v>
      </c>
    </row>
    <row r="33" spans="1:7" ht="14.25" customHeight="1" x14ac:dyDescent="0.35">
      <c r="A33" s="85">
        <v>43970</v>
      </c>
      <c r="B33">
        <v>754.66</v>
      </c>
      <c r="C33">
        <f t="shared" si="0"/>
        <v>-5.534617716047816E-3</v>
      </c>
      <c r="E33" s="86">
        <v>43970</v>
      </c>
      <c r="F33" s="87">
        <v>8879.099609375</v>
      </c>
      <c r="G33" s="88">
        <f t="shared" si="1"/>
        <v>6.3298228402232735E-3</v>
      </c>
    </row>
    <row r="34" spans="1:7" ht="14.25" customHeight="1" x14ac:dyDescent="0.35">
      <c r="A34" s="85">
        <v>43971</v>
      </c>
      <c r="B34">
        <v>761.81</v>
      </c>
      <c r="C34">
        <f t="shared" si="0"/>
        <v>9.4744653221317914E-3</v>
      </c>
      <c r="E34" s="86">
        <v>43971</v>
      </c>
      <c r="F34" s="87">
        <v>9066.5498046875</v>
      </c>
      <c r="G34" s="88">
        <f t="shared" si="1"/>
        <v>2.1111396826157987E-2</v>
      </c>
    </row>
    <row r="35" spans="1:7" ht="14.25" customHeight="1" x14ac:dyDescent="0.35">
      <c r="A35" s="85">
        <v>43972</v>
      </c>
      <c r="B35">
        <v>761.44</v>
      </c>
      <c r="C35">
        <f t="shared" si="0"/>
        <v>-4.8568540712236763E-4</v>
      </c>
      <c r="E35" s="86">
        <v>43972</v>
      </c>
      <c r="F35" s="87">
        <v>9106.25</v>
      </c>
      <c r="G35" s="88">
        <f t="shared" si="1"/>
        <v>4.378754451001261E-3</v>
      </c>
    </row>
    <row r="36" spans="1:7" ht="14.25" customHeight="1" x14ac:dyDescent="0.35">
      <c r="A36" s="85">
        <v>43973</v>
      </c>
      <c r="B36">
        <v>757.69</v>
      </c>
      <c r="C36">
        <f t="shared" si="0"/>
        <v>-4.9248791762975409E-3</v>
      </c>
      <c r="E36" s="86">
        <v>43973</v>
      </c>
      <c r="F36" s="87">
        <v>9039.25</v>
      </c>
      <c r="G36" s="88">
        <f t="shared" si="1"/>
        <v>-7.3575840768702813E-3</v>
      </c>
    </row>
    <row r="37" spans="1:7" ht="14.25" customHeight="1" x14ac:dyDescent="0.35">
      <c r="A37" s="85">
        <v>43977</v>
      </c>
      <c r="B37">
        <v>778.25</v>
      </c>
      <c r="C37">
        <f t="shared" si="0"/>
        <v>2.7135108025709648E-2</v>
      </c>
      <c r="E37" s="86">
        <v>43977</v>
      </c>
      <c r="F37" s="87">
        <v>9029.0498046875</v>
      </c>
      <c r="G37" s="88">
        <f t="shared" si="1"/>
        <v>-1.1284338094974694E-3</v>
      </c>
    </row>
    <row r="38" spans="1:7" ht="14.25" customHeight="1" x14ac:dyDescent="0.35">
      <c r="A38" s="85">
        <v>43978</v>
      </c>
      <c r="B38">
        <v>781.11</v>
      </c>
      <c r="C38">
        <f t="shared" si="0"/>
        <v>3.6749116607774027E-3</v>
      </c>
      <c r="E38" s="86">
        <v>43978</v>
      </c>
      <c r="F38" s="87">
        <v>9314.9501953125</v>
      </c>
      <c r="G38" s="88">
        <f t="shared" si="1"/>
        <v>3.1664504771761547E-2</v>
      </c>
    </row>
    <row r="39" spans="1:7" ht="14.25" customHeight="1" x14ac:dyDescent="0.35">
      <c r="A39" s="85">
        <v>43979</v>
      </c>
      <c r="B39">
        <v>793.85</v>
      </c>
      <c r="C39">
        <f t="shared" si="0"/>
        <v>1.6310122774001113E-2</v>
      </c>
      <c r="E39" s="86">
        <v>43979</v>
      </c>
      <c r="F39" s="87">
        <v>9490.099609375</v>
      </c>
      <c r="G39" s="88">
        <f t="shared" si="1"/>
        <v>1.8803043536468854E-2</v>
      </c>
    </row>
    <row r="40" spans="1:7" ht="14.25" customHeight="1" x14ac:dyDescent="0.35">
      <c r="A40" s="85">
        <v>43980</v>
      </c>
      <c r="B40">
        <v>819.63</v>
      </c>
      <c r="C40">
        <f t="shared" si="0"/>
        <v>3.2474648863135315E-2</v>
      </c>
      <c r="E40" s="86">
        <v>43980</v>
      </c>
      <c r="F40" s="87">
        <v>9580.2998046875</v>
      </c>
      <c r="G40" s="88">
        <f t="shared" si="1"/>
        <v>9.5046626511057671E-3</v>
      </c>
    </row>
    <row r="41" spans="1:7" ht="14.25" customHeight="1" x14ac:dyDescent="0.35">
      <c r="A41" s="85">
        <v>43983</v>
      </c>
      <c r="B41">
        <v>802.93</v>
      </c>
      <c r="C41">
        <f t="shared" si="0"/>
        <v>-2.0375047277430114E-2</v>
      </c>
      <c r="E41" s="86">
        <v>43983</v>
      </c>
      <c r="F41" s="87">
        <v>9826.150390625</v>
      </c>
      <c r="G41" s="88">
        <f t="shared" si="1"/>
        <v>2.5662097319460599E-2</v>
      </c>
    </row>
    <row r="42" spans="1:7" ht="14.25" customHeight="1" x14ac:dyDescent="0.35">
      <c r="A42" s="85">
        <v>43984</v>
      </c>
      <c r="B42">
        <v>795.03</v>
      </c>
      <c r="C42">
        <f t="shared" si="0"/>
        <v>-9.8389647914512816E-3</v>
      </c>
      <c r="E42" s="86">
        <v>43984</v>
      </c>
      <c r="F42" s="87">
        <v>9979.099609375</v>
      </c>
      <c r="G42" s="88">
        <f t="shared" si="1"/>
        <v>1.556552797074293E-2</v>
      </c>
    </row>
    <row r="43" spans="1:7" ht="14.25" customHeight="1" x14ac:dyDescent="0.35">
      <c r="A43" s="85">
        <v>43985</v>
      </c>
      <c r="B43">
        <v>813.4</v>
      </c>
      <c r="C43">
        <f t="shared" si="0"/>
        <v>2.3106046312717766E-2</v>
      </c>
      <c r="E43" s="86">
        <v>43985</v>
      </c>
      <c r="F43" s="87">
        <v>10061.5498046875</v>
      </c>
      <c r="G43" s="88">
        <f t="shared" si="1"/>
        <v>8.262288035990847E-3</v>
      </c>
    </row>
    <row r="44" spans="1:7" ht="14.25" customHeight="1" x14ac:dyDescent="0.35">
      <c r="A44" s="85">
        <v>43986</v>
      </c>
      <c r="B44">
        <v>803.55</v>
      </c>
      <c r="C44">
        <f t="shared" si="0"/>
        <v>-1.2109663142365407E-2</v>
      </c>
      <c r="E44" s="86">
        <v>43986</v>
      </c>
      <c r="F44" s="87">
        <v>10029.099609375</v>
      </c>
      <c r="G44" s="88">
        <f t="shared" si="1"/>
        <v>-3.2251686810099594E-3</v>
      </c>
    </row>
    <row r="45" spans="1:7" ht="14.25" customHeight="1" x14ac:dyDescent="0.35">
      <c r="A45" s="85">
        <v>43987</v>
      </c>
      <c r="B45">
        <v>798.88</v>
      </c>
      <c r="C45">
        <f t="shared" si="0"/>
        <v>-5.8117105345030914E-3</v>
      </c>
      <c r="E45" s="86">
        <v>43987</v>
      </c>
      <c r="F45" s="87">
        <v>10142.150390625</v>
      </c>
      <c r="G45" s="88">
        <f t="shared" si="1"/>
        <v>1.1272276241460641E-2</v>
      </c>
    </row>
    <row r="46" spans="1:7" ht="14.25" customHeight="1" x14ac:dyDescent="0.35">
      <c r="A46" s="85">
        <v>43990</v>
      </c>
      <c r="B46">
        <v>786.71</v>
      </c>
      <c r="C46">
        <f t="shared" si="0"/>
        <v>-1.5233827358301571E-2</v>
      </c>
      <c r="E46" s="86">
        <v>43990</v>
      </c>
      <c r="F46" s="87">
        <v>10167.4501953125</v>
      </c>
      <c r="G46" s="88">
        <f t="shared" si="1"/>
        <v>2.4945207587225419E-3</v>
      </c>
    </row>
    <row r="47" spans="1:7" ht="14.25" customHeight="1" x14ac:dyDescent="0.35">
      <c r="A47" s="85">
        <v>43991</v>
      </c>
      <c r="B47">
        <v>773.45</v>
      </c>
      <c r="C47">
        <f t="shared" si="0"/>
        <v>-1.6855003749793433E-2</v>
      </c>
      <c r="E47" s="86">
        <v>43991</v>
      </c>
      <c r="F47" s="87">
        <v>10046.650390625</v>
      </c>
      <c r="G47" s="88">
        <f t="shared" si="1"/>
        <v>-1.1881032349997872E-2</v>
      </c>
    </row>
    <row r="48" spans="1:7" ht="14.25" customHeight="1" x14ac:dyDescent="0.35">
      <c r="A48" s="85">
        <v>43992</v>
      </c>
      <c r="B48">
        <v>772.62</v>
      </c>
      <c r="C48">
        <f t="shared" si="0"/>
        <v>-1.0731139698752872E-3</v>
      </c>
      <c r="E48" s="86">
        <v>43992</v>
      </c>
      <c r="F48" s="87">
        <v>10116.150390625</v>
      </c>
      <c r="G48" s="88">
        <f t="shared" si="1"/>
        <v>6.9177285262014996E-3</v>
      </c>
    </row>
    <row r="49" spans="1:7" ht="14.25" customHeight="1" x14ac:dyDescent="0.35">
      <c r="A49" s="85">
        <v>43993</v>
      </c>
      <c r="B49">
        <v>778.93</v>
      </c>
      <c r="C49">
        <f t="shared" si="0"/>
        <v>8.1670161269446102E-3</v>
      </c>
      <c r="E49" s="86">
        <v>43993</v>
      </c>
      <c r="F49" s="87">
        <v>9902</v>
      </c>
      <c r="G49" s="88">
        <f t="shared" si="1"/>
        <v>-2.1169158460066079E-2</v>
      </c>
    </row>
    <row r="50" spans="1:7" ht="14.25" customHeight="1" x14ac:dyDescent="0.35">
      <c r="A50" s="85">
        <v>43994</v>
      </c>
      <c r="B50">
        <v>773.68</v>
      </c>
      <c r="C50">
        <f t="shared" si="0"/>
        <v>-6.7400151489864302E-3</v>
      </c>
      <c r="E50" s="86">
        <v>43994</v>
      </c>
      <c r="F50" s="87">
        <v>9972.900390625</v>
      </c>
      <c r="G50" s="88">
        <f t="shared" si="1"/>
        <v>7.1602091117955969E-3</v>
      </c>
    </row>
    <row r="51" spans="1:7" ht="14.25" customHeight="1" x14ac:dyDescent="0.35">
      <c r="A51" s="85">
        <v>43997</v>
      </c>
      <c r="B51">
        <v>769.17</v>
      </c>
      <c r="C51">
        <f t="shared" si="0"/>
        <v>-5.8292834246716878E-3</v>
      </c>
      <c r="E51" s="86">
        <v>43997</v>
      </c>
      <c r="F51" s="87">
        <v>9813.7001953125</v>
      </c>
      <c r="G51" s="88">
        <f t="shared" si="1"/>
        <v>-1.5963279394844428E-2</v>
      </c>
    </row>
    <row r="52" spans="1:7" ht="14.25" customHeight="1" x14ac:dyDescent="0.35">
      <c r="A52" s="85">
        <v>43998</v>
      </c>
      <c r="B52">
        <v>766.44</v>
      </c>
      <c r="C52">
        <f t="shared" si="0"/>
        <v>-3.5492803931509351E-3</v>
      </c>
      <c r="E52" s="86">
        <v>43998</v>
      </c>
      <c r="F52" s="87">
        <v>9914</v>
      </c>
      <c r="G52" s="88">
        <f t="shared" si="1"/>
        <v>1.0220386061458048E-2</v>
      </c>
    </row>
    <row r="53" spans="1:7" ht="14.25" customHeight="1" x14ac:dyDescent="0.35">
      <c r="A53" s="85">
        <v>43999</v>
      </c>
      <c r="B53">
        <v>759.69</v>
      </c>
      <c r="C53">
        <f t="shared" si="0"/>
        <v>-8.8069516204790973E-3</v>
      </c>
      <c r="E53" s="86">
        <v>43999</v>
      </c>
      <c r="F53" s="87">
        <v>9881.150390625</v>
      </c>
      <c r="G53" s="88">
        <f t="shared" si="1"/>
        <v>-3.3134566648174301E-3</v>
      </c>
    </row>
    <row r="54" spans="1:7" ht="14.25" customHeight="1" x14ac:dyDescent="0.35">
      <c r="A54" s="85">
        <v>44000</v>
      </c>
      <c r="B54">
        <v>758.79</v>
      </c>
      <c r="C54">
        <f t="shared" si="0"/>
        <v>-1.1846937566640219E-3</v>
      </c>
      <c r="E54" s="86">
        <v>44000</v>
      </c>
      <c r="F54" s="87">
        <v>10091.650390625</v>
      </c>
      <c r="G54" s="88">
        <f t="shared" si="1"/>
        <v>2.1303187551898549E-2</v>
      </c>
    </row>
    <row r="55" spans="1:7" ht="14.25" customHeight="1" x14ac:dyDescent="0.35">
      <c r="A55" s="85">
        <v>44001</v>
      </c>
      <c r="B55">
        <v>754.85</v>
      </c>
      <c r="C55">
        <f t="shared" si="0"/>
        <v>-5.1924774970676223E-3</v>
      </c>
      <c r="E55" s="86">
        <v>44001</v>
      </c>
      <c r="F55" s="87">
        <v>10244.400390625</v>
      </c>
      <c r="G55" s="88">
        <f t="shared" si="1"/>
        <v>1.5136275444292302E-2</v>
      </c>
    </row>
    <row r="56" spans="1:7" ht="14.25" customHeight="1" x14ac:dyDescent="0.35">
      <c r="A56" s="85">
        <v>44004</v>
      </c>
      <c r="B56">
        <v>757</v>
      </c>
      <c r="C56">
        <f t="shared" si="0"/>
        <v>2.8482479962906237E-3</v>
      </c>
      <c r="E56" s="86">
        <v>44004</v>
      </c>
      <c r="F56" s="87">
        <v>10311.2001953125</v>
      </c>
      <c r="G56" s="88">
        <f t="shared" si="1"/>
        <v>6.5206163504338216E-3</v>
      </c>
    </row>
    <row r="57" spans="1:7" ht="14.25" customHeight="1" x14ac:dyDescent="0.35">
      <c r="A57" s="85">
        <v>44005</v>
      </c>
      <c r="B57">
        <v>776.12</v>
      </c>
      <c r="C57">
        <f t="shared" si="0"/>
        <v>2.5257595772787324E-2</v>
      </c>
      <c r="E57" s="86">
        <v>44005</v>
      </c>
      <c r="F57" s="87">
        <v>10471</v>
      </c>
      <c r="G57" s="88">
        <f t="shared" si="1"/>
        <v>1.5497691991291706E-2</v>
      </c>
    </row>
    <row r="58" spans="1:7" ht="14.25" customHeight="1" x14ac:dyDescent="0.35">
      <c r="A58" s="85">
        <v>44006</v>
      </c>
      <c r="B58">
        <v>783.6</v>
      </c>
      <c r="C58">
        <f t="shared" si="0"/>
        <v>9.6376848940885659E-3</v>
      </c>
      <c r="E58" s="86">
        <v>44006</v>
      </c>
      <c r="F58" s="87">
        <v>10305.2998046875</v>
      </c>
      <c r="G58" s="88">
        <f t="shared" si="1"/>
        <v>-1.5824677233549803E-2</v>
      </c>
    </row>
    <row r="59" spans="1:7" ht="14.25" customHeight="1" x14ac:dyDescent="0.35">
      <c r="A59" s="85">
        <v>44007</v>
      </c>
      <c r="B59">
        <v>787.31</v>
      </c>
      <c r="C59">
        <f t="shared" si="0"/>
        <v>4.7345584481877524E-3</v>
      </c>
      <c r="E59" s="86">
        <v>44007</v>
      </c>
      <c r="F59" s="87">
        <v>10288.900390625</v>
      </c>
      <c r="G59" s="88">
        <f t="shared" si="1"/>
        <v>-1.5913572989929427E-3</v>
      </c>
    </row>
    <row r="60" spans="1:7" ht="14.25" customHeight="1" x14ac:dyDescent="0.35">
      <c r="A60" s="85">
        <v>44008</v>
      </c>
      <c r="B60">
        <v>782.18</v>
      </c>
      <c r="C60">
        <f t="shared" si="0"/>
        <v>-6.5158577942614673E-3</v>
      </c>
      <c r="E60" s="86">
        <v>44008</v>
      </c>
      <c r="F60" s="87">
        <v>10383</v>
      </c>
      <c r="G60" s="88">
        <f t="shared" si="1"/>
        <v>9.1457401473865295E-3</v>
      </c>
    </row>
    <row r="61" spans="1:7" ht="14.25" customHeight="1" x14ac:dyDescent="0.35">
      <c r="A61" s="85">
        <v>44011</v>
      </c>
      <c r="B61">
        <v>784.4</v>
      </c>
      <c r="C61">
        <f t="shared" si="0"/>
        <v>2.838221381267774E-3</v>
      </c>
      <c r="E61" s="86">
        <v>44011</v>
      </c>
      <c r="F61" s="87">
        <v>10312.400390625</v>
      </c>
      <c r="G61" s="88">
        <f t="shared" si="1"/>
        <v>-6.7995386087835886E-3</v>
      </c>
    </row>
    <row r="62" spans="1:7" ht="14.25" customHeight="1" x14ac:dyDescent="0.35">
      <c r="A62" s="85">
        <v>44012</v>
      </c>
      <c r="B62">
        <v>805.48</v>
      </c>
      <c r="C62">
        <f t="shared" si="0"/>
        <v>2.6874043855175982E-2</v>
      </c>
      <c r="E62" s="86">
        <v>44012</v>
      </c>
      <c r="F62" s="87">
        <v>10302.099609375</v>
      </c>
      <c r="G62" s="88">
        <f t="shared" si="1"/>
        <v>-9.9887328457149869E-4</v>
      </c>
    </row>
    <row r="63" spans="1:7" ht="14.25" customHeight="1" x14ac:dyDescent="0.35">
      <c r="A63" s="85">
        <v>44013</v>
      </c>
      <c r="B63">
        <v>787.87</v>
      </c>
      <c r="C63">
        <f t="shared" si="0"/>
        <v>-2.1862740229428433E-2</v>
      </c>
      <c r="E63" s="86">
        <v>44013</v>
      </c>
      <c r="F63" s="87">
        <v>10430.0498046875</v>
      </c>
      <c r="G63" s="88">
        <f t="shared" si="1"/>
        <v>1.2419817334717306E-2</v>
      </c>
    </row>
    <row r="64" spans="1:7" ht="14.25" customHeight="1" x14ac:dyDescent="0.35">
      <c r="A64" s="85">
        <v>44014</v>
      </c>
      <c r="B64">
        <v>787.42</v>
      </c>
      <c r="C64">
        <f t="shared" si="0"/>
        <v>-5.7116021678709113E-4</v>
      </c>
      <c r="E64" s="86">
        <v>44014</v>
      </c>
      <c r="F64" s="87">
        <v>10551.7001953125</v>
      </c>
      <c r="G64" s="88">
        <f t="shared" si="1"/>
        <v>1.1663452514898594E-2</v>
      </c>
    </row>
    <row r="65" spans="1:7" ht="14.25" customHeight="1" x14ac:dyDescent="0.35">
      <c r="A65" s="85">
        <v>44015</v>
      </c>
      <c r="B65">
        <v>783.02</v>
      </c>
      <c r="C65">
        <f t="shared" si="0"/>
        <v>-5.5878692438596647E-3</v>
      </c>
      <c r="E65" s="86">
        <v>44015</v>
      </c>
      <c r="F65" s="87">
        <v>10607.349609375</v>
      </c>
      <c r="G65" s="88">
        <f t="shared" si="1"/>
        <v>5.2739760448483703E-3</v>
      </c>
    </row>
    <row r="66" spans="1:7" ht="14.25" customHeight="1" x14ac:dyDescent="0.35">
      <c r="A66" s="85">
        <v>44018</v>
      </c>
      <c r="B66">
        <v>788.01</v>
      </c>
      <c r="C66">
        <f t="shared" si="0"/>
        <v>6.3727618707057412E-3</v>
      </c>
      <c r="E66" s="86">
        <v>44018</v>
      </c>
      <c r="F66" s="87">
        <v>10763.650390625</v>
      </c>
      <c r="G66" s="88">
        <f t="shared" si="1"/>
        <v>1.4735139974255027E-2</v>
      </c>
    </row>
    <row r="67" spans="1:7" ht="14.25" customHeight="1" x14ac:dyDescent="0.35">
      <c r="A67" s="85">
        <v>44019</v>
      </c>
      <c r="B67">
        <v>793.19</v>
      </c>
      <c r="C67">
        <f t="shared" si="0"/>
        <v>6.5735206406010889E-3</v>
      </c>
      <c r="E67" s="86">
        <v>44019</v>
      </c>
      <c r="F67" s="87">
        <v>10799.650390625</v>
      </c>
      <c r="G67" s="88">
        <f t="shared" si="1"/>
        <v>3.3445902359812369E-3</v>
      </c>
    </row>
    <row r="68" spans="1:7" ht="14.25" customHeight="1" x14ac:dyDescent="0.35">
      <c r="A68" s="85">
        <v>44020</v>
      </c>
      <c r="B68">
        <v>788.02</v>
      </c>
      <c r="C68">
        <f t="shared" si="0"/>
        <v>-6.517984341708887E-3</v>
      </c>
      <c r="E68" s="86">
        <v>44020</v>
      </c>
      <c r="F68" s="87">
        <v>10705.75</v>
      </c>
      <c r="G68" s="88">
        <f t="shared" si="1"/>
        <v>-8.6947620736420681E-3</v>
      </c>
    </row>
    <row r="69" spans="1:7" ht="14.25" customHeight="1" x14ac:dyDescent="0.35">
      <c r="A69" s="85">
        <v>44021</v>
      </c>
      <c r="B69">
        <v>786</v>
      </c>
      <c r="C69">
        <f t="shared" ref="C69:C132" si="2">(B69-B68)/B68</f>
        <v>-2.5633867160731729E-3</v>
      </c>
      <c r="E69" s="86">
        <v>44021</v>
      </c>
      <c r="F69" s="87">
        <v>10813.4501953125</v>
      </c>
      <c r="G69" s="88">
        <f t="shared" ref="G69:G132" si="3">(F69-F68)/F68</f>
        <v>1.0060032721901781E-2</v>
      </c>
    </row>
    <row r="70" spans="1:7" ht="14.25" customHeight="1" x14ac:dyDescent="0.35">
      <c r="A70" s="85">
        <v>44022</v>
      </c>
      <c r="B70">
        <v>789.47</v>
      </c>
      <c r="C70">
        <f t="shared" si="2"/>
        <v>4.4147582697201364E-3</v>
      </c>
      <c r="E70" s="86">
        <v>44022</v>
      </c>
      <c r="F70" s="87">
        <v>10768.0498046875</v>
      </c>
      <c r="G70" s="88">
        <f t="shared" si="3"/>
        <v>-4.198511095439319E-3</v>
      </c>
    </row>
    <row r="71" spans="1:7" ht="14.25" customHeight="1" x14ac:dyDescent="0.35">
      <c r="A71" s="85">
        <v>44025</v>
      </c>
      <c r="B71">
        <v>795.28</v>
      </c>
      <c r="C71">
        <f t="shared" si="2"/>
        <v>7.3593676770490899E-3</v>
      </c>
      <c r="E71" s="86">
        <v>44025</v>
      </c>
      <c r="F71" s="87">
        <v>10802.7001953125</v>
      </c>
      <c r="G71" s="88">
        <f t="shared" si="3"/>
        <v>3.2178891492418752E-3</v>
      </c>
    </row>
    <row r="72" spans="1:7" ht="14.25" customHeight="1" x14ac:dyDescent="0.35">
      <c r="A72" s="85">
        <v>44026</v>
      </c>
      <c r="B72">
        <v>792.41</v>
      </c>
      <c r="C72">
        <f t="shared" si="2"/>
        <v>-3.6087918720450717E-3</v>
      </c>
      <c r="E72" s="86">
        <v>44026</v>
      </c>
      <c r="F72" s="87">
        <v>10607.349609375</v>
      </c>
      <c r="G72" s="88">
        <f t="shared" si="3"/>
        <v>-1.8083496015400519E-2</v>
      </c>
    </row>
    <row r="73" spans="1:7" ht="14.25" customHeight="1" x14ac:dyDescent="0.35">
      <c r="A73" s="85">
        <v>44027</v>
      </c>
      <c r="B73">
        <v>793.02</v>
      </c>
      <c r="C73">
        <f t="shared" si="2"/>
        <v>7.6980351080881571E-4</v>
      </c>
      <c r="E73" s="86">
        <v>44027</v>
      </c>
      <c r="F73" s="87">
        <v>10618.2001953125</v>
      </c>
      <c r="G73" s="88">
        <f t="shared" si="3"/>
        <v>1.0229309240368605E-3</v>
      </c>
    </row>
    <row r="74" spans="1:7" ht="14.25" customHeight="1" x14ac:dyDescent="0.35">
      <c r="A74" s="85">
        <v>44028</v>
      </c>
      <c r="B74">
        <v>820.55</v>
      </c>
      <c r="C74">
        <f t="shared" si="2"/>
        <v>3.471539179339736E-2</v>
      </c>
      <c r="E74" s="86">
        <v>44028</v>
      </c>
      <c r="F74" s="87">
        <v>10739.9501953125</v>
      </c>
      <c r="G74" s="88">
        <f t="shared" si="3"/>
        <v>1.1466161662100478E-2</v>
      </c>
    </row>
    <row r="75" spans="1:7" ht="14.25" customHeight="1" x14ac:dyDescent="0.35">
      <c r="A75" s="85">
        <v>44029</v>
      </c>
      <c r="B75">
        <v>808.09</v>
      </c>
      <c r="C75">
        <f t="shared" si="2"/>
        <v>-1.518493693254515E-2</v>
      </c>
      <c r="E75" s="86">
        <v>44029</v>
      </c>
      <c r="F75" s="87">
        <v>10901.7001953125</v>
      </c>
      <c r="G75" s="88">
        <f t="shared" si="3"/>
        <v>1.5060591255869745E-2</v>
      </c>
    </row>
    <row r="76" spans="1:7" ht="14.25" customHeight="1" x14ac:dyDescent="0.35">
      <c r="A76" s="85">
        <v>44032</v>
      </c>
      <c r="B76">
        <v>808.88</v>
      </c>
      <c r="C76">
        <f t="shared" si="2"/>
        <v>9.7761387964207403E-4</v>
      </c>
      <c r="E76" s="86">
        <v>44032</v>
      </c>
      <c r="F76" s="87">
        <v>11022.2001953125</v>
      </c>
      <c r="G76" s="88">
        <f t="shared" si="3"/>
        <v>1.1053321760931606E-2</v>
      </c>
    </row>
    <row r="77" spans="1:7" ht="14.25" customHeight="1" x14ac:dyDescent="0.35">
      <c r="A77" s="85">
        <v>44033</v>
      </c>
      <c r="B77">
        <v>810.23</v>
      </c>
      <c r="C77">
        <f t="shared" si="2"/>
        <v>1.6689743843339218E-3</v>
      </c>
      <c r="E77" s="86">
        <v>44033</v>
      </c>
      <c r="F77" s="87">
        <v>11162.25</v>
      </c>
      <c r="G77" s="88">
        <f t="shared" si="3"/>
        <v>1.2706156865764434E-2</v>
      </c>
    </row>
    <row r="78" spans="1:7" ht="14.25" customHeight="1" x14ac:dyDescent="0.35">
      <c r="A78" s="85">
        <v>44034</v>
      </c>
      <c r="B78">
        <v>804.42</v>
      </c>
      <c r="C78">
        <f t="shared" si="2"/>
        <v>-7.1708033521346521E-3</v>
      </c>
      <c r="E78" s="86">
        <v>44034</v>
      </c>
      <c r="F78" s="87">
        <v>11132.599609375</v>
      </c>
      <c r="G78" s="88">
        <f t="shared" si="3"/>
        <v>-2.6563094918139263E-3</v>
      </c>
    </row>
    <row r="79" spans="1:7" ht="14.25" customHeight="1" x14ac:dyDescent="0.35">
      <c r="A79" s="85">
        <v>44035</v>
      </c>
      <c r="B79">
        <v>809.33</v>
      </c>
      <c r="C79">
        <f t="shared" si="2"/>
        <v>6.1037766340967178E-3</v>
      </c>
      <c r="E79" s="86">
        <v>44035</v>
      </c>
      <c r="F79" s="87">
        <v>11215.4501953125</v>
      </c>
      <c r="G79" s="88">
        <f t="shared" si="3"/>
        <v>7.4421598588464239E-3</v>
      </c>
    </row>
    <row r="80" spans="1:7" ht="14.25" customHeight="1" x14ac:dyDescent="0.35">
      <c r="A80" s="85">
        <v>44036</v>
      </c>
      <c r="B80">
        <v>809.11</v>
      </c>
      <c r="C80">
        <f t="shared" si="2"/>
        <v>-2.7182978513094443E-4</v>
      </c>
      <c r="E80" s="86">
        <v>44036</v>
      </c>
      <c r="F80" s="87">
        <v>11194.150390625</v>
      </c>
      <c r="G80" s="88">
        <f t="shared" si="3"/>
        <v>-1.8991484351116158E-3</v>
      </c>
    </row>
    <row r="81" spans="1:7" ht="14.25" customHeight="1" x14ac:dyDescent="0.35">
      <c r="A81" s="85">
        <v>44039</v>
      </c>
      <c r="B81">
        <v>813.73</v>
      </c>
      <c r="C81">
        <f t="shared" si="2"/>
        <v>5.7099776297413266E-3</v>
      </c>
      <c r="E81" s="86">
        <v>44039</v>
      </c>
      <c r="F81" s="87">
        <v>11131.7998046875</v>
      </c>
      <c r="G81" s="88">
        <f t="shared" si="3"/>
        <v>-5.5699256988469672E-3</v>
      </c>
    </row>
    <row r="82" spans="1:7" ht="14.25" customHeight="1" x14ac:dyDescent="0.35">
      <c r="A82" s="85">
        <v>44040</v>
      </c>
      <c r="B82">
        <v>801.77</v>
      </c>
      <c r="C82">
        <f t="shared" si="2"/>
        <v>-1.4697749867892343E-2</v>
      </c>
      <c r="E82" s="86">
        <v>44040</v>
      </c>
      <c r="F82" s="87">
        <v>11300.5498046875</v>
      </c>
      <c r="G82" s="88">
        <f t="shared" si="3"/>
        <v>1.515927369884436E-2</v>
      </c>
    </row>
    <row r="83" spans="1:7" ht="14.25" customHeight="1" x14ac:dyDescent="0.35">
      <c r="A83" s="85">
        <v>44041</v>
      </c>
      <c r="B83">
        <v>778.44</v>
      </c>
      <c r="C83">
        <f t="shared" si="2"/>
        <v>-2.9098120408595891E-2</v>
      </c>
      <c r="E83" s="86">
        <v>44041</v>
      </c>
      <c r="F83" s="87">
        <v>11202.849609375</v>
      </c>
      <c r="G83" s="88">
        <f t="shared" si="3"/>
        <v>-8.6456143286031701E-3</v>
      </c>
    </row>
    <row r="84" spans="1:7" ht="14.25" customHeight="1" x14ac:dyDescent="0.35">
      <c r="A84" s="85">
        <v>44042</v>
      </c>
      <c r="B84">
        <v>774.98</v>
      </c>
      <c r="C84">
        <f t="shared" si="2"/>
        <v>-4.4447870099173165E-3</v>
      </c>
      <c r="E84" s="86">
        <v>44042</v>
      </c>
      <c r="F84" s="87">
        <v>11102.150390625</v>
      </c>
      <c r="G84" s="88">
        <f t="shared" si="3"/>
        <v>-8.988714680747906E-3</v>
      </c>
    </row>
    <row r="85" spans="1:7" ht="14.25" customHeight="1" x14ac:dyDescent="0.35">
      <c r="A85" s="85">
        <v>44043</v>
      </c>
      <c r="B85">
        <v>774.89</v>
      </c>
      <c r="C85">
        <f t="shared" si="2"/>
        <v>-1.161320292136982E-4</v>
      </c>
      <c r="E85" s="86">
        <v>44043</v>
      </c>
      <c r="F85" s="87">
        <v>11073.4501953125</v>
      </c>
      <c r="G85" s="88">
        <f t="shared" si="3"/>
        <v>-2.5851023723057593E-3</v>
      </c>
    </row>
    <row r="86" spans="1:7" ht="14.25" customHeight="1" x14ac:dyDescent="0.35">
      <c r="A86" s="85">
        <v>44046</v>
      </c>
      <c r="B86">
        <v>775.01</v>
      </c>
      <c r="C86">
        <f t="shared" si="2"/>
        <v>1.5486068990437938E-4</v>
      </c>
      <c r="E86" s="86">
        <v>44046</v>
      </c>
      <c r="F86" s="87">
        <v>10891.599609375</v>
      </c>
      <c r="G86" s="88">
        <f t="shared" si="3"/>
        <v>-1.6422215545294015E-2</v>
      </c>
    </row>
    <row r="87" spans="1:7" ht="14.25" customHeight="1" x14ac:dyDescent="0.35">
      <c r="A87" s="85">
        <v>44047</v>
      </c>
      <c r="B87">
        <v>777.6</v>
      </c>
      <c r="C87">
        <f t="shared" si="2"/>
        <v>3.3418923626792325E-3</v>
      </c>
      <c r="E87" s="86">
        <v>44047</v>
      </c>
      <c r="F87" s="87">
        <v>11095.25</v>
      </c>
      <c r="G87" s="88">
        <f t="shared" si="3"/>
        <v>1.8697932161379389E-2</v>
      </c>
    </row>
    <row r="88" spans="1:7" ht="14.25" customHeight="1" x14ac:dyDescent="0.35">
      <c r="A88" s="85">
        <v>44048</v>
      </c>
      <c r="B88">
        <v>774.01</v>
      </c>
      <c r="C88">
        <f t="shared" si="2"/>
        <v>-4.6167695473251433E-3</v>
      </c>
      <c r="E88" s="86">
        <v>44048</v>
      </c>
      <c r="F88" s="87">
        <v>11101.650390625</v>
      </c>
      <c r="G88" s="88">
        <f t="shared" si="3"/>
        <v>5.7685862193280904E-4</v>
      </c>
    </row>
    <row r="89" spans="1:7" ht="14.25" customHeight="1" x14ac:dyDescent="0.35">
      <c r="A89" s="85">
        <v>44049</v>
      </c>
      <c r="B89">
        <v>782.16</v>
      </c>
      <c r="C89">
        <f t="shared" si="2"/>
        <v>1.0529579721192204E-2</v>
      </c>
      <c r="E89" s="86">
        <v>44049</v>
      </c>
      <c r="F89" s="87">
        <v>11200.150390625</v>
      </c>
      <c r="G89" s="88">
        <f t="shared" si="3"/>
        <v>8.872554668374371E-3</v>
      </c>
    </row>
    <row r="90" spans="1:7" ht="14.25" customHeight="1" x14ac:dyDescent="0.35">
      <c r="A90" s="85">
        <v>44050</v>
      </c>
      <c r="B90">
        <v>787.39</v>
      </c>
      <c r="C90">
        <f t="shared" si="2"/>
        <v>6.686611435000535E-3</v>
      </c>
      <c r="E90" s="86">
        <v>44050</v>
      </c>
      <c r="F90" s="87">
        <v>11214.0498046875</v>
      </c>
      <c r="G90" s="88">
        <f t="shared" si="3"/>
        <v>1.2410024488719721E-3</v>
      </c>
    </row>
    <row r="91" spans="1:7" ht="14.25" customHeight="1" x14ac:dyDescent="0.35">
      <c r="A91" s="85">
        <v>44053</v>
      </c>
      <c r="B91">
        <v>781.62</v>
      </c>
      <c r="C91">
        <f t="shared" si="2"/>
        <v>-7.3280077217134859E-3</v>
      </c>
      <c r="E91" s="86">
        <v>44053</v>
      </c>
      <c r="F91" s="87">
        <v>11270.150390625</v>
      </c>
      <c r="G91" s="88">
        <f t="shared" si="3"/>
        <v>5.0027052594371233E-3</v>
      </c>
    </row>
    <row r="92" spans="1:7" ht="14.25" customHeight="1" x14ac:dyDescent="0.35">
      <c r="A92" s="85">
        <v>44054</v>
      </c>
      <c r="B92">
        <v>779.61</v>
      </c>
      <c r="C92">
        <f t="shared" si="2"/>
        <v>-2.5715820987180357E-3</v>
      </c>
      <c r="E92" s="86">
        <v>44054</v>
      </c>
      <c r="F92" s="87">
        <v>11322.5</v>
      </c>
      <c r="G92" s="88">
        <f t="shared" si="3"/>
        <v>4.6449787767292505E-3</v>
      </c>
    </row>
    <row r="93" spans="1:7" ht="14.25" customHeight="1" x14ac:dyDescent="0.35">
      <c r="A93" s="85">
        <v>44055</v>
      </c>
      <c r="B93">
        <v>775.77</v>
      </c>
      <c r="C93">
        <f t="shared" si="2"/>
        <v>-4.9255396929234257E-3</v>
      </c>
      <c r="E93" s="86">
        <v>44055</v>
      </c>
      <c r="F93" s="87">
        <v>11308.400390625</v>
      </c>
      <c r="G93" s="88">
        <f t="shared" si="3"/>
        <v>-1.2452735151247515E-3</v>
      </c>
    </row>
    <row r="94" spans="1:7" ht="14.25" customHeight="1" x14ac:dyDescent="0.35">
      <c r="A94" s="85">
        <v>44056</v>
      </c>
      <c r="B94">
        <v>772.64</v>
      </c>
      <c r="C94">
        <f t="shared" si="2"/>
        <v>-4.0347010067416835E-3</v>
      </c>
      <c r="E94" s="86">
        <v>44056</v>
      </c>
      <c r="F94" s="87">
        <v>11300.4501953125</v>
      </c>
      <c r="G94" s="88">
        <f t="shared" si="3"/>
        <v>-7.0303447330101151E-4</v>
      </c>
    </row>
    <row r="95" spans="1:7" ht="14.25" customHeight="1" x14ac:dyDescent="0.35">
      <c r="A95" s="85">
        <v>44057</v>
      </c>
      <c r="B95">
        <v>767.04</v>
      </c>
      <c r="C95">
        <f t="shared" si="2"/>
        <v>-7.2478774073307401E-3</v>
      </c>
      <c r="E95" s="86">
        <v>44057</v>
      </c>
      <c r="F95" s="87">
        <v>11178.400390625</v>
      </c>
      <c r="G95" s="88">
        <f t="shared" si="3"/>
        <v>-1.0800437378868946E-2</v>
      </c>
    </row>
    <row r="96" spans="1:7" ht="14.25" customHeight="1" x14ac:dyDescent="0.35">
      <c r="A96" s="85">
        <v>44060</v>
      </c>
      <c r="B96">
        <v>770.23</v>
      </c>
      <c r="C96">
        <f t="shared" si="2"/>
        <v>4.158844388819429E-3</v>
      </c>
      <c r="E96" s="86">
        <v>44060</v>
      </c>
      <c r="F96" s="87">
        <v>11247.099609375</v>
      </c>
      <c r="G96" s="88">
        <f t="shared" si="3"/>
        <v>6.1457110453492112E-3</v>
      </c>
    </row>
    <row r="97" spans="1:7" ht="14.25" customHeight="1" x14ac:dyDescent="0.35">
      <c r="A97" s="85">
        <v>44061</v>
      </c>
      <c r="B97">
        <v>776.41</v>
      </c>
      <c r="C97">
        <f t="shared" si="2"/>
        <v>8.023577372992417E-3</v>
      </c>
      <c r="E97" s="86">
        <v>44061</v>
      </c>
      <c r="F97" s="87">
        <v>11385.349609375</v>
      </c>
      <c r="G97" s="88">
        <f t="shared" si="3"/>
        <v>1.2292057935075276E-2</v>
      </c>
    </row>
    <row r="98" spans="1:7" ht="14.25" customHeight="1" x14ac:dyDescent="0.35">
      <c r="A98" s="85">
        <v>44062</v>
      </c>
      <c r="B98">
        <v>766.62</v>
      </c>
      <c r="C98">
        <f t="shared" si="2"/>
        <v>-1.2609317242178699E-2</v>
      </c>
      <c r="E98" s="86">
        <v>44062</v>
      </c>
      <c r="F98" s="87">
        <v>11408.400390625</v>
      </c>
      <c r="G98" s="88">
        <f t="shared" si="3"/>
        <v>2.0246002135076617E-3</v>
      </c>
    </row>
    <row r="99" spans="1:7" ht="14.25" customHeight="1" x14ac:dyDescent="0.35">
      <c r="A99" s="85">
        <v>44063</v>
      </c>
      <c r="B99">
        <v>760.34</v>
      </c>
      <c r="C99">
        <f t="shared" si="2"/>
        <v>-8.1918029793117478E-3</v>
      </c>
      <c r="E99" s="86">
        <v>44063</v>
      </c>
      <c r="F99" s="87">
        <v>11312.2001953125</v>
      </c>
      <c r="G99" s="88">
        <f t="shared" si="3"/>
        <v>-8.432399987605076E-3</v>
      </c>
    </row>
    <row r="100" spans="1:7" ht="14.25" customHeight="1" x14ac:dyDescent="0.35">
      <c r="A100" s="85">
        <v>44064</v>
      </c>
      <c r="B100">
        <v>776.76</v>
      </c>
      <c r="C100">
        <f t="shared" si="2"/>
        <v>2.1595601967540783E-2</v>
      </c>
      <c r="E100" s="86">
        <v>44064</v>
      </c>
      <c r="F100" s="87">
        <v>11371.599609375</v>
      </c>
      <c r="G100" s="88">
        <f t="shared" si="3"/>
        <v>5.2509160938571144E-3</v>
      </c>
    </row>
    <row r="101" spans="1:7" ht="14.25" customHeight="1" x14ac:dyDescent="0.35">
      <c r="A101" s="85">
        <v>44067</v>
      </c>
      <c r="B101">
        <v>772.86</v>
      </c>
      <c r="C101">
        <f t="shared" si="2"/>
        <v>-5.0208558628147401E-3</v>
      </c>
      <c r="E101" s="86">
        <v>44067</v>
      </c>
      <c r="F101" s="87">
        <v>11466.4501953125</v>
      </c>
      <c r="G101" s="88">
        <f t="shared" si="3"/>
        <v>8.341006471886599E-3</v>
      </c>
    </row>
    <row r="102" spans="1:7" ht="14.25" customHeight="1" x14ac:dyDescent="0.35">
      <c r="A102" s="85">
        <v>44068</v>
      </c>
      <c r="B102">
        <v>763.92</v>
      </c>
      <c r="C102">
        <f t="shared" si="2"/>
        <v>-1.1567424889372013E-2</v>
      </c>
      <c r="E102" s="86">
        <v>44068</v>
      </c>
      <c r="F102" s="87">
        <v>11472.25</v>
      </c>
      <c r="G102" s="88">
        <f t="shared" si="3"/>
        <v>5.0580646919575584E-4</v>
      </c>
    </row>
    <row r="103" spans="1:7" ht="14.25" customHeight="1" x14ac:dyDescent="0.35">
      <c r="A103" s="85">
        <v>44069</v>
      </c>
      <c r="B103">
        <v>759.31</v>
      </c>
      <c r="C103">
        <f t="shared" si="2"/>
        <v>-6.0346633155304403E-3</v>
      </c>
      <c r="E103" s="86">
        <v>44069</v>
      </c>
      <c r="F103" s="87">
        <v>11549.599609375</v>
      </c>
      <c r="G103" s="88">
        <f t="shared" si="3"/>
        <v>6.7423225064830354E-3</v>
      </c>
    </row>
    <row r="104" spans="1:7" ht="14.25" customHeight="1" x14ac:dyDescent="0.35">
      <c r="A104" s="85">
        <v>44070</v>
      </c>
      <c r="B104">
        <v>755.73</v>
      </c>
      <c r="C104">
        <f t="shared" si="2"/>
        <v>-4.7148068641265457E-3</v>
      </c>
      <c r="E104" s="86">
        <v>44070</v>
      </c>
      <c r="F104" s="87">
        <v>11559.25</v>
      </c>
      <c r="G104" s="88">
        <f t="shared" si="3"/>
        <v>8.3556062126747827E-4</v>
      </c>
    </row>
    <row r="105" spans="1:7" ht="14.25" customHeight="1" x14ac:dyDescent="0.35">
      <c r="A105" s="85">
        <v>44071</v>
      </c>
      <c r="B105">
        <v>755.15</v>
      </c>
      <c r="C105">
        <f t="shared" si="2"/>
        <v>-7.6746986357566975E-4</v>
      </c>
      <c r="E105" s="86">
        <v>44071</v>
      </c>
      <c r="F105" s="87">
        <v>11647.599609375</v>
      </c>
      <c r="G105" s="88">
        <f t="shared" si="3"/>
        <v>7.6431956549949179E-3</v>
      </c>
    </row>
    <row r="106" spans="1:7" ht="14.25" customHeight="1" x14ac:dyDescent="0.35">
      <c r="A106" s="85">
        <v>44074</v>
      </c>
      <c r="B106">
        <v>748.03</v>
      </c>
      <c r="C106">
        <f t="shared" si="2"/>
        <v>-9.4285903462888229E-3</v>
      </c>
      <c r="E106" s="86">
        <v>44074</v>
      </c>
      <c r="F106" s="87">
        <v>11387.5</v>
      </c>
      <c r="G106" s="88">
        <f t="shared" si="3"/>
        <v>-2.2330747801946185E-2</v>
      </c>
    </row>
    <row r="107" spans="1:7" ht="14.25" customHeight="1" x14ac:dyDescent="0.35">
      <c r="A107" s="85">
        <v>44075</v>
      </c>
      <c r="B107">
        <v>759.64</v>
      </c>
      <c r="C107">
        <f t="shared" si="2"/>
        <v>1.5520767883641049E-2</v>
      </c>
      <c r="E107" s="86">
        <v>44075</v>
      </c>
      <c r="F107" s="87">
        <v>11470.25</v>
      </c>
      <c r="G107" s="88">
        <f t="shared" si="3"/>
        <v>7.2667398463227223E-3</v>
      </c>
    </row>
    <row r="108" spans="1:7" ht="14.25" customHeight="1" x14ac:dyDescent="0.35">
      <c r="A108" s="85">
        <v>44076</v>
      </c>
      <c r="B108">
        <v>750.05</v>
      </c>
      <c r="C108">
        <f t="shared" si="2"/>
        <v>-1.2624401032067864E-2</v>
      </c>
      <c r="E108" s="86">
        <v>44076</v>
      </c>
      <c r="F108" s="87">
        <v>11535</v>
      </c>
      <c r="G108" s="88">
        <f t="shared" si="3"/>
        <v>5.6450382511279177E-3</v>
      </c>
    </row>
    <row r="109" spans="1:7" ht="14.25" customHeight="1" x14ac:dyDescent="0.35">
      <c r="A109" s="85">
        <v>44077</v>
      </c>
      <c r="B109">
        <v>768.87</v>
      </c>
      <c r="C109">
        <f t="shared" si="2"/>
        <v>2.5091660555963003E-2</v>
      </c>
      <c r="E109" s="86">
        <v>44077</v>
      </c>
      <c r="F109" s="87">
        <v>11527.4501953125</v>
      </c>
      <c r="G109" s="88">
        <f t="shared" si="3"/>
        <v>-6.5451276007802341E-4</v>
      </c>
    </row>
    <row r="110" spans="1:7" ht="14.25" customHeight="1" x14ac:dyDescent="0.35">
      <c r="A110" s="85">
        <v>44078</v>
      </c>
      <c r="B110">
        <v>761.31</v>
      </c>
      <c r="C110">
        <f t="shared" si="2"/>
        <v>-9.8326114947911332E-3</v>
      </c>
      <c r="E110" s="86">
        <v>44078</v>
      </c>
      <c r="F110" s="87">
        <v>11333.849609375</v>
      </c>
      <c r="G110" s="88">
        <f t="shared" si="3"/>
        <v>-1.6794744948559863E-2</v>
      </c>
    </row>
    <row r="111" spans="1:7" ht="14.25" customHeight="1" x14ac:dyDescent="0.35">
      <c r="A111" s="85">
        <v>44081</v>
      </c>
      <c r="B111">
        <v>769.32</v>
      </c>
      <c r="C111">
        <f t="shared" si="2"/>
        <v>1.052133821964785E-2</v>
      </c>
      <c r="E111" s="86">
        <v>44081</v>
      </c>
      <c r="F111" s="87">
        <v>11355.0498046875</v>
      </c>
      <c r="G111" s="88">
        <f t="shared" si="3"/>
        <v>1.870520259503344E-3</v>
      </c>
    </row>
    <row r="112" spans="1:7" ht="14.25" customHeight="1" x14ac:dyDescent="0.35">
      <c r="A112" s="85">
        <v>44082</v>
      </c>
      <c r="B112">
        <v>756.33</v>
      </c>
      <c r="C112">
        <f t="shared" si="2"/>
        <v>-1.6885041335205127E-2</v>
      </c>
      <c r="E112" s="86">
        <v>44082</v>
      </c>
      <c r="F112" s="87">
        <v>11317.349609375</v>
      </c>
      <c r="G112" s="88">
        <f t="shared" si="3"/>
        <v>-3.3201259317186711E-3</v>
      </c>
    </row>
    <row r="113" spans="1:7" ht="14.25" customHeight="1" x14ac:dyDescent="0.35">
      <c r="A113" s="85">
        <v>44083</v>
      </c>
      <c r="B113">
        <v>765.06</v>
      </c>
      <c r="C113">
        <f t="shared" si="2"/>
        <v>1.1542580619570695E-2</v>
      </c>
      <c r="E113" s="86">
        <v>44083</v>
      </c>
      <c r="F113" s="87">
        <v>11278</v>
      </c>
      <c r="G113" s="88">
        <f t="shared" si="3"/>
        <v>-3.4769279675166877E-3</v>
      </c>
    </row>
    <row r="114" spans="1:7" ht="14.25" customHeight="1" x14ac:dyDescent="0.35">
      <c r="A114" s="85">
        <v>44084</v>
      </c>
      <c r="B114">
        <v>770.13</v>
      </c>
      <c r="C114">
        <f t="shared" si="2"/>
        <v>6.6269312210807656E-3</v>
      </c>
      <c r="E114" s="86">
        <v>44084</v>
      </c>
      <c r="F114" s="87">
        <v>11449.25</v>
      </c>
      <c r="G114" s="88">
        <f t="shared" si="3"/>
        <v>1.5184429863450966E-2</v>
      </c>
    </row>
    <row r="115" spans="1:7" ht="14.25" customHeight="1" x14ac:dyDescent="0.35">
      <c r="A115" s="85">
        <v>44085</v>
      </c>
      <c r="B115">
        <v>765.66</v>
      </c>
      <c r="C115">
        <f t="shared" si="2"/>
        <v>-5.8042148728137165E-3</v>
      </c>
      <c r="E115" s="86">
        <v>44085</v>
      </c>
      <c r="F115" s="87">
        <v>11464.4501953125</v>
      </c>
      <c r="G115" s="88">
        <f t="shared" si="3"/>
        <v>1.3276149365678974E-3</v>
      </c>
    </row>
    <row r="116" spans="1:7" ht="14.25" customHeight="1" x14ac:dyDescent="0.35">
      <c r="A116" s="85">
        <v>44088</v>
      </c>
      <c r="B116">
        <v>754.31</v>
      </c>
      <c r="C116">
        <f t="shared" si="2"/>
        <v>-1.4823812135935041E-2</v>
      </c>
      <c r="E116" s="86">
        <v>44088</v>
      </c>
      <c r="F116" s="87">
        <v>11440.0498046875</v>
      </c>
      <c r="G116" s="88">
        <f t="shared" si="3"/>
        <v>-2.1283524468514552E-3</v>
      </c>
    </row>
    <row r="117" spans="1:7" ht="14.25" customHeight="1" x14ac:dyDescent="0.35">
      <c r="A117" s="85">
        <v>44089</v>
      </c>
      <c r="B117">
        <v>752.32</v>
      </c>
      <c r="C117">
        <f t="shared" si="2"/>
        <v>-2.6381726345930659E-3</v>
      </c>
      <c r="E117" s="86">
        <v>44089</v>
      </c>
      <c r="F117" s="87">
        <v>11521.7998046875</v>
      </c>
      <c r="G117" s="88">
        <f t="shared" si="3"/>
        <v>7.1459479106903336E-3</v>
      </c>
    </row>
    <row r="118" spans="1:7" ht="14.25" customHeight="1" x14ac:dyDescent="0.35">
      <c r="A118" s="85">
        <v>44090</v>
      </c>
      <c r="B118">
        <v>759.68</v>
      </c>
      <c r="C118">
        <f t="shared" si="2"/>
        <v>9.7830710336025885E-3</v>
      </c>
      <c r="E118" s="86">
        <v>44090</v>
      </c>
      <c r="F118" s="87">
        <v>11604.5498046875</v>
      </c>
      <c r="G118" s="88">
        <f t="shared" si="3"/>
        <v>7.1820376506050903E-3</v>
      </c>
    </row>
    <row r="119" spans="1:7" ht="14.25" customHeight="1" x14ac:dyDescent="0.35">
      <c r="A119" s="85">
        <v>44091</v>
      </c>
      <c r="B119">
        <v>756.09</v>
      </c>
      <c r="C119">
        <f t="shared" si="2"/>
        <v>-4.7256739679864129E-3</v>
      </c>
      <c r="E119" s="86">
        <v>44091</v>
      </c>
      <c r="F119" s="87">
        <v>11516.099609375</v>
      </c>
      <c r="G119" s="88">
        <f t="shared" si="3"/>
        <v>-7.6220272911209138E-3</v>
      </c>
    </row>
    <row r="120" spans="1:7" ht="14.25" customHeight="1" x14ac:dyDescent="0.35">
      <c r="A120" s="85">
        <v>44092</v>
      </c>
      <c r="B120">
        <v>754.48</v>
      </c>
      <c r="C120">
        <f t="shared" si="2"/>
        <v>-2.1293761324710199E-3</v>
      </c>
      <c r="E120" s="86">
        <v>44092</v>
      </c>
      <c r="F120" s="87">
        <v>11504.9501953125</v>
      </c>
      <c r="G120" s="88">
        <f t="shared" si="3"/>
        <v>-9.6815887676271147E-4</v>
      </c>
    </row>
    <row r="121" spans="1:7" ht="14.25" customHeight="1" x14ac:dyDescent="0.35">
      <c r="A121" s="85">
        <v>44095</v>
      </c>
      <c r="B121">
        <v>723.7</v>
      </c>
      <c r="C121">
        <f t="shared" si="2"/>
        <v>-4.0796310041352951E-2</v>
      </c>
      <c r="E121" s="86">
        <v>44095</v>
      </c>
      <c r="F121" s="87">
        <v>11250.5498046875</v>
      </c>
      <c r="G121" s="88">
        <f t="shared" si="3"/>
        <v>-2.2112254838673809E-2</v>
      </c>
    </row>
    <row r="122" spans="1:7" ht="14.25" customHeight="1" x14ac:dyDescent="0.35">
      <c r="A122" s="85">
        <v>44096</v>
      </c>
      <c r="B122">
        <v>712.85</v>
      </c>
      <c r="C122">
        <f t="shared" si="2"/>
        <v>-1.4992400165814594E-2</v>
      </c>
      <c r="E122" s="86">
        <v>44096</v>
      </c>
      <c r="F122" s="87">
        <v>11153.650390625</v>
      </c>
      <c r="G122" s="88">
        <f t="shared" si="3"/>
        <v>-8.6128603263573144E-3</v>
      </c>
    </row>
    <row r="123" spans="1:7" ht="14.25" customHeight="1" x14ac:dyDescent="0.35">
      <c r="A123" s="85">
        <v>44097</v>
      </c>
      <c r="B123">
        <v>720.67</v>
      </c>
      <c r="C123">
        <f t="shared" si="2"/>
        <v>1.0970049800098108E-2</v>
      </c>
      <c r="E123" s="86">
        <v>44097</v>
      </c>
      <c r="F123" s="87">
        <v>11131.849609375</v>
      </c>
      <c r="G123" s="88">
        <f t="shared" si="3"/>
        <v>-1.9545871070447262E-3</v>
      </c>
    </row>
    <row r="124" spans="1:7" ht="14.25" customHeight="1" x14ac:dyDescent="0.35">
      <c r="A124" s="85">
        <v>44098</v>
      </c>
      <c r="B124">
        <v>715.64</v>
      </c>
      <c r="C124">
        <f t="shared" si="2"/>
        <v>-6.9796161904893683E-3</v>
      </c>
      <c r="E124" s="86">
        <v>44098</v>
      </c>
      <c r="F124" s="87">
        <v>10805.5498046875</v>
      </c>
      <c r="G124" s="88">
        <f t="shared" si="3"/>
        <v>-2.9312272096516417E-2</v>
      </c>
    </row>
    <row r="125" spans="1:7" ht="14.25" customHeight="1" x14ac:dyDescent="0.35">
      <c r="A125" s="85">
        <v>44099</v>
      </c>
      <c r="B125">
        <v>738.06</v>
      </c>
      <c r="C125">
        <f t="shared" si="2"/>
        <v>3.1328600972555978E-2</v>
      </c>
      <c r="E125" s="86">
        <v>44099</v>
      </c>
      <c r="F125" s="87">
        <v>11050.25</v>
      </c>
      <c r="G125" s="88">
        <f t="shared" si="3"/>
        <v>2.264578848235449E-2</v>
      </c>
    </row>
    <row r="126" spans="1:7" ht="14.25" customHeight="1" x14ac:dyDescent="0.35">
      <c r="A126" s="85">
        <v>44102</v>
      </c>
      <c r="B126">
        <v>737.26</v>
      </c>
      <c r="C126">
        <f t="shared" si="2"/>
        <v>-1.0839227163102656E-3</v>
      </c>
      <c r="E126" s="86">
        <v>44102</v>
      </c>
      <c r="F126" s="87">
        <v>11227.5498046875</v>
      </c>
      <c r="G126" s="88">
        <f t="shared" si="3"/>
        <v>1.6044868187371327E-2</v>
      </c>
    </row>
    <row r="127" spans="1:7" ht="14.25" customHeight="1" x14ac:dyDescent="0.35">
      <c r="A127" s="85">
        <v>44103</v>
      </c>
      <c r="B127">
        <v>732.62</v>
      </c>
      <c r="C127">
        <f t="shared" si="2"/>
        <v>-6.2935735018853408E-3</v>
      </c>
      <c r="E127" s="86">
        <v>44103</v>
      </c>
      <c r="F127" s="87">
        <v>11222.400390625</v>
      </c>
      <c r="G127" s="88">
        <f t="shared" si="3"/>
        <v>-4.5864094589454597E-4</v>
      </c>
    </row>
    <row r="128" spans="1:7" ht="14.25" customHeight="1" x14ac:dyDescent="0.35">
      <c r="A128" s="85">
        <v>44104</v>
      </c>
      <c r="B128">
        <v>746.59</v>
      </c>
      <c r="C128">
        <f t="shared" si="2"/>
        <v>1.9068548497174563E-2</v>
      </c>
      <c r="E128" s="86">
        <v>44104</v>
      </c>
      <c r="F128" s="87">
        <v>11247.5498046875</v>
      </c>
      <c r="G128" s="88">
        <f t="shared" si="3"/>
        <v>2.2410013176422921E-3</v>
      </c>
    </row>
    <row r="129" spans="1:7" ht="14.25" customHeight="1" x14ac:dyDescent="0.35">
      <c r="A129" s="85">
        <v>44105</v>
      </c>
      <c r="B129">
        <v>750.42</v>
      </c>
      <c r="C129">
        <f t="shared" si="2"/>
        <v>5.1299910258641654E-3</v>
      </c>
      <c r="E129" s="86">
        <v>44105</v>
      </c>
      <c r="F129" s="87">
        <v>11416.9501953125</v>
      </c>
      <c r="G129" s="88">
        <f t="shared" si="3"/>
        <v>1.5061092732783554E-2</v>
      </c>
    </row>
    <row r="130" spans="1:7" ht="14.25" customHeight="1" x14ac:dyDescent="0.35">
      <c r="A130" s="85">
        <v>44109</v>
      </c>
      <c r="B130">
        <v>751.96</v>
      </c>
      <c r="C130">
        <f t="shared" si="2"/>
        <v>2.0521841102317069E-3</v>
      </c>
      <c r="E130" s="86">
        <v>44109</v>
      </c>
      <c r="F130" s="87">
        <v>11503.349609375</v>
      </c>
      <c r="G130" s="88">
        <f t="shared" si="3"/>
        <v>7.5676439490796176E-3</v>
      </c>
    </row>
    <row r="131" spans="1:7" ht="14.25" customHeight="1" x14ac:dyDescent="0.35">
      <c r="A131" s="85">
        <v>44110</v>
      </c>
      <c r="B131">
        <v>744.62</v>
      </c>
      <c r="C131">
        <f t="shared" si="2"/>
        <v>-9.7611575083781463E-3</v>
      </c>
      <c r="E131" s="86">
        <v>44110</v>
      </c>
      <c r="F131" s="87">
        <v>11662.400390625</v>
      </c>
      <c r="G131" s="88">
        <f t="shared" si="3"/>
        <v>1.3826475474619739E-2</v>
      </c>
    </row>
    <row r="132" spans="1:7" ht="14.25" customHeight="1" x14ac:dyDescent="0.35">
      <c r="A132" s="85">
        <v>44111</v>
      </c>
      <c r="B132">
        <v>755.77</v>
      </c>
      <c r="C132">
        <f t="shared" si="2"/>
        <v>1.4974080739168942E-2</v>
      </c>
      <c r="E132" s="86">
        <v>44111</v>
      </c>
      <c r="F132" s="87">
        <v>11738.849609375</v>
      </c>
      <c r="G132" s="88">
        <f t="shared" si="3"/>
        <v>6.5551872847252682E-3</v>
      </c>
    </row>
    <row r="133" spans="1:7" ht="14.25" customHeight="1" x14ac:dyDescent="0.35">
      <c r="A133" s="85">
        <v>44112</v>
      </c>
      <c r="B133">
        <v>764.69</v>
      </c>
      <c r="C133">
        <f t="shared" ref="C133:C196" si="4">(B133-B132)/B132</f>
        <v>1.1802532516506441E-2</v>
      </c>
      <c r="E133" s="86">
        <v>44112</v>
      </c>
      <c r="F133" s="87">
        <v>11834.599609375</v>
      </c>
      <c r="G133" s="88">
        <f t="shared" ref="G133:G196" si="5">(F133-F132)/F132</f>
        <v>8.1566766068398352E-3</v>
      </c>
    </row>
    <row r="134" spans="1:7" ht="14.25" customHeight="1" x14ac:dyDescent="0.35">
      <c r="A134" s="85">
        <v>44113</v>
      </c>
      <c r="B134">
        <v>752</v>
      </c>
      <c r="C134">
        <f t="shared" si="4"/>
        <v>-1.6594960049170323E-2</v>
      </c>
      <c r="E134" s="86">
        <v>44113</v>
      </c>
      <c r="F134" s="87">
        <v>11914.2001953125</v>
      </c>
      <c r="G134" s="88">
        <f t="shared" si="5"/>
        <v>6.7260903253915667E-3</v>
      </c>
    </row>
    <row r="135" spans="1:7" ht="14.25" customHeight="1" x14ac:dyDescent="0.35">
      <c r="A135" s="85">
        <v>44116</v>
      </c>
      <c r="B135">
        <v>745.81</v>
      </c>
      <c r="C135">
        <f t="shared" si="4"/>
        <v>-8.2313829787234762E-3</v>
      </c>
      <c r="E135" s="86">
        <v>44116</v>
      </c>
      <c r="F135" s="87">
        <v>11930.9501953125</v>
      </c>
      <c r="G135" s="88">
        <f t="shared" si="5"/>
        <v>1.4058853909967107E-3</v>
      </c>
    </row>
    <row r="136" spans="1:7" ht="14.25" customHeight="1" x14ac:dyDescent="0.35">
      <c r="A136" s="85">
        <v>44117</v>
      </c>
      <c r="B136">
        <v>735.06</v>
      </c>
      <c r="C136">
        <f t="shared" si="4"/>
        <v>-1.4413858757592417E-2</v>
      </c>
      <c r="E136" s="86">
        <v>44117</v>
      </c>
      <c r="F136" s="87">
        <v>11934.5</v>
      </c>
      <c r="G136" s="88">
        <f t="shared" si="5"/>
        <v>2.9752908438882491E-4</v>
      </c>
    </row>
    <row r="137" spans="1:7" ht="14.25" customHeight="1" x14ac:dyDescent="0.35">
      <c r="A137" s="85">
        <v>44118</v>
      </c>
      <c r="B137">
        <v>735.07</v>
      </c>
      <c r="C137">
        <f t="shared" si="4"/>
        <v>1.3604331619329841E-5</v>
      </c>
      <c r="E137" s="86">
        <v>44118</v>
      </c>
      <c r="F137" s="87">
        <v>11971.0498046875</v>
      </c>
      <c r="G137" s="88">
        <f t="shared" si="5"/>
        <v>3.0625333853533873E-3</v>
      </c>
    </row>
    <row r="138" spans="1:7" ht="14.25" customHeight="1" x14ac:dyDescent="0.35">
      <c r="A138" s="85">
        <v>44119</v>
      </c>
      <c r="B138">
        <v>731.77</v>
      </c>
      <c r="C138">
        <f t="shared" si="4"/>
        <v>-4.4893683594760606E-3</v>
      </c>
      <c r="E138" s="86">
        <v>44119</v>
      </c>
      <c r="F138" s="87">
        <v>11680.349609375</v>
      </c>
      <c r="G138" s="88">
        <f t="shared" si="5"/>
        <v>-2.4283600858353342E-2</v>
      </c>
    </row>
    <row r="139" spans="1:7" ht="14.25" customHeight="1" x14ac:dyDescent="0.35">
      <c r="A139" s="85">
        <v>44120</v>
      </c>
      <c r="B139">
        <v>723.68</v>
      </c>
      <c r="C139">
        <f t="shared" si="4"/>
        <v>-1.1055386255244179E-2</v>
      </c>
      <c r="E139" s="86">
        <v>44120</v>
      </c>
      <c r="F139" s="87">
        <v>11762.4501953125</v>
      </c>
      <c r="G139" s="88">
        <f t="shared" si="5"/>
        <v>7.0289493622351512E-3</v>
      </c>
    </row>
    <row r="140" spans="1:7" ht="14.25" customHeight="1" x14ac:dyDescent="0.35">
      <c r="A140" s="85">
        <v>44123</v>
      </c>
      <c r="B140">
        <v>754.77</v>
      </c>
      <c r="C140">
        <f t="shared" si="4"/>
        <v>4.2960977227503916E-2</v>
      </c>
      <c r="E140" s="86">
        <v>44123</v>
      </c>
      <c r="F140" s="87">
        <v>11873.0498046875</v>
      </c>
      <c r="G140" s="88">
        <f t="shared" si="5"/>
        <v>9.4027696218493221E-3</v>
      </c>
    </row>
    <row r="141" spans="1:7" ht="14.25" customHeight="1" x14ac:dyDescent="0.35">
      <c r="A141" s="85">
        <v>44124</v>
      </c>
      <c r="B141">
        <v>762.25</v>
      </c>
      <c r="C141">
        <f t="shared" si="4"/>
        <v>9.9103038011579929E-3</v>
      </c>
      <c r="E141" s="86">
        <v>44124</v>
      </c>
      <c r="F141" s="87">
        <v>11896.7998046875</v>
      </c>
      <c r="G141" s="88">
        <f t="shared" si="5"/>
        <v>2.000328507897226E-3</v>
      </c>
    </row>
    <row r="142" spans="1:7" ht="14.25" customHeight="1" x14ac:dyDescent="0.35">
      <c r="A142" s="85">
        <v>44125</v>
      </c>
      <c r="B142">
        <v>751.85</v>
      </c>
      <c r="C142">
        <f t="shared" si="4"/>
        <v>-1.364381764512952E-2</v>
      </c>
      <c r="E142" s="86">
        <v>44125</v>
      </c>
      <c r="F142" s="87">
        <v>11937.650390625</v>
      </c>
      <c r="G142" s="88">
        <f t="shared" si="5"/>
        <v>3.4337457642520234E-3</v>
      </c>
    </row>
    <row r="143" spans="1:7" ht="14.25" customHeight="1" x14ac:dyDescent="0.35">
      <c r="A143" s="85">
        <v>44126</v>
      </c>
      <c r="B143">
        <v>746.15</v>
      </c>
      <c r="C143">
        <f t="shared" si="4"/>
        <v>-7.581299461328783E-3</v>
      </c>
      <c r="E143" s="86">
        <v>44126</v>
      </c>
      <c r="F143" s="87">
        <v>11896.4501953125</v>
      </c>
      <c r="G143" s="88">
        <f t="shared" si="5"/>
        <v>-3.4512817819539903E-3</v>
      </c>
    </row>
    <row r="144" spans="1:7" ht="14.25" customHeight="1" x14ac:dyDescent="0.35">
      <c r="A144" s="85">
        <v>44127</v>
      </c>
      <c r="B144">
        <v>744.09</v>
      </c>
      <c r="C144">
        <f t="shared" si="4"/>
        <v>-2.7608389733966968E-3</v>
      </c>
      <c r="E144" s="86">
        <v>44127</v>
      </c>
      <c r="F144" s="87">
        <v>11930.349609375</v>
      </c>
      <c r="G144" s="88">
        <f t="shared" si="5"/>
        <v>2.8495402835256875E-3</v>
      </c>
    </row>
    <row r="145" spans="1:7" ht="14.25" customHeight="1" x14ac:dyDescent="0.35">
      <c r="A145" s="85">
        <v>44130</v>
      </c>
      <c r="B145">
        <v>762.56</v>
      </c>
      <c r="C145">
        <f t="shared" si="4"/>
        <v>2.4822266123721477E-2</v>
      </c>
      <c r="E145" s="86">
        <v>44130</v>
      </c>
      <c r="F145" s="87">
        <v>11767.75</v>
      </c>
      <c r="G145" s="88">
        <f t="shared" si="5"/>
        <v>-1.3629073304543183E-2</v>
      </c>
    </row>
    <row r="146" spans="1:7" ht="14.25" customHeight="1" x14ac:dyDescent="0.35">
      <c r="A146" s="85">
        <v>44131</v>
      </c>
      <c r="B146">
        <v>808.08</v>
      </c>
      <c r="C146">
        <f t="shared" si="4"/>
        <v>5.9693663449433616E-2</v>
      </c>
      <c r="E146" s="86">
        <v>44131</v>
      </c>
      <c r="F146" s="87">
        <v>11889.400390625</v>
      </c>
      <c r="G146" s="88">
        <f t="shared" si="5"/>
        <v>1.0337608346965222E-2</v>
      </c>
    </row>
    <row r="147" spans="1:7" ht="14.25" customHeight="1" x14ac:dyDescent="0.35">
      <c r="A147" s="85">
        <v>44132</v>
      </c>
      <c r="B147">
        <v>802.89</v>
      </c>
      <c r="C147">
        <f t="shared" si="4"/>
        <v>-6.4226314226314895E-3</v>
      </c>
      <c r="E147" s="86">
        <v>44132</v>
      </c>
      <c r="F147" s="87">
        <v>11729.599609375</v>
      </c>
      <c r="G147" s="88">
        <f t="shared" si="5"/>
        <v>-1.3440608945763632E-2</v>
      </c>
    </row>
    <row r="148" spans="1:7" ht="14.25" customHeight="1" x14ac:dyDescent="0.35">
      <c r="A148" s="85">
        <v>44133</v>
      </c>
      <c r="B148">
        <v>797.52</v>
      </c>
      <c r="C148">
        <f t="shared" si="4"/>
        <v>-6.6883383776108864E-3</v>
      </c>
      <c r="E148" s="86">
        <v>44133</v>
      </c>
      <c r="F148" s="87">
        <v>11670.7998046875</v>
      </c>
      <c r="G148" s="88">
        <f t="shared" si="5"/>
        <v>-5.012942184360979E-3</v>
      </c>
    </row>
    <row r="149" spans="1:7" ht="14.25" customHeight="1" x14ac:dyDescent="0.35">
      <c r="A149" s="85">
        <v>44134</v>
      </c>
      <c r="B149">
        <v>811.28</v>
      </c>
      <c r="C149">
        <f t="shared" si="4"/>
        <v>1.7253485805998586E-2</v>
      </c>
      <c r="E149" s="86">
        <v>44134</v>
      </c>
      <c r="F149" s="87">
        <v>11642.400390625</v>
      </c>
      <c r="G149" s="88">
        <f t="shared" si="5"/>
        <v>-2.4333734223676395E-3</v>
      </c>
    </row>
    <row r="150" spans="1:7" ht="14.25" customHeight="1" x14ac:dyDescent="0.35">
      <c r="A150" s="85">
        <v>44137</v>
      </c>
      <c r="B150">
        <v>809.07</v>
      </c>
      <c r="C150">
        <f t="shared" si="4"/>
        <v>-2.724090326397696E-3</v>
      </c>
      <c r="E150" s="86">
        <v>44137</v>
      </c>
      <c r="F150" s="87">
        <v>11669.150390625</v>
      </c>
      <c r="G150" s="88">
        <f t="shared" si="5"/>
        <v>2.2976361491175257E-3</v>
      </c>
    </row>
    <row r="151" spans="1:7" ht="14.25" customHeight="1" x14ac:dyDescent="0.35">
      <c r="A151" s="85">
        <v>44138</v>
      </c>
      <c r="B151">
        <v>798.56</v>
      </c>
      <c r="C151">
        <f t="shared" si="4"/>
        <v>-1.2990223342850561E-2</v>
      </c>
      <c r="E151" s="86">
        <v>44138</v>
      </c>
      <c r="F151" s="87">
        <v>11813.5</v>
      </c>
      <c r="G151" s="88">
        <f t="shared" si="5"/>
        <v>1.2370190163199074E-2</v>
      </c>
    </row>
    <row r="152" spans="1:7" ht="14.25" customHeight="1" x14ac:dyDescent="0.35">
      <c r="A152" s="85">
        <v>44139</v>
      </c>
      <c r="B152">
        <v>803.5</v>
      </c>
      <c r="C152">
        <f t="shared" si="4"/>
        <v>6.186135043077608E-3</v>
      </c>
      <c r="E152" s="86">
        <v>44139</v>
      </c>
      <c r="F152" s="87">
        <v>11908.5</v>
      </c>
      <c r="G152" s="88">
        <f t="shared" si="5"/>
        <v>8.041647267956151E-3</v>
      </c>
    </row>
    <row r="153" spans="1:7" ht="14.25" customHeight="1" x14ac:dyDescent="0.35">
      <c r="A153" s="85">
        <v>44140</v>
      </c>
      <c r="B153">
        <v>814.1</v>
      </c>
      <c r="C153">
        <f t="shared" si="4"/>
        <v>1.3192283758556344E-2</v>
      </c>
      <c r="E153" s="86">
        <v>44140</v>
      </c>
      <c r="F153" s="87">
        <v>12120.2998046875</v>
      </c>
      <c r="G153" s="88">
        <f t="shared" si="5"/>
        <v>1.7785598915690475E-2</v>
      </c>
    </row>
    <row r="154" spans="1:7" ht="14.25" customHeight="1" x14ac:dyDescent="0.35">
      <c r="A154" s="85">
        <v>44141</v>
      </c>
      <c r="B154">
        <v>803.95</v>
      </c>
      <c r="C154">
        <f t="shared" si="4"/>
        <v>-1.2467755803955261E-2</v>
      </c>
      <c r="E154" s="86">
        <v>44141</v>
      </c>
      <c r="F154" s="87">
        <v>12263.5498046875</v>
      </c>
      <c r="G154" s="88">
        <f t="shared" si="5"/>
        <v>1.1819014571289595E-2</v>
      </c>
    </row>
    <row r="155" spans="1:7" ht="14.25" customHeight="1" x14ac:dyDescent="0.35">
      <c r="A155" s="85">
        <v>44144</v>
      </c>
      <c r="B155">
        <v>819.33</v>
      </c>
      <c r="C155">
        <f t="shared" si="4"/>
        <v>1.9130542944212941E-2</v>
      </c>
      <c r="E155" s="86">
        <v>44144</v>
      </c>
      <c r="F155" s="87">
        <v>12461.0498046875</v>
      </c>
      <c r="G155" s="88">
        <f t="shared" si="5"/>
        <v>1.6104635537461554E-2</v>
      </c>
    </row>
    <row r="156" spans="1:7" ht="14.25" customHeight="1" x14ac:dyDescent="0.35">
      <c r="A156" s="85">
        <v>44145</v>
      </c>
      <c r="B156">
        <v>784.95</v>
      </c>
      <c r="C156">
        <f t="shared" si="4"/>
        <v>-4.1961114569221185E-2</v>
      </c>
      <c r="E156" s="86">
        <v>44145</v>
      </c>
      <c r="F156" s="87">
        <v>12631.099609375</v>
      </c>
      <c r="G156" s="88">
        <f t="shared" si="5"/>
        <v>1.3646507104363872E-2</v>
      </c>
    </row>
    <row r="157" spans="1:7" ht="14.25" customHeight="1" x14ac:dyDescent="0.35">
      <c r="A157" s="85">
        <v>44146</v>
      </c>
      <c r="B157">
        <v>789.34</v>
      </c>
      <c r="C157">
        <f t="shared" si="4"/>
        <v>5.5927129116504059E-3</v>
      </c>
      <c r="E157" s="86">
        <v>44146</v>
      </c>
      <c r="F157" s="87">
        <v>12749.150390625</v>
      </c>
      <c r="G157" s="88">
        <f t="shared" si="5"/>
        <v>9.3460415087203378E-3</v>
      </c>
    </row>
    <row r="158" spans="1:7" ht="14.25" customHeight="1" x14ac:dyDescent="0.35">
      <c r="A158" s="85">
        <v>44147</v>
      </c>
      <c r="B158">
        <v>790.34</v>
      </c>
      <c r="C158">
        <f t="shared" si="4"/>
        <v>1.2668811918818252E-3</v>
      </c>
      <c r="E158" s="86">
        <v>44147</v>
      </c>
      <c r="F158" s="87">
        <v>12690.7998046875</v>
      </c>
      <c r="G158" s="88">
        <f t="shared" si="5"/>
        <v>-4.5768215253314216E-3</v>
      </c>
    </row>
    <row r="159" spans="1:7" ht="14.25" customHeight="1" x14ac:dyDescent="0.35">
      <c r="A159" s="85">
        <v>44148</v>
      </c>
      <c r="B159">
        <v>795.4</v>
      </c>
      <c r="C159">
        <f t="shared" si="4"/>
        <v>6.402307867499994E-3</v>
      </c>
      <c r="E159" s="86">
        <v>44148</v>
      </c>
      <c r="F159" s="87">
        <v>12719.9501953125</v>
      </c>
      <c r="G159" s="88">
        <f t="shared" si="5"/>
        <v>2.2969703307614193E-3</v>
      </c>
    </row>
    <row r="160" spans="1:7" ht="14.25" customHeight="1" x14ac:dyDescent="0.35">
      <c r="A160" s="85">
        <v>44152</v>
      </c>
      <c r="B160">
        <v>802.83</v>
      </c>
      <c r="C160">
        <f t="shared" si="4"/>
        <v>9.3412119688207999E-3</v>
      </c>
      <c r="E160" s="86">
        <v>44152</v>
      </c>
      <c r="F160" s="87">
        <v>12874.2001953125</v>
      </c>
      <c r="G160" s="88">
        <f t="shared" si="5"/>
        <v>1.2126619808373427E-2</v>
      </c>
    </row>
    <row r="161" spans="1:7" ht="14.25" customHeight="1" x14ac:dyDescent="0.35">
      <c r="A161" s="85">
        <v>44153</v>
      </c>
      <c r="B161">
        <v>797.62</v>
      </c>
      <c r="C161">
        <f t="shared" si="4"/>
        <v>-6.4895432407857659E-3</v>
      </c>
      <c r="E161" s="86">
        <v>44153</v>
      </c>
      <c r="F161" s="87">
        <v>12938.25</v>
      </c>
      <c r="G161" s="88">
        <f t="shared" si="5"/>
        <v>4.9750511655722541E-3</v>
      </c>
    </row>
    <row r="162" spans="1:7" ht="14.25" customHeight="1" x14ac:dyDescent="0.35">
      <c r="A162" s="85">
        <v>44154</v>
      </c>
      <c r="B162">
        <v>800.53</v>
      </c>
      <c r="C162">
        <f t="shared" si="4"/>
        <v>3.6483538527117779E-3</v>
      </c>
      <c r="E162" s="86">
        <v>44154</v>
      </c>
      <c r="F162" s="87">
        <v>12771.7001953125</v>
      </c>
      <c r="G162" s="88">
        <f t="shared" si="5"/>
        <v>-1.2872668613413716E-2</v>
      </c>
    </row>
    <row r="163" spans="1:7" ht="14.25" customHeight="1" x14ac:dyDescent="0.35">
      <c r="A163" s="85">
        <v>44155</v>
      </c>
      <c r="B163">
        <v>825.4</v>
      </c>
      <c r="C163">
        <f t="shared" si="4"/>
        <v>3.1066918166714558E-2</v>
      </c>
      <c r="E163" s="86">
        <v>44155</v>
      </c>
      <c r="F163" s="87">
        <v>12859.0498046875</v>
      </c>
      <c r="G163" s="88">
        <f t="shared" si="5"/>
        <v>6.83930941371919E-3</v>
      </c>
    </row>
    <row r="164" spans="1:7" ht="14.25" customHeight="1" x14ac:dyDescent="0.35">
      <c r="A164" s="85">
        <v>44158</v>
      </c>
      <c r="B164">
        <v>840.81</v>
      </c>
      <c r="C164">
        <f t="shared" si="4"/>
        <v>1.8669735885631172E-2</v>
      </c>
      <c r="E164" s="86">
        <v>44158</v>
      </c>
      <c r="F164" s="87">
        <v>12926.4501953125</v>
      </c>
      <c r="G164" s="88">
        <f t="shared" si="5"/>
        <v>5.241475198302023E-3</v>
      </c>
    </row>
    <row r="165" spans="1:7" ht="14.25" customHeight="1" x14ac:dyDescent="0.35">
      <c r="A165" s="85">
        <v>44159</v>
      </c>
      <c r="B165">
        <v>835.67</v>
      </c>
      <c r="C165">
        <f t="shared" si="4"/>
        <v>-6.1131527931399324E-3</v>
      </c>
      <c r="E165" s="86">
        <v>44159</v>
      </c>
      <c r="F165" s="87">
        <v>13055.150390625</v>
      </c>
      <c r="G165" s="88">
        <f t="shared" si="5"/>
        <v>9.9563448098976444E-3</v>
      </c>
    </row>
    <row r="166" spans="1:7" ht="14.25" customHeight="1" x14ac:dyDescent="0.35">
      <c r="A166" s="85">
        <v>44160</v>
      </c>
      <c r="B166">
        <v>828.23</v>
      </c>
      <c r="C166">
        <f t="shared" si="4"/>
        <v>-8.9030358873717387E-3</v>
      </c>
      <c r="E166" s="86">
        <v>44160</v>
      </c>
      <c r="F166" s="87">
        <v>12858.400390625</v>
      </c>
      <c r="G166" s="88">
        <f t="shared" si="5"/>
        <v>-1.507068046809232E-2</v>
      </c>
    </row>
    <row r="167" spans="1:7" ht="14.25" customHeight="1" x14ac:dyDescent="0.35">
      <c r="A167" s="85">
        <v>44161</v>
      </c>
      <c r="B167">
        <v>838.71</v>
      </c>
      <c r="C167">
        <f t="shared" si="4"/>
        <v>1.2653489972592176E-2</v>
      </c>
      <c r="E167" s="86">
        <v>44161</v>
      </c>
      <c r="F167" s="87">
        <v>12987</v>
      </c>
      <c r="G167" s="88">
        <f t="shared" si="5"/>
        <v>1.0001213639976662E-2</v>
      </c>
    </row>
    <row r="168" spans="1:7" ht="14.25" customHeight="1" x14ac:dyDescent="0.35">
      <c r="A168" s="85">
        <v>44162</v>
      </c>
      <c r="B168">
        <v>845.66</v>
      </c>
      <c r="C168">
        <f t="shared" si="4"/>
        <v>8.2865352744094286E-3</v>
      </c>
      <c r="E168" s="86">
        <v>44162</v>
      </c>
      <c r="F168" s="87">
        <v>12968.9501953125</v>
      </c>
      <c r="G168" s="88">
        <f t="shared" si="5"/>
        <v>-1.3898363507738507E-3</v>
      </c>
    </row>
    <row r="169" spans="1:7" ht="14.25" customHeight="1" x14ac:dyDescent="0.35">
      <c r="A169" s="85">
        <v>44166</v>
      </c>
      <c r="B169">
        <v>823.41</v>
      </c>
      <c r="C169">
        <f t="shared" si="4"/>
        <v>-2.6310810491213962E-2</v>
      </c>
      <c r="E169" s="86">
        <v>44166</v>
      </c>
      <c r="F169" s="87">
        <v>13109.0498046875</v>
      </c>
      <c r="G169" s="88">
        <f t="shared" si="5"/>
        <v>1.0802694687318455E-2</v>
      </c>
    </row>
    <row r="170" spans="1:7" ht="14.25" customHeight="1" x14ac:dyDescent="0.35">
      <c r="A170" s="85">
        <v>44167</v>
      </c>
      <c r="B170">
        <v>816.23</v>
      </c>
      <c r="C170">
        <f t="shared" si="4"/>
        <v>-8.7198358047630587E-3</v>
      </c>
      <c r="E170" s="86">
        <v>44167</v>
      </c>
      <c r="F170" s="87">
        <v>13113.75</v>
      </c>
      <c r="G170" s="88">
        <f t="shared" si="5"/>
        <v>3.5854584295036521E-4</v>
      </c>
    </row>
    <row r="171" spans="1:7" ht="14.25" customHeight="1" x14ac:dyDescent="0.35">
      <c r="A171" s="85">
        <v>44168</v>
      </c>
      <c r="B171">
        <v>826.9</v>
      </c>
      <c r="C171">
        <f t="shared" si="4"/>
        <v>1.3072295798978178E-2</v>
      </c>
      <c r="E171" s="86">
        <v>44168</v>
      </c>
      <c r="F171" s="87">
        <v>13133.900390625</v>
      </c>
      <c r="G171" s="88">
        <f t="shared" si="5"/>
        <v>1.5365849299399485E-3</v>
      </c>
    </row>
    <row r="172" spans="1:7" ht="14.25" customHeight="1" x14ac:dyDescent="0.35">
      <c r="A172" s="85">
        <v>44169</v>
      </c>
      <c r="B172">
        <v>842.81</v>
      </c>
      <c r="C172">
        <f t="shared" si="4"/>
        <v>1.9240536945217039E-2</v>
      </c>
      <c r="E172" s="86">
        <v>44169</v>
      </c>
      <c r="F172" s="87">
        <v>13258.5498046875</v>
      </c>
      <c r="G172" s="88">
        <f t="shared" si="5"/>
        <v>9.4906623588736031E-3</v>
      </c>
    </row>
    <row r="173" spans="1:7" ht="14.25" customHeight="1" x14ac:dyDescent="0.35">
      <c r="A173" s="85">
        <v>44172</v>
      </c>
      <c r="B173">
        <v>830.23</v>
      </c>
      <c r="C173">
        <f t="shared" si="4"/>
        <v>-1.4926258587344631E-2</v>
      </c>
      <c r="E173" s="86">
        <v>44172</v>
      </c>
      <c r="F173" s="87">
        <v>13355.75</v>
      </c>
      <c r="G173" s="88">
        <f t="shared" si="5"/>
        <v>7.3311332494399436E-3</v>
      </c>
    </row>
    <row r="174" spans="1:7" ht="14.25" customHeight="1" x14ac:dyDescent="0.35">
      <c r="A174" s="85">
        <v>44173</v>
      </c>
      <c r="B174">
        <v>828.19</v>
      </c>
      <c r="C174">
        <f t="shared" si="4"/>
        <v>-2.4571504281945527E-3</v>
      </c>
      <c r="E174" s="86">
        <v>44173</v>
      </c>
      <c r="F174" s="87">
        <v>13392.9501953125</v>
      </c>
      <c r="G174" s="88">
        <f t="shared" si="5"/>
        <v>2.7853318093330587E-3</v>
      </c>
    </row>
    <row r="175" spans="1:7" ht="14.25" customHeight="1" x14ac:dyDescent="0.35">
      <c r="A175" s="85">
        <v>44174</v>
      </c>
      <c r="B175">
        <v>830.54</v>
      </c>
      <c r="C175">
        <f t="shared" si="4"/>
        <v>2.8375131310446984E-3</v>
      </c>
      <c r="E175" s="86">
        <v>44174</v>
      </c>
      <c r="F175" s="87">
        <v>13529.099609375</v>
      </c>
      <c r="G175" s="88">
        <f t="shared" si="5"/>
        <v>1.0165752285866931E-2</v>
      </c>
    </row>
    <row r="176" spans="1:7" ht="14.25" customHeight="1" x14ac:dyDescent="0.35">
      <c r="A176" s="85">
        <v>44175</v>
      </c>
      <c r="B176">
        <v>867.58</v>
      </c>
      <c r="C176">
        <f t="shared" si="4"/>
        <v>4.4597490789125241E-2</v>
      </c>
      <c r="E176" s="86">
        <v>44175</v>
      </c>
      <c r="F176" s="87">
        <v>13478.2998046875</v>
      </c>
      <c r="G176" s="88">
        <f t="shared" si="5"/>
        <v>-3.7548548058806688E-3</v>
      </c>
    </row>
    <row r="177" spans="1:7" ht="14.25" customHeight="1" x14ac:dyDescent="0.35">
      <c r="A177" s="85">
        <v>44176</v>
      </c>
      <c r="B177">
        <v>869.87</v>
      </c>
      <c r="C177">
        <f t="shared" si="4"/>
        <v>2.6395260379445855E-3</v>
      </c>
      <c r="E177" s="86">
        <v>44176</v>
      </c>
      <c r="F177" s="87">
        <v>13513.849609375</v>
      </c>
      <c r="G177" s="88">
        <f t="shared" si="5"/>
        <v>2.6375585350265351E-3</v>
      </c>
    </row>
    <row r="178" spans="1:7" ht="14.25" customHeight="1" x14ac:dyDescent="0.35">
      <c r="A178" s="85">
        <v>44179</v>
      </c>
      <c r="B178">
        <v>878.89</v>
      </c>
      <c r="C178">
        <f t="shared" si="4"/>
        <v>1.0369365537379127E-2</v>
      </c>
      <c r="E178" s="86">
        <v>44179</v>
      </c>
      <c r="F178" s="87">
        <v>13558.150390625</v>
      </c>
      <c r="G178" s="88">
        <f t="shared" si="5"/>
        <v>3.2781762806703943E-3</v>
      </c>
    </row>
    <row r="179" spans="1:7" ht="14.25" customHeight="1" x14ac:dyDescent="0.35">
      <c r="A179" s="85">
        <v>44180</v>
      </c>
      <c r="B179">
        <v>859.89</v>
      </c>
      <c r="C179">
        <f t="shared" si="4"/>
        <v>-2.1618177473859072E-2</v>
      </c>
      <c r="E179" s="86">
        <v>44180</v>
      </c>
      <c r="F179" s="87">
        <v>13567.849609375</v>
      </c>
      <c r="G179" s="88">
        <f t="shared" si="5"/>
        <v>7.1537919779284052E-4</v>
      </c>
    </row>
    <row r="180" spans="1:7" ht="14.25" customHeight="1" x14ac:dyDescent="0.35">
      <c r="A180" s="85">
        <v>44181</v>
      </c>
      <c r="B180">
        <v>866.2</v>
      </c>
      <c r="C180">
        <f t="shared" si="4"/>
        <v>7.3381479026387786E-3</v>
      </c>
      <c r="E180" s="86">
        <v>44181</v>
      </c>
      <c r="F180" s="87">
        <v>13682.7001953125</v>
      </c>
      <c r="G180" s="88">
        <f t="shared" si="5"/>
        <v>8.4649070592691042E-3</v>
      </c>
    </row>
    <row r="181" spans="1:7" ht="14.25" customHeight="1" x14ac:dyDescent="0.35">
      <c r="A181" s="85">
        <v>44182</v>
      </c>
      <c r="B181">
        <v>865.35</v>
      </c>
      <c r="C181">
        <f t="shared" si="4"/>
        <v>-9.8129762179637817E-4</v>
      </c>
      <c r="E181" s="86">
        <v>44182</v>
      </c>
      <c r="F181" s="87">
        <v>13740.7001953125</v>
      </c>
      <c r="G181" s="88">
        <f t="shared" si="5"/>
        <v>4.2389293905504104E-3</v>
      </c>
    </row>
    <row r="182" spans="1:7" ht="14.25" customHeight="1" x14ac:dyDescent="0.35">
      <c r="A182" s="85">
        <v>44183</v>
      </c>
      <c r="B182">
        <v>868.06</v>
      </c>
      <c r="C182">
        <f t="shared" si="4"/>
        <v>3.1316808227883778E-3</v>
      </c>
      <c r="E182" s="86">
        <v>44183</v>
      </c>
      <c r="F182" s="87">
        <v>13760.5498046875</v>
      </c>
      <c r="G182" s="88">
        <f t="shared" si="5"/>
        <v>1.4445849987885983E-3</v>
      </c>
    </row>
    <row r="183" spans="1:7" ht="14.25" customHeight="1" x14ac:dyDescent="0.35">
      <c r="A183" s="85">
        <v>44186</v>
      </c>
      <c r="B183">
        <v>860.02</v>
      </c>
      <c r="C183">
        <f t="shared" si="4"/>
        <v>-9.2620325783931579E-3</v>
      </c>
      <c r="E183" s="86">
        <v>44186</v>
      </c>
      <c r="F183" s="87">
        <v>13328.400390625</v>
      </c>
      <c r="G183" s="88">
        <f t="shared" si="5"/>
        <v>-3.1404952577933277E-2</v>
      </c>
    </row>
    <row r="184" spans="1:7" ht="14.25" customHeight="1" x14ac:dyDescent="0.35">
      <c r="A184" s="85">
        <v>44187</v>
      </c>
      <c r="B184">
        <v>877.08</v>
      </c>
      <c r="C184">
        <f t="shared" si="4"/>
        <v>1.9836747982605124E-2</v>
      </c>
      <c r="E184" s="86">
        <v>44187</v>
      </c>
      <c r="F184" s="87">
        <v>13466.2998046875</v>
      </c>
      <c r="G184" s="88">
        <f t="shared" si="5"/>
        <v>1.034628387660806E-2</v>
      </c>
    </row>
    <row r="185" spans="1:7" ht="14.25" customHeight="1" x14ac:dyDescent="0.35">
      <c r="A185" s="85">
        <v>44188</v>
      </c>
      <c r="B185">
        <v>885.55</v>
      </c>
      <c r="C185">
        <f t="shared" si="4"/>
        <v>9.6570438272448496E-3</v>
      </c>
      <c r="E185" s="86">
        <v>44188</v>
      </c>
      <c r="F185" s="87">
        <v>13601.099609375</v>
      </c>
      <c r="G185" s="88">
        <f t="shared" si="5"/>
        <v>1.0010159185716136E-2</v>
      </c>
    </row>
    <row r="186" spans="1:7" ht="14.25" customHeight="1" x14ac:dyDescent="0.35">
      <c r="A186" s="85">
        <v>44189</v>
      </c>
      <c r="B186">
        <v>877.68</v>
      </c>
      <c r="C186">
        <f t="shared" si="4"/>
        <v>-8.8871322906668229E-3</v>
      </c>
      <c r="E186" s="86">
        <v>44189</v>
      </c>
      <c r="F186" s="87">
        <v>13749.25</v>
      </c>
      <c r="G186" s="88">
        <f t="shared" si="5"/>
        <v>1.0892530374741357E-2</v>
      </c>
    </row>
    <row r="187" spans="1:7" ht="14.25" customHeight="1" x14ac:dyDescent="0.35">
      <c r="A187" s="85">
        <v>44193</v>
      </c>
      <c r="B187">
        <v>879.15</v>
      </c>
      <c r="C187">
        <f t="shared" si="4"/>
        <v>1.6748701121137857E-3</v>
      </c>
      <c r="E187" s="86">
        <v>44193</v>
      </c>
      <c r="F187" s="87">
        <v>13873.2001953125</v>
      </c>
      <c r="G187" s="88">
        <f t="shared" si="5"/>
        <v>9.0150513891666811E-3</v>
      </c>
    </row>
    <row r="188" spans="1:7" ht="14.25" customHeight="1" x14ac:dyDescent="0.35">
      <c r="A188" s="85">
        <v>44194</v>
      </c>
      <c r="B188">
        <v>863.33</v>
      </c>
      <c r="C188">
        <f t="shared" si="4"/>
        <v>-1.7994653927088593E-2</v>
      </c>
      <c r="E188" s="86">
        <v>44194</v>
      </c>
      <c r="F188" s="87">
        <v>13932.599609375</v>
      </c>
      <c r="G188" s="88">
        <f t="shared" si="5"/>
        <v>4.281594241144878E-3</v>
      </c>
    </row>
    <row r="189" spans="1:7" ht="14.25" customHeight="1" x14ac:dyDescent="0.35">
      <c r="A189" s="85">
        <v>44195</v>
      </c>
      <c r="B189">
        <v>868.84</v>
      </c>
      <c r="C189">
        <f t="shared" si="4"/>
        <v>6.382264024185411E-3</v>
      </c>
      <c r="E189" s="86">
        <v>44195</v>
      </c>
      <c r="F189" s="87">
        <v>13981.9501953125</v>
      </c>
      <c r="G189" s="88">
        <f t="shared" si="5"/>
        <v>3.542094606974341E-3</v>
      </c>
    </row>
    <row r="190" spans="1:7" ht="14.25" customHeight="1" x14ac:dyDescent="0.35">
      <c r="A190" s="85">
        <v>44196</v>
      </c>
      <c r="B190">
        <v>869.36</v>
      </c>
      <c r="C190">
        <f t="shared" si="4"/>
        <v>5.9849914828965264E-4</v>
      </c>
      <c r="E190" s="86">
        <v>44196</v>
      </c>
      <c r="F190" s="87">
        <v>13981.75</v>
      </c>
      <c r="G190" s="88">
        <f t="shared" si="5"/>
        <v>-1.4318125133010144E-5</v>
      </c>
    </row>
    <row r="191" spans="1:7" ht="14.25" customHeight="1" x14ac:dyDescent="0.35">
      <c r="A191" s="85">
        <v>44197</v>
      </c>
      <c r="B191">
        <v>872.22</v>
      </c>
      <c r="C191">
        <f t="shared" si="4"/>
        <v>3.2897763872274015E-3</v>
      </c>
      <c r="E191" s="86">
        <v>44197</v>
      </c>
      <c r="F191" s="87">
        <v>14018.5</v>
      </c>
      <c r="G191" s="88">
        <f t="shared" si="5"/>
        <v>2.6284263414808589E-3</v>
      </c>
    </row>
    <row r="192" spans="1:7" ht="14.25" customHeight="1" x14ac:dyDescent="0.35">
      <c r="A192" s="85">
        <v>44200</v>
      </c>
      <c r="B192">
        <v>868.78</v>
      </c>
      <c r="C192">
        <f t="shared" si="4"/>
        <v>-3.9439590928894708E-3</v>
      </c>
      <c r="E192" s="86">
        <v>44200</v>
      </c>
      <c r="F192" s="87">
        <v>14132.900390625</v>
      </c>
      <c r="G192" s="88">
        <f t="shared" si="5"/>
        <v>8.1606727271106034E-3</v>
      </c>
    </row>
    <row r="193" spans="1:7" ht="14.25" customHeight="1" x14ac:dyDescent="0.35">
      <c r="A193" s="85">
        <v>44201</v>
      </c>
      <c r="B193">
        <v>877.3</v>
      </c>
      <c r="C193">
        <f t="shared" si="4"/>
        <v>9.8068555905982905E-3</v>
      </c>
      <c r="E193" s="86">
        <v>44201</v>
      </c>
      <c r="F193" s="87">
        <v>14199.5</v>
      </c>
      <c r="G193" s="88">
        <f t="shared" si="5"/>
        <v>4.7123808655142414E-3</v>
      </c>
    </row>
    <row r="194" spans="1:7" ht="14.25" customHeight="1" x14ac:dyDescent="0.35">
      <c r="A194" s="85">
        <v>44202</v>
      </c>
      <c r="B194">
        <v>875.27</v>
      </c>
      <c r="C194">
        <f t="shared" si="4"/>
        <v>-2.3139177020403199E-3</v>
      </c>
      <c r="E194" s="86">
        <v>44202</v>
      </c>
      <c r="F194" s="87">
        <v>14146.25</v>
      </c>
      <c r="G194" s="88">
        <f t="shared" si="5"/>
        <v>-3.7501320469030598E-3</v>
      </c>
    </row>
    <row r="195" spans="1:7" ht="14.25" customHeight="1" x14ac:dyDescent="0.35">
      <c r="A195" s="85">
        <v>44203</v>
      </c>
      <c r="B195">
        <v>856.93</v>
      </c>
      <c r="C195">
        <f t="shared" si="4"/>
        <v>-2.0953534337975747E-2</v>
      </c>
      <c r="E195" s="86">
        <v>44203</v>
      </c>
      <c r="F195" s="87">
        <v>14137.349609375</v>
      </c>
      <c r="G195" s="88">
        <f t="shared" si="5"/>
        <v>-6.2916961208800914E-4</v>
      </c>
    </row>
    <row r="196" spans="1:7" ht="14.25" customHeight="1" x14ac:dyDescent="0.35">
      <c r="A196" s="85">
        <v>44204</v>
      </c>
      <c r="B196">
        <v>865.39</v>
      </c>
      <c r="C196">
        <f t="shared" si="4"/>
        <v>9.8724516588286522E-3</v>
      </c>
      <c r="E196" s="86">
        <v>44204</v>
      </c>
      <c r="F196" s="87">
        <v>14347.25</v>
      </c>
      <c r="G196" s="88">
        <f t="shared" si="5"/>
        <v>1.4847223590326102E-2</v>
      </c>
    </row>
    <row r="197" spans="1:7" ht="14.25" customHeight="1" x14ac:dyDescent="0.35">
      <c r="A197" s="85">
        <v>44207</v>
      </c>
      <c r="B197">
        <v>869.42</v>
      </c>
      <c r="C197">
        <f t="shared" ref="C197:C260" si="6">(B197-B196)/B196</f>
        <v>4.6568599128716222E-3</v>
      </c>
      <c r="E197" s="86">
        <v>44207</v>
      </c>
      <c r="F197" s="87">
        <v>14484.75</v>
      </c>
      <c r="G197" s="88">
        <f t="shared" ref="G197:G260" si="7">(F197-F196)/F196</f>
        <v>9.5837181341372046E-3</v>
      </c>
    </row>
    <row r="198" spans="1:7" ht="14.25" customHeight="1" x14ac:dyDescent="0.35">
      <c r="A198" s="85">
        <v>44208</v>
      </c>
      <c r="B198">
        <v>850.87</v>
      </c>
      <c r="C198">
        <f t="shared" si="6"/>
        <v>-2.1336063122541413E-2</v>
      </c>
      <c r="E198" s="86">
        <v>44208</v>
      </c>
      <c r="F198" s="87">
        <v>14563.4501953125</v>
      </c>
      <c r="G198" s="88">
        <f t="shared" si="7"/>
        <v>5.4333140242323824E-3</v>
      </c>
    </row>
    <row r="199" spans="1:7" ht="14.25" customHeight="1" x14ac:dyDescent="0.35">
      <c r="A199" s="85">
        <v>44209</v>
      </c>
      <c r="B199">
        <v>851.82</v>
      </c>
      <c r="C199">
        <f t="shared" si="6"/>
        <v>1.1165042838507005E-3</v>
      </c>
      <c r="E199" s="86">
        <v>44209</v>
      </c>
      <c r="F199" s="87">
        <v>14564.849609375</v>
      </c>
      <c r="G199" s="88">
        <f t="shared" si="7"/>
        <v>9.6090833128981056E-5</v>
      </c>
    </row>
    <row r="200" spans="1:7" ht="14.25" customHeight="1" x14ac:dyDescent="0.35">
      <c r="A200" s="85">
        <v>44210</v>
      </c>
      <c r="B200">
        <v>857.18</v>
      </c>
      <c r="C200">
        <f t="shared" si="6"/>
        <v>6.2924091944306301E-3</v>
      </c>
      <c r="E200" s="86">
        <v>44210</v>
      </c>
      <c r="F200" s="87">
        <v>14595.599609375</v>
      </c>
      <c r="G200" s="88">
        <f t="shared" si="7"/>
        <v>2.1112473403231747E-3</v>
      </c>
    </row>
    <row r="201" spans="1:7" ht="14.25" customHeight="1" x14ac:dyDescent="0.35">
      <c r="A201" s="85">
        <v>44211</v>
      </c>
      <c r="B201">
        <v>843.06</v>
      </c>
      <c r="C201">
        <f t="shared" si="6"/>
        <v>-1.6472619519820816E-2</v>
      </c>
      <c r="E201" s="86">
        <v>44211</v>
      </c>
      <c r="F201" s="87">
        <v>14433.7001953125</v>
      </c>
      <c r="G201" s="88">
        <f t="shared" si="7"/>
        <v>-1.1092344158201577E-2</v>
      </c>
    </row>
    <row r="202" spans="1:7" ht="14.25" customHeight="1" x14ac:dyDescent="0.35">
      <c r="A202" s="85">
        <v>44214</v>
      </c>
      <c r="B202">
        <v>833.45</v>
      </c>
      <c r="C202">
        <f t="shared" si="6"/>
        <v>-1.1398951438806135E-2</v>
      </c>
      <c r="E202" s="86">
        <v>44214</v>
      </c>
      <c r="F202" s="87">
        <v>14281.2998046875</v>
      </c>
      <c r="G202" s="88">
        <f t="shared" si="7"/>
        <v>-1.0558650142566607E-2</v>
      </c>
    </row>
    <row r="203" spans="1:7" ht="14.25" customHeight="1" x14ac:dyDescent="0.35">
      <c r="A203" s="85">
        <v>44215</v>
      </c>
      <c r="B203">
        <v>839.31</v>
      </c>
      <c r="C203">
        <f t="shared" si="6"/>
        <v>7.0310156578077864E-3</v>
      </c>
      <c r="E203" s="86">
        <v>44215</v>
      </c>
      <c r="F203" s="87">
        <v>14521.150390625</v>
      </c>
      <c r="G203" s="88">
        <f t="shared" si="7"/>
        <v>1.6794730817062932E-2</v>
      </c>
    </row>
    <row r="204" spans="1:7" ht="14.25" customHeight="1" x14ac:dyDescent="0.35">
      <c r="A204" s="85">
        <v>44216</v>
      </c>
      <c r="B204">
        <v>835.84</v>
      </c>
      <c r="C204">
        <f t="shared" si="6"/>
        <v>-4.1343484528957282E-3</v>
      </c>
      <c r="E204" s="86">
        <v>44216</v>
      </c>
      <c r="F204" s="87">
        <v>14644.7001953125</v>
      </c>
      <c r="G204" s="88">
        <f t="shared" si="7"/>
        <v>8.5082656238630369E-3</v>
      </c>
    </row>
    <row r="205" spans="1:7" ht="14.25" customHeight="1" x14ac:dyDescent="0.35">
      <c r="A205" s="85">
        <v>44217</v>
      </c>
      <c r="B205">
        <v>837.5</v>
      </c>
      <c r="C205">
        <f t="shared" si="6"/>
        <v>1.9860260336906203E-3</v>
      </c>
      <c r="E205" s="86">
        <v>44217</v>
      </c>
      <c r="F205" s="87">
        <v>14590.349609375</v>
      </c>
      <c r="G205" s="88">
        <f t="shared" si="7"/>
        <v>-3.7112802046228729E-3</v>
      </c>
    </row>
    <row r="206" spans="1:7" ht="14.25" customHeight="1" x14ac:dyDescent="0.35">
      <c r="A206" s="85">
        <v>44218</v>
      </c>
      <c r="B206">
        <v>831.51</v>
      </c>
      <c r="C206">
        <f t="shared" si="6"/>
        <v>-7.1522388059701604E-3</v>
      </c>
      <c r="E206" s="86">
        <v>44218</v>
      </c>
      <c r="F206" s="87">
        <v>14371.900390625</v>
      </c>
      <c r="G206" s="88">
        <f t="shared" si="7"/>
        <v>-1.4972171647596155E-2</v>
      </c>
    </row>
    <row r="207" spans="1:7" ht="14.25" customHeight="1" x14ac:dyDescent="0.35">
      <c r="A207" s="85">
        <v>44221</v>
      </c>
      <c r="B207">
        <v>823.27</v>
      </c>
      <c r="C207">
        <f t="shared" si="6"/>
        <v>-9.9096823850585193E-3</v>
      </c>
      <c r="E207" s="86">
        <v>44221</v>
      </c>
      <c r="F207" s="87">
        <v>14238.900390625</v>
      </c>
      <c r="G207" s="88">
        <f t="shared" si="7"/>
        <v>-9.2541693433081298E-3</v>
      </c>
    </row>
    <row r="208" spans="1:7" ht="14.25" customHeight="1" x14ac:dyDescent="0.35">
      <c r="A208" s="85">
        <v>44223</v>
      </c>
      <c r="B208">
        <v>829.08</v>
      </c>
      <c r="C208">
        <f t="shared" si="6"/>
        <v>7.0572230252530267E-3</v>
      </c>
      <c r="E208" s="86">
        <v>44223</v>
      </c>
      <c r="F208" s="87">
        <v>13967.5</v>
      </c>
      <c r="G208" s="88">
        <f t="shared" si="7"/>
        <v>-1.9060488041878015E-2</v>
      </c>
    </row>
    <row r="209" spans="1:7" ht="14.25" customHeight="1" x14ac:dyDescent="0.35">
      <c r="A209" s="85">
        <v>44224</v>
      </c>
      <c r="B209">
        <v>821.96</v>
      </c>
      <c r="C209">
        <f t="shared" si="6"/>
        <v>-8.5878322960389886E-3</v>
      </c>
      <c r="E209" s="86">
        <v>44224</v>
      </c>
      <c r="F209" s="87">
        <v>13817.5498046875</v>
      </c>
      <c r="G209" s="88">
        <f t="shared" si="7"/>
        <v>-1.0735650281904421E-2</v>
      </c>
    </row>
    <row r="210" spans="1:7" ht="14.25" customHeight="1" x14ac:dyDescent="0.35">
      <c r="A210" s="85">
        <v>44225</v>
      </c>
      <c r="B210">
        <v>806.47</v>
      </c>
      <c r="C210">
        <f t="shared" si="6"/>
        <v>-1.8845199279770315E-2</v>
      </c>
      <c r="E210" s="86">
        <v>44225</v>
      </c>
      <c r="F210" s="87">
        <v>13634.599609375</v>
      </c>
      <c r="G210" s="88">
        <f t="shared" si="7"/>
        <v>-1.3240422354072899E-2</v>
      </c>
    </row>
    <row r="211" spans="1:7" ht="14.25" customHeight="1" x14ac:dyDescent="0.35">
      <c r="A211" s="85">
        <v>44228</v>
      </c>
      <c r="B211">
        <v>807.78</v>
      </c>
      <c r="C211">
        <f t="shared" si="6"/>
        <v>1.6243629645243411E-3</v>
      </c>
      <c r="E211" s="86">
        <v>44228</v>
      </c>
      <c r="F211" s="87">
        <v>14281.2001953125</v>
      </c>
      <c r="G211" s="88">
        <f t="shared" si="7"/>
        <v>4.7423511101338432E-2</v>
      </c>
    </row>
    <row r="212" spans="1:7" ht="14.25" customHeight="1" x14ac:dyDescent="0.35">
      <c r="A212" s="85">
        <v>44229</v>
      </c>
      <c r="B212">
        <v>812.63</v>
      </c>
      <c r="C212">
        <f t="shared" si="6"/>
        <v>6.0041100299586805E-3</v>
      </c>
      <c r="E212" s="86">
        <v>44229</v>
      </c>
      <c r="F212" s="87">
        <v>14647.849609375</v>
      </c>
      <c r="G212" s="88">
        <f t="shared" si="7"/>
        <v>2.5673571481957438E-2</v>
      </c>
    </row>
    <row r="213" spans="1:7" ht="14.25" customHeight="1" x14ac:dyDescent="0.35">
      <c r="A213" s="85">
        <v>44230</v>
      </c>
      <c r="B213">
        <v>811.5</v>
      </c>
      <c r="C213">
        <f t="shared" si="6"/>
        <v>-1.3905467432902988E-3</v>
      </c>
      <c r="E213" s="86">
        <v>44230</v>
      </c>
      <c r="F213" s="87">
        <v>14789.9501953125</v>
      </c>
      <c r="G213" s="88">
        <f t="shared" si="7"/>
        <v>9.7011226717232252E-3</v>
      </c>
    </row>
    <row r="214" spans="1:7" ht="14.25" customHeight="1" x14ac:dyDescent="0.35">
      <c r="A214" s="85">
        <v>44231</v>
      </c>
      <c r="B214">
        <v>807.14</v>
      </c>
      <c r="C214">
        <f t="shared" si="6"/>
        <v>-5.3727664818237998E-3</v>
      </c>
      <c r="E214" s="86">
        <v>44231</v>
      </c>
      <c r="F214" s="87">
        <v>14895.650390625</v>
      </c>
      <c r="G214" s="88">
        <f t="shared" si="7"/>
        <v>7.146758029381358E-3</v>
      </c>
    </row>
    <row r="215" spans="1:7" ht="14.25" customHeight="1" x14ac:dyDescent="0.35">
      <c r="A215" s="85">
        <v>44232</v>
      </c>
      <c r="B215">
        <v>809.11</v>
      </c>
      <c r="C215">
        <f t="shared" si="6"/>
        <v>2.4407166043065977E-3</v>
      </c>
      <c r="E215" s="86">
        <v>44232</v>
      </c>
      <c r="F215" s="87">
        <v>14924.25</v>
      </c>
      <c r="G215" s="88">
        <f t="shared" si="7"/>
        <v>1.919997356610892E-3</v>
      </c>
    </row>
    <row r="216" spans="1:7" ht="14.25" customHeight="1" x14ac:dyDescent="0.35">
      <c r="A216" s="85">
        <v>44235</v>
      </c>
      <c r="B216">
        <v>813.95</v>
      </c>
      <c r="C216">
        <f t="shared" si="6"/>
        <v>5.9818813263957087E-3</v>
      </c>
      <c r="E216" s="86">
        <v>44235</v>
      </c>
      <c r="F216" s="87">
        <v>15115.7998046875</v>
      </c>
      <c r="G216" s="88">
        <f t="shared" si="7"/>
        <v>1.2834802732968156E-2</v>
      </c>
    </row>
    <row r="217" spans="1:7" ht="14.25" customHeight="1" x14ac:dyDescent="0.35">
      <c r="A217" s="85">
        <v>44236</v>
      </c>
      <c r="B217">
        <v>818.72</v>
      </c>
      <c r="C217">
        <f t="shared" si="6"/>
        <v>5.8603108299035344E-3</v>
      </c>
      <c r="E217" s="86">
        <v>44236</v>
      </c>
      <c r="F217" s="87">
        <v>15109.2998046875</v>
      </c>
      <c r="G217" s="88">
        <f t="shared" si="7"/>
        <v>-4.3001363368045607E-4</v>
      </c>
    </row>
    <row r="218" spans="1:7" ht="14.25" customHeight="1" x14ac:dyDescent="0.35">
      <c r="A218" s="85">
        <v>44237</v>
      </c>
      <c r="B218">
        <v>812.02</v>
      </c>
      <c r="C218">
        <f t="shared" si="6"/>
        <v>-8.1835059605238E-3</v>
      </c>
      <c r="E218" s="86">
        <v>44237</v>
      </c>
      <c r="F218" s="87">
        <v>15106.5</v>
      </c>
      <c r="G218" s="88">
        <f t="shared" si="7"/>
        <v>-1.8530340410820298E-4</v>
      </c>
    </row>
    <row r="219" spans="1:7" ht="14.25" customHeight="1" x14ac:dyDescent="0.35">
      <c r="A219" s="85">
        <v>44238</v>
      </c>
      <c r="B219">
        <v>823.13</v>
      </c>
      <c r="C219">
        <f t="shared" si="6"/>
        <v>1.3681929016526704E-2</v>
      </c>
      <c r="E219" s="86">
        <v>44238</v>
      </c>
      <c r="F219" s="87">
        <v>15173.2998046875</v>
      </c>
      <c r="G219" s="88">
        <f t="shared" si="7"/>
        <v>4.4219246475027309E-3</v>
      </c>
    </row>
    <row r="220" spans="1:7" ht="14.25" customHeight="1" x14ac:dyDescent="0.35">
      <c r="A220" s="85">
        <v>44239</v>
      </c>
      <c r="B220">
        <v>817.55</v>
      </c>
      <c r="C220">
        <f t="shared" si="6"/>
        <v>-6.7790021017336763E-3</v>
      </c>
      <c r="E220" s="86">
        <v>44239</v>
      </c>
      <c r="F220" s="87">
        <v>15163.2998046875</v>
      </c>
      <c r="G220" s="88">
        <f t="shared" si="7"/>
        <v>-6.590524229219205E-4</v>
      </c>
    </row>
    <row r="221" spans="1:7" ht="14.25" customHeight="1" x14ac:dyDescent="0.35">
      <c r="A221" s="85">
        <v>44242</v>
      </c>
      <c r="B221">
        <v>826.32</v>
      </c>
      <c r="C221">
        <f t="shared" si="6"/>
        <v>1.0727172649990943E-2</v>
      </c>
      <c r="E221" s="86">
        <v>44242</v>
      </c>
      <c r="F221" s="87">
        <v>15314.7001953125</v>
      </c>
      <c r="G221" s="88">
        <f t="shared" si="7"/>
        <v>9.984659841533761E-3</v>
      </c>
    </row>
    <row r="222" spans="1:7" ht="14.25" customHeight="1" x14ac:dyDescent="0.35">
      <c r="A222" s="85">
        <v>44243</v>
      </c>
      <c r="B222">
        <v>813.91</v>
      </c>
      <c r="C222">
        <f t="shared" si="6"/>
        <v>-1.5018394810727177E-2</v>
      </c>
      <c r="E222" s="86">
        <v>44243</v>
      </c>
      <c r="F222" s="87">
        <v>15313.4501953125</v>
      </c>
      <c r="G222" s="88">
        <f t="shared" si="7"/>
        <v>-8.1620925258634719E-5</v>
      </c>
    </row>
    <row r="223" spans="1:7" ht="14.25" customHeight="1" x14ac:dyDescent="0.35">
      <c r="A223" s="85">
        <v>44244</v>
      </c>
      <c r="B223">
        <v>791.4</v>
      </c>
      <c r="C223">
        <f t="shared" si="6"/>
        <v>-2.7656620510867286E-2</v>
      </c>
      <c r="E223" s="86">
        <v>44244</v>
      </c>
      <c r="F223" s="87">
        <v>15208.900390625</v>
      </c>
      <c r="G223" s="88">
        <f t="shared" si="7"/>
        <v>-6.8273186874309392E-3</v>
      </c>
    </row>
    <row r="224" spans="1:7" ht="14.25" customHeight="1" x14ac:dyDescent="0.35">
      <c r="A224" s="85">
        <v>44245</v>
      </c>
      <c r="B224">
        <v>773.61</v>
      </c>
      <c r="C224">
        <f t="shared" si="6"/>
        <v>-2.2479150871872584E-2</v>
      </c>
      <c r="E224" s="86">
        <v>44245</v>
      </c>
      <c r="F224" s="87">
        <v>15118.9501953125</v>
      </c>
      <c r="G224" s="88">
        <f t="shared" si="7"/>
        <v>-5.9143128695843573E-3</v>
      </c>
    </row>
    <row r="225" spans="1:7" ht="14.25" customHeight="1" x14ac:dyDescent="0.35">
      <c r="A225" s="85">
        <v>44246</v>
      </c>
      <c r="B225">
        <v>774.16</v>
      </c>
      <c r="C225">
        <f t="shared" si="6"/>
        <v>7.1095254714902145E-4</v>
      </c>
      <c r="E225" s="86">
        <v>44246</v>
      </c>
      <c r="F225" s="87">
        <v>14981.75</v>
      </c>
      <c r="G225" s="88">
        <f t="shared" si="7"/>
        <v>-9.0747170630297962E-3</v>
      </c>
    </row>
    <row r="226" spans="1:7" ht="14.25" customHeight="1" x14ac:dyDescent="0.35">
      <c r="A226" s="85">
        <v>44249</v>
      </c>
      <c r="B226">
        <v>760.92</v>
      </c>
      <c r="C226">
        <f t="shared" si="6"/>
        <v>-1.7102407771003424E-2</v>
      </c>
      <c r="E226" s="86">
        <v>44249</v>
      </c>
      <c r="F226" s="87">
        <v>14675.7001953125</v>
      </c>
      <c r="G226" s="88">
        <f t="shared" si="7"/>
        <v>-2.0428174591586429E-2</v>
      </c>
    </row>
    <row r="227" spans="1:7" ht="14.25" customHeight="1" x14ac:dyDescent="0.35">
      <c r="A227" s="85">
        <v>44250</v>
      </c>
      <c r="B227">
        <v>764.4</v>
      </c>
      <c r="C227">
        <f t="shared" si="6"/>
        <v>4.5734111338905778E-3</v>
      </c>
      <c r="E227" s="86">
        <v>44250</v>
      </c>
      <c r="F227" s="87">
        <v>14707.7998046875</v>
      </c>
      <c r="G227" s="88">
        <f t="shared" si="7"/>
        <v>2.1872625461000351E-3</v>
      </c>
    </row>
    <row r="228" spans="1:7" ht="14.25" customHeight="1" x14ac:dyDescent="0.35">
      <c r="A228" s="85">
        <v>44251</v>
      </c>
      <c r="B228">
        <v>772.73</v>
      </c>
      <c r="C228">
        <f t="shared" si="6"/>
        <v>1.0897435897435951E-2</v>
      </c>
      <c r="E228" s="86">
        <v>44251</v>
      </c>
      <c r="F228" s="87">
        <v>14982</v>
      </c>
      <c r="G228" s="88">
        <f t="shared" si="7"/>
        <v>1.8643182457862263E-2</v>
      </c>
    </row>
    <row r="229" spans="1:7" ht="14.25" customHeight="1" x14ac:dyDescent="0.35">
      <c r="A229" s="85">
        <v>44252</v>
      </c>
      <c r="B229">
        <v>761.75</v>
      </c>
      <c r="C229">
        <f t="shared" si="6"/>
        <v>-1.4209361614017856E-2</v>
      </c>
      <c r="E229" s="86">
        <v>44252</v>
      </c>
      <c r="F229" s="87">
        <v>15097.349609375</v>
      </c>
      <c r="G229" s="88">
        <f t="shared" si="7"/>
        <v>7.6992130139500736E-3</v>
      </c>
    </row>
    <row r="230" spans="1:7" ht="14.25" customHeight="1" x14ac:dyDescent="0.35">
      <c r="A230" s="85">
        <v>44253</v>
      </c>
      <c r="B230">
        <v>761.17</v>
      </c>
      <c r="C230">
        <f t="shared" si="6"/>
        <v>-7.6140466032168159E-4</v>
      </c>
      <c r="E230" s="86">
        <v>44253</v>
      </c>
      <c r="F230" s="87">
        <v>14529.150390625</v>
      </c>
      <c r="G230" s="88">
        <f t="shared" si="7"/>
        <v>-3.7635693247586012E-2</v>
      </c>
    </row>
    <row r="231" spans="1:7" ht="14.25" customHeight="1" x14ac:dyDescent="0.35">
      <c r="A231" s="85">
        <v>44256</v>
      </c>
      <c r="B231">
        <v>770.19</v>
      </c>
      <c r="C231">
        <f t="shared" si="6"/>
        <v>1.185017801542375E-2</v>
      </c>
      <c r="E231" s="86">
        <v>44256</v>
      </c>
      <c r="F231" s="87">
        <v>14761.5498046875</v>
      </c>
      <c r="G231" s="88">
        <f t="shared" si="7"/>
        <v>1.5995389118723471E-2</v>
      </c>
    </row>
    <row r="232" spans="1:7" ht="14.25" customHeight="1" x14ac:dyDescent="0.35">
      <c r="A232" s="85">
        <v>44257</v>
      </c>
      <c r="B232">
        <v>783.6</v>
      </c>
      <c r="C232">
        <f t="shared" si="6"/>
        <v>1.7411288123709692E-2</v>
      </c>
      <c r="E232" s="86">
        <v>44257</v>
      </c>
      <c r="F232" s="87">
        <v>14919.099609375</v>
      </c>
      <c r="G232" s="88">
        <f t="shared" si="7"/>
        <v>1.0672985341787783E-2</v>
      </c>
    </row>
    <row r="233" spans="1:7" ht="14.25" customHeight="1" x14ac:dyDescent="0.35">
      <c r="A233" s="85">
        <v>44258</v>
      </c>
      <c r="B233">
        <v>789.42</v>
      </c>
      <c r="C233">
        <f t="shared" si="6"/>
        <v>7.4272588055129349E-3</v>
      </c>
      <c r="E233" s="86">
        <v>44258</v>
      </c>
      <c r="F233" s="87">
        <v>15245.599609375</v>
      </c>
      <c r="G233" s="88">
        <f t="shared" si="7"/>
        <v>2.1884698711632098E-2</v>
      </c>
    </row>
    <row r="234" spans="1:7" ht="14.25" customHeight="1" x14ac:dyDescent="0.35">
      <c r="A234" s="85">
        <v>44259</v>
      </c>
      <c r="B234">
        <v>787.65</v>
      </c>
      <c r="C234">
        <f t="shared" si="6"/>
        <v>-2.24215246636769E-3</v>
      </c>
      <c r="E234" s="86">
        <v>44259</v>
      </c>
      <c r="F234" s="87">
        <v>15080.75</v>
      </c>
      <c r="G234" s="88">
        <f t="shared" si="7"/>
        <v>-1.0812930524138177E-2</v>
      </c>
    </row>
    <row r="235" spans="1:7" ht="14.25" customHeight="1" x14ac:dyDescent="0.35">
      <c r="A235" s="85">
        <v>44260</v>
      </c>
      <c r="B235">
        <v>793.38</v>
      </c>
      <c r="C235">
        <f t="shared" si="6"/>
        <v>7.2748047990859113E-3</v>
      </c>
      <c r="E235" s="86">
        <v>44260</v>
      </c>
      <c r="F235" s="87">
        <v>14938.099609375</v>
      </c>
      <c r="G235" s="88">
        <f t="shared" si="7"/>
        <v>-9.4591045289524733E-3</v>
      </c>
    </row>
    <row r="236" spans="1:7" ht="14.25" customHeight="1" x14ac:dyDescent="0.35">
      <c r="A236" s="85">
        <v>44263</v>
      </c>
      <c r="B236">
        <v>796.66</v>
      </c>
      <c r="C236">
        <f t="shared" si="6"/>
        <v>4.1342105926541793E-3</v>
      </c>
      <c r="E236" s="86">
        <v>44263</v>
      </c>
      <c r="F236" s="87">
        <v>14956.2001953125</v>
      </c>
      <c r="G236" s="88">
        <f t="shared" si="7"/>
        <v>1.2117060677611399E-3</v>
      </c>
    </row>
    <row r="237" spans="1:7" ht="14.25" customHeight="1" x14ac:dyDescent="0.35">
      <c r="A237" s="85">
        <v>44264</v>
      </c>
      <c r="B237">
        <v>799.42</v>
      </c>
      <c r="C237">
        <f t="shared" si="6"/>
        <v>3.4644641377752001E-3</v>
      </c>
      <c r="E237" s="86">
        <v>44264</v>
      </c>
      <c r="F237" s="87">
        <v>15098.400390625</v>
      </c>
      <c r="G237" s="88">
        <f t="shared" si="7"/>
        <v>9.5077756017914027E-3</v>
      </c>
    </row>
    <row r="238" spans="1:7" ht="14.25" customHeight="1" x14ac:dyDescent="0.35">
      <c r="A238" s="85">
        <v>44265</v>
      </c>
      <c r="B238">
        <v>800.4</v>
      </c>
      <c r="C238">
        <f t="shared" si="6"/>
        <v>1.2258887693578071E-3</v>
      </c>
      <c r="E238" s="86">
        <v>44265</v>
      </c>
      <c r="F238" s="87">
        <v>15174.7998046875</v>
      </c>
      <c r="G238" s="88">
        <f t="shared" si="7"/>
        <v>5.0600998838220262E-3</v>
      </c>
    </row>
    <row r="239" spans="1:7" ht="14.25" customHeight="1" x14ac:dyDescent="0.35">
      <c r="A239" s="85">
        <v>44267</v>
      </c>
      <c r="B239">
        <v>790.52</v>
      </c>
      <c r="C239">
        <f t="shared" si="6"/>
        <v>-1.2343828085957017E-2</v>
      </c>
      <c r="E239" s="86">
        <v>44267</v>
      </c>
      <c r="F239" s="87">
        <v>15030.9501953125</v>
      </c>
      <c r="G239" s="88">
        <f t="shared" si="7"/>
        <v>-9.4795062357636382E-3</v>
      </c>
    </row>
    <row r="240" spans="1:7" ht="14.25" customHeight="1" x14ac:dyDescent="0.35">
      <c r="A240" s="85">
        <v>44270</v>
      </c>
      <c r="B240">
        <v>795.75</v>
      </c>
      <c r="C240">
        <f t="shared" si="6"/>
        <v>6.6158983959925342E-3</v>
      </c>
      <c r="E240" s="86">
        <v>44270</v>
      </c>
      <c r="F240" s="87">
        <v>14929.5</v>
      </c>
      <c r="G240" s="88">
        <f t="shared" si="7"/>
        <v>-6.7494199630930788E-3</v>
      </c>
    </row>
    <row r="241" spans="1:7" ht="14.25" customHeight="1" x14ac:dyDescent="0.35">
      <c r="A241" s="85">
        <v>44271</v>
      </c>
      <c r="B241">
        <v>791.44</v>
      </c>
      <c r="C241">
        <f t="shared" si="6"/>
        <v>-5.4162739553879303E-3</v>
      </c>
      <c r="E241" s="86">
        <v>44271</v>
      </c>
      <c r="F241" s="87">
        <v>14910.4501953125</v>
      </c>
      <c r="G241" s="88">
        <f t="shared" si="7"/>
        <v>-1.2759841044576174E-3</v>
      </c>
    </row>
    <row r="242" spans="1:7" ht="14.25" customHeight="1" x14ac:dyDescent="0.35">
      <c r="A242" s="85">
        <v>44272</v>
      </c>
      <c r="B242">
        <v>777.91</v>
      </c>
      <c r="C242">
        <f t="shared" si="6"/>
        <v>-1.7095421004750942E-2</v>
      </c>
      <c r="E242" s="86">
        <v>44272</v>
      </c>
      <c r="F242" s="87">
        <v>14721.2998046875</v>
      </c>
      <c r="G242" s="88">
        <f t="shared" si="7"/>
        <v>-1.2685759862868828E-2</v>
      </c>
    </row>
    <row r="243" spans="1:7" ht="14.25" customHeight="1" x14ac:dyDescent="0.35">
      <c r="A243" s="85">
        <v>44273</v>
      </c>
      <c r="B243">
        <v>765.88</v>
      </c>
      <c r="C243">
        <f t="shared" si="6"/>
        <v>-1.546451388978156E-2</v>
      </c>
      <c r="E243" s="86">
        <v>44273</v>
      </c>
      <c r="F243" s="87">
        <v>14557.849609375</v>
      </c>
      <c r="G243" s="88">
        <f t="shared" si="7"/>
        <v>-1.1102973071742945E-2</v>
      </c>
    </row>
    <row r="244" spans="1:7" ht="14.25" customHeight="1" x14ac:dyDescent="0.35">
      <c r="A244" s="85">
        <v>44274</v>
      </c>
      <c r="B244">
        <v>777.68</v>
      </c>
      <c r="C244">
        <f t="shared" si="6"/>
        <v>1.5407113385908961E-2</v>
      </c>
      <c r="E244" s="86">
        <v>44274</v>
      </c>
      <c r="F244" s="87">
        <v>14744</v>
      </c>
      <c r="G244" s="88">
        <f t="shared" si="7"/>
        <v>1.2786942826028538E-2</v>
      </c>
    </row>
    <row r="245" spans="1:7" ht="14.25" customHeight="1" x14ac:dyDescent="0.35">
      <c r="A245" s="85">
        <v>44277</v>
      </c>
      <c r="B245">
        <v>784.16</v>
      </c>
      <c r="C245">
        <f t="shared" si="6"/>
        <v>8.3324760827075649E-3</v>
      </c>
      <c r="E245" s="86">
        <v>44277</v>
      </c>
      <c r="F245" s="87">
        <v>14736.400390625</v>
      </c>
      <c r="G245" s="88">
        <f t="shared" si="7"/>
        <v>-5.1543742369777532E-4</v>
      </c>
    </row>
    <row r="246" spans="1:7" ht="14.25" customHeight="1" x14ac:dyDescent="0.35">
      <c r="A246" s="85">
        <v>44278</v>
      </c>
      <c r="B246">
        <v>788.57</v>
      </c>
      <c r="C246">
        <f t="shared" si="6"/>
        <v>5.6238522750460132E-3</v>
      </c>
      <c r="E246" s="86">
        <v>44278</v>
      </c>
      <c r="F246" s="87">
        <v>14814.75</v>
      </c>
      <c r="G246" s="88">
        <f t="shared" si="7"/>
        <v>5.3167399974314239E-3</v>
      </c>
    </row>
    <row r="247" spans="1:7" ht="14.25" customHeight="1" x14ac:dyDescent="0.35">
      <c r="A247" s="85">
        <v>44279</v>
      </c>
      <c r="B247">
        <v>777.55</v>
      </c>
      <c r="C247">
        <f t="shared" si="6"/>
        <v>-1.3974662997578014E-2</v>
      </c>
      <c r="E247" s="86">
        <v>44279</v>
      </c>
      <c r="F247" s="87">
        <v>14549.400390625</v>
      </c>
      <c r="G247" s="88">
        <f t="shared" si="7"/>
        <v>-1.7911176994211849E-2</v>
      </c>
    </row>
    <row r="248" spans="1:7" ht="14.25" customHeight="1" x14ac:dyDescent="0.35">
      <c r="A248" s="85">
        <v>44280</v>
      </c>
      <c r="B248">
        <v>764.41</v>
      </c>
      <c r="C248">
        <f t="shared" si="6"/>
        <v>-1.689923477589864E-2</v>
      </c>
      <c r="E248" s="86">
        <v>44280</v>
      </c>
      <c r="F248" s="87">
        <v>14324.900390625</v>
      </c>
      <c r="G248" s="88">
        <f t="shared" si="7"/>
        <v>-1.5430189146808966E-2</v>
      </c>
    </row>
    <row r="249" spans="1:7" ht="14.25" customHeight="1" x14ac:dyDescent="0.35">
      <c r="A249" s="85">
        <v>44281</v>
      </c>
      <c r="B249">
        <v>783.39</v>
      </c>
      <c r="C249">
        <f t="shared" si="6"/>
        <v>2.4829607147996518E-2</v>
      </c>
      <c r="E249" s="86">
        <v>44281</v>
      </c>
      <c r="F249" s="87">
        <v>14507.2998046875</v>
      </c>
      <c r="G249" s="88">
        <f t="shared" si="7"/>
        <v>1.2733031929623202E-2</v>
      </c>
    </row>
    <row r="250" spans="1:7" ht="14.25" customHeight="1" x14ac:dyDescent="0.35">
      <c r="A250" s="85">
        <v>44285</v>
      </c>
      <c r="B250">
        <v>811.44</v>
      </c>
      <c r="C250">
        <f t="shared" si="6"/>
        <v>3.5805920422778012E-2</v>
      </c>
      <c r="E250" s="86">
        <v>44285</v>
      </c>
      <c r="F250" s="87">
        <v>14845.099609375</v>
      </c>
      <c r="G250" s="88">
        <f t="shared" si="7"/>
        <v>2.3284815867550514E-2</v>
      </c>
    </row>
    <row r="251" spans="1:7" ht="14.25" customHeight="1" x14ac:dyDescent="0.35">
      <c r="A251" s="85">
        <v>44286</v>
      </c>
      <c r="B251">
        <v>811.45</v>
      </c>
      <c r="C251">
        <f t="shared" si="6"/>
        <v>1.2323770087734035E-5</v>
      </c>
      <c r="E251" s="86">
        <v>44286</v>
      </c>
      <c r="F251" s="87">
        <v>14690.7001953125</v>
      </c>
      <c r="G251" s="88">
        <f t="shared" si="7"/>
        <v>-1.0400699094332345E-2</v>
      </c>
    </row>
    <row r="252" spans="1:7" ht="14.25" customHeight="1" x14ac:dyDescent="0.35">
      <c r="A252" s="85">
        <v>44287</v>
      </c>
      <c r="B252">
        <v>807.57</v>
      </c>
      <c r="C252">
        <f t="shared" si="6"/>
        <v>-4.7815638671513897E-3</v>
      </c>
      <c r="E252" s="86">
        <v>44287</v>
      </c>
      <c r="F252" s="87">
        <v>14867.349609375</v>
      </c>
      <c r="G252" s="88">
        <f t="shared" si="7"/>
        <v>1.2024574166918552E-2</v>
      </c>
    </row>
    <row r="253" spans="1:7" ht="14.25" customHeight="1" x14ac:dyDescent="0.35">
      <c r="A253" s="85">
        <v>44291</v>
      </c>
      <c r="B253">
        <v>797.99</v>
      </c>
      <c r="C253">
        <f t="shared" si="6"/>
        <v>-1.1862748740047353E-2</v>
      </c>
      <c r="E253" s="86">
        <v>44291</v>
      </c>
      <c r="F253" s="87">
        <v>14637.7998046875</v>
      </c>
      <c r="G253" s="88">
        <f t="shared" si="7"/>
        <v>-1.5439860548026079E-2</v>
      </c>
    </row>
    <row r="254" spans="1:7" ht="14.25" customHeight="1" x14ac:dyDescent="0.35">
      <c r="A254" s="85">
        <v>44292</v>
      </c>
      <c r="B254">
        <v>807.5</v>
      </c>
      <c r="C254">
        <f t="shared" si="6"/>
        <v>1.191744257446834E-2</v>
      </c>
      <c r="E254" s="86">
        <v>44292</v>
      </c>
      <c r="F254" s="87">
        <v>14683.5</v>
      </c>
      <c r="G254" s="88">
        <f t="shared" si="7"/>
        <v>3.1220672452334885E-3</v>
      </c>
    </row>
    <row r="255" spans="1:7" ht="14.25" customHeight="1" x14ac:dyDescent="0.35">
      <c r="A255" s="85">
        <v>44293</v>
      </c>
      <c r="B255">
        <v>823.01</v>
      </c>
      <c r="C255">
        <f t="shared" si="6"/>
        <v>1.9207430340557264E-2</v>
      </c>
      <c r="E255" s="86">
        <v>44293</v>
      </c>
      <c r="F255" s="87">
        <v>14819.0498046875</v>
      </c>
      <c r="G255" s="88">
        <f t="shared" si="7"/>
        <v>9.231436965811966E-3</v>
      </c>
    </row>
    <row r="256" spans="1:7" ht="14.25" customHeight="1" x14ac:dyDescent="0.35">
      <c r="A256" s="85">
        <v>44294</v>
      </c>
      <c r="B256">
        <v>836.25</v>
      </c>
      <c r="C256">
        <f t="shared" si="6"/>
        <v>1.6087289340348244E-2</v>
      </c>
      <c r="E256" s="86">
        <v>44294</v>
      </c>
      <c r="F256" s="87">
        <v>14873.7998046875</v>
      </c>
      <c r="G256" s="88">
        <f t="shared" si="7"/>
        <v>3.6945688638337464E-3</v>
      </c>
    </row>
    <row r="257" spans="1:7" ht="14.25" customHeight="1" x14ac:dyDescent="0.35">
      <c r="A257" s="85">
        <v>44295</v>
      </c>
      <c r="B257">
        <v>831.64</v>
      </c>
      <c r="C257">
        <f t="shared" si="6"/>
        <v>-5.5127055306427664E-3</v>
      </c>
      <c r="E257" s="86">
        <v>44295</v>
      </c>
      <c r="F257" s="87">
        <v>14834.849609375</v>
      </c>
      <c r="G257" s="88">
        <f t="shared" si="7"/>
        <v>-2.6187118170183242E-3</v>
      </c>
    </row>
    <row r="258" spans="1:7" ht="14.25" customHeight="1" x14ac:dyDescent="0.35">
      <c r="A258" s="85">
        <v>44298</v>
      </c>
      <c r="B258">
        <v>827.35</v>
      </c>
      <c r="C258">
        <f t="shared" si="6"/>
        <v>-5.1584820354960842E-3</v>
      </c>
      <c r="E258" s="86">
        <v>44298</v>
      </c>
      <c r="F258" s="87">
        <v>14310.7998046875</v>
      </c>
      <c r="G258" s="88">
        <f t="shared" si="7"/>
        <v>-3.5325589304007678E-2</v>
      </c>
    </row>
    <row r="259" spans="1:7" ht="14.25" customHeight="1" x14ac:dyDescent="0.35">
      <c r="A259" s="85">
        <v>44299</v>
      </c>
      <c r="B259">
        <v>811.62</v>
      </c>
      <c r="C259">
        <f t="shared" si="6"/>
        <v>-1.9012509820511291E-2</v>
      </c>
      <c r="E259" s="86">
        <v>44299</v>
      </c>
      <c r="F259" s="87">
        <v>14504.7998046875</v>
      </c>
      <c r="G259" s="88">
        <f t="shared" si="7"/>
        <v>1.3556195506030022E-2</v>
      </c>
    </row>
    <row r="260" spans="1:7" ht="14.25" customHeight="1" x14ac:dyDescent="0.35">
      <c r="A260" s="85">
        <v>44301</v>
      </c>
      <c r="B260">
        <v>797.76</v>
      </c>
      <c r="C260">
        <f t="shared" si="6"/>
        <v>-1.7076957196717691E-2</v>
      </c>
      <c r="E260" s="86">
        <v>44301</v>
      </c>
      <c r="F260" s="87">
        <v>14581.4501953125</v>
      </c>
      <c r="G260" s="88">
        <f t="shared" si="7"/>
        <v>5.2844845607747703E-3</v>
      </c>
    </row>
    <row r="261" spans="1:7" ht="14.25" customHeight="1" x14ac:dyDescent="0.35">
      <c r="A261" s="85">
        <v>44302</v>
      </c>
      <c r="B261">
        <v>815.56</v>
      </c>
      <c r="C261">
        <f t="shared" ref="C261:C324" si="8">(B261-B260)/B260</f>
        <v>2.2312474929803393E-2</v>
      </c>
      <c r="E261" s="86">
        <v>44302</v>
      </c>
      <c r="F261" s="87">
        <v>14617.849609375</v>
      </c>
      <c r="G261" s="88">
        <f t="shared" ref="G261:G324" si="9">(F261-F260)/F260</f>
        <v>2.4962821650072447E-3</v>
      </c>
    </row>
    <row r="262" spans="1:7" ht="14.25" customHeight="1" x14ac:dyDescent="0.35">
      <c r="A262" s="85">
        <v>44305</v>
      </c>
      <c r="B262">
        <v>807.89</v>
      </c>
      <c r="C262">
        <f t="shared" si="8"/>
        <v>-9.4045809014664267E-3</v>
      </c>
      <c r="E262" s="86">
        <v>44305</v>
      </c>
      <c r="F262" s="87">
        <v>14359.4501953125</v>
      </c>
      <c r="G262" s="88">
        <f t="shared" si="9"/>
        <v>-1.7676978554819603E-2</v>
      </c>
    </row>
    <row r="263" spans="1:7" ht="14.25" customHeight="1" x14ac:dyDescent="0.35">
      <c r="A263" s="85">
        <v>44306</v>
      </c>
      <c r="B263">
        <v>808.16</v>
      </c>
      <c r="C263">
        <f t="shared" si="8"/>
        <v>3.3420391389914694E-4</v>
      </c>
      <c r="E263" s="86">
        <v>44306</v>
      </c>
      <c r="F263" s="87">
        <v>14296.400390625</v>
      </c>
      <c r="G263" s="88">
        <f t="shared" si="9"/>
        <v>-4.390823034999069E-3</v>
      </c>
    </row>
    <row r="264" spans="1:7" ht="14.25" customHeight="1" x14ac:dyDescent="0.35">
      <c r="A264" s="85">
        <v>44308</v>
      </c>
      <c r="B264">
        <v>793.73</v>
      </c>
      <c r="C264">
        <f t="shared" si="8"/>
        <v>-1.7855375173232962E-2</v>
      </c>
      <c r="E264" s="86">
        <v>44308</v>
      </c>
      <c r="F264" s="87">
        <v>14406.150390625</v>
      </c>
      <c r="G264" s="88">
        <f t="shared" si="9"/>
        <v>7.6767575754222439E-3</v>
      </c>
    </row>
    <row r="265" spans="1:7" ht="14.25" customHeight="1" x14ac:dyDescent="0.35">
      <c r="A265" s="85">
        <v>44309</v>
      </c>
      <c r="B265">
        <v>785.94</v>
      </c>
      <c r="C265">
        <f t="shared" si="8"/>
        <v>-9.8144205208319756E-3</v>
      </c>
      <c r="E265" s="86">
        <v>44309</v>
      </c>
      <c r="F265" s="87">
        <v>14341.349609375</v>
      </c>
      <c r="G265" s="88">
        <f t="shared" si="9"/>
        <v>-4.4981330537941623E-3</v>
      </c>
    </row>
    <row r="266" spans="1:7" ht="14.25" customHeight="1" x14ac:dyDescent="0.35">
      <c r="A266" s="85">
        <v>44312</v>
      </c>
      <c r="B266">
        <v>797.52</v>
      </c>
      <c r="C266">
        <f t="shared" si="8"/>
        <v>1.4733949156424061E-2</v>
      </c>
      <c r="E266" s="86">
        <v>44312</v>
      </c>
      <c r="F266" s="87">
        <v>14485</v>
      </c>
      <c r="G266" s="88">
        <f t="shared" si="9"/>
        <v>1.001651828716979E-2</v>
      </c>
    </row>
    <row r="267" spans="1:7" ht="14.25" customHeight="1" x14ac:dyDescent="0.35">
      <c r="A267" s="85">
        <v>44313</v>
      </c>
      <c r="B267">
        <v>793.19</v>
      </c>
      <c r="C267">
        <f t="shared" si="8"/>
        <v>-5.4293309258701067E-3</v>
      </c>
      <c r="E267" s="86">
        <v>44313</v>
      </c>
      <c r="F267" s="87">
        <v>14653.0498046875</v>
      </c>
      <c r="G267" s="88">
        <f t="shared" si="9"/>
        <v>1.1601643402657923E-2</v>
      </c>
    </row>
    <row r="268" spans="1:7" ht="14.25" customHeight="1" x14ac:dyDescent="0.35">
      <c r="A268" s="85">
        <v>44314</v>
      </c>
      <c r="B268">
        <v>786.33</v>
      </c>
      <c r="C268">
        <f t="shared" si="8"/>
        <v>-8.6486213895788054E-3</v>
      </c>
      <c r="E268" s="86">
        <v>44314</v>
      </c>
      <c r="F268" s="87">
        <v>14864.5498046875</v>
      </c>
      <c r="G268" s="88">
        <f t="shared" si="9"/>
        <v>1.4433855260107101E-2</v>
      </c>
    </row>
    <row r="269" spans="1:7" ht="14.25" customHeight="1" x14ac:dyDescent="0.35">
      <c r="A269" s="85">
        <v>44315</v>
      </c>
      <c r="B269">
        <v>784.37</v>
      </c>
      <c r="C269">
        <f t="shared" si="8"/>
        <v>-2.4925921686824058E-3</v>
      </c>
      <c r="E269" s="86">
        <v>44315</v>
      </c>
      <c r="F269" s="87">
        <v>14894.900390625</v>
      </c>
      <c r="G269" s="88">
        <f t="shared" si="9"/>
        <v>2.0418099664161384E-3</v>
      </c>
    </row>
    <row r="270" spans="1:7" ht="14.25" customHeight="1" x14ac:dyDescent="0.35">
      <c r="A270" s="85">
        <v>44316</v>
      </c>
      <c r="B270">
        <v>775.18</v>
      </c>
      <c r="C270">
        <f t="shared" si="8"/>
        <v>-1.1716409347629377E-2</v>
      </c>
      <c r="E270" s="86">
        <v>44316</v>
      </c>
      <c r="F270" s="87">
        <v>14631.099609375</v>
      </c>
      <c r="G270" s="88">
        <f t="shared" si="9"/>
        <v>-1.7710812045177479E-2</v>
      </c>
    </row>
    <row r="271" spans="1:7" ht="14.25" customHeight="1" x14ac:dyDescent="0.35">
      <c r="A271" s="85">
        <v>44319</v>
      </c>
      <c r="B271">
        <v>784.57</v>
      </c>
      <c r="C271">
        <f t="shared" si="8"/>
        <v>1.2113315617018113E-2</v>
      </c>
      <c r="E271" s="86">
        <v>44319</v>
      </c>
      <c r="F271" s="87">
        <v>14634.150390625</v>
      </c>
      <c r="G271" s="88">
        <f t="shared" si="9"/>
        <v>2.0851346320171222E-4</v>
      </c>
    </row>
    <row r="272" spans="1:7" ht="14.25" customHeight="1" x14ac:dyDescent="0.35">
      <c r="A272" s="85">
        <v>44320</v>
      </c>
      <c r="B272">
        <v>786.46</v>
      </c>
      <c r="C272">
        <f t="shared" si="8"/>
        <v>2.4089628713817586E-3</v>
      </c>
      <c r="E272" s="86">
        <v>44320</v>
      </c>
      <c r="F272" s="87">
        <v>14496.5</v>
      </c>
      <c r="G272" s="88">
        <f t="shared" si="9"/>
        <v>-9.4061074234403283E-3</v>
      </c>
    </row>
    <row r="273" spans="1:7" ht="14.25" customHeight="1" x14ac:dyDescent="0.35">
      <c r="A273" s="85">
        <v>44321</v>
      </c>
      <c r="B273">
        <v>786.59</v>
      </c>
      <c r="C273">
        <f t="shared" si="8"/>
        <v>1.6529766294534425E-4</v>
      </c>
      <c r="E273" s="86">
        <v>44321</v>
      </c>
      <c r="F273" s="87">
        <v>14617.849609375</v>
      </c>
      <c r="G273" s="88">
        <f t="shared" si="9"/>
        <v>8.3709591539337085E-3</v>
      </c>
    </row>
    <row r="274" spans="1:7" ht="14.25" customHeight="1" x14ac:dyDescent="0.35">
      <c r="A274" s="85">
        <v>44322</v>
      </c>
      <c r="B274">
        <v>794.59</v>
      </c>
      <c r="C274">
        <f t="shared" si="8"/>
        <v>1.0170482716535933E-2</v>
      </c>
      <c r="E274" s="86">
        <v>44322</v>
      </c>
      <c r="F274" s="87">
        <v>14724.7998046875</v>
      </c>
      <c r="G274" s="88">
        <f t="shared" si="9"/>
        <v>7.3164109749705355E-3</v>
      </c>
    </row>
    <row r="275" spans="1:7" ht="14.25" customHeight="1" x14ac:dyDescent="0.35">
      <c r="A275" s="85">
        <v>44323</v>
      </c>
      <c r="B275">
        <v>796.67</v>
      </c>
      <c r="C275">
        <f t="shared" si="8"/>
        <v>2.6177022112031704E-3</v>
      </c>
      <c r="E275" s="86">
        <v>44323</v>
      </c>
      <c r="F275" s="87">
        <v>14823.150390625</v>
      </c>
      <c r="G275" s="88">
        <f t="shared" si="9"/>
        <v>6.6792477481555316E-3</v>
      </c>
    </row>
    <row r="276" spans="1:7" ht="14.25" customHeight="1" x14ac:dyDescent="0.35">
      <c r="A276" s="85">
        <v>44326</v>
      </c>
      <c r="B276">
        <v>797.9</v>
      </c>
      <c r="C276">
        <f t="shared" si="8"/>
        <v>1.5439265944494184E-3</v>
      </c>
      <c r="E276" s="86">
        <v>44326</v>
      </c>
      <c r="F276" s="87">
        <v>14942.349609375</v>
      </c>
      <c r="G276" s="88">
        <f t="shared" si="9"/>
        <v>8.041422748121637E-3</v>
      </c>
    </row>
    <row r="277" spans="1:7" ht="14.25" customHeight="1" x14ac:dyDescent="0.35">
      <c r="A277" s="85">
        <v>44327</v>
      </c>
      <c r="B277">
        <v>801.84</v>
      </c>
      <c r="C277">
        <f t="shared" si="8"/>
        <v>4.9379621506455132E-3</v>
      </c>
      <c r="E277" s="86">
        <v>44327</v>
      </c>
      <c r="F277" s="87">
        <v>14850.75</v>
      </c>
      <c r="G277" s="88">
        <f t="shared" si="9"/>
        <v>-6.1302011912189071E-3</v>
      </c>
    </row>
    <row r="278" spans="1:7" ht="14.25" customHeight="1" x14ac:dyDescent="0.35">
      <c r="A278" s="85">
        <v>44328</v>
      </c>
      <c r="B278">
        <v>794.6</v>
      </c>
      <c r="C278">
        <f t="shared" si="8"/>
        <v>-9.0292327646413362E-3</v>
      </c>
      <c r="E278" s="86">
        <v>44328</v>
      </c>
      <c r="F278" s="87">
        <v>14696.5</v>
      </c>
      <c r="G278" s="88">
        <f t="shared" si="9"/>
        <v>-1.0386680807366631E-2</v>
      </c>
    </row>
    <row r="279" spans="1:7" ht="14.25" customHeight="1" x14ac:dyDescent="0.35">
      <c r="A279" s="85">
        <v>44330</v>
      </c>
      <c r="B279">
        <v>818.66</v>
      </c>
      <c r="C279">
        <f t="shared" si="8"/>
        <v>3.0279385854517928E-2</v>
      </c>
      <c r="E279" s="86">
        <v>44330</v>
      </c>
      <c r="F279" s="87">
        <v>14677.7998046875</v>
      </c>
      <c r="G279" s="88">
        <f t="shared" si="9"/>
        <v>-1.2724250884564353E-3</v>
      </c>
    </row>
    <row r="280" spans="1:7" ht="14.25" customHeight="1" x14ac:dyDescent="0.35">
      <c r="A280" s="85">
        <v>44333</v>
      </c>
      <c r="B280">
        <v>809.81</v>
      </c>
      <c r="C280">
        <f t="shared" si="8"/>
        <v>-1.081034861847412E-2</v>
      </c>
      <c r="E280" s="86">
        <v>44333</v>
      </c>
      <c r="F280" s="87">
        <v>14923.150390625</v>
      </c>
      <c r="G280" s="88">
        <f t="shared" si="9"/>
        <v>1.6715760481972569E-2</v>
      </c>
    </row>
    <row r="281" spans="1:7" ht="14.25" customHeight="1" x14ac:dyDescent="0.35">
      <c r="A281" s="85">
        <v>44334</v>
      </c>
      <c r="B281">
        <v>816.59</v>
      </c>
      <c r="C281">
        <f t="shared" si="8"/>
        <v>8.3723342512442255E-3</v>
      </c>
      <c r="E281" s="86">
        <v>44334</v>
      </c>
      <c r="F281" s="87">
        <v>15108.099609375</v>
      </c>
      <c r="G281" s="88">
        <f t="shared" si="9"/>
        <v>1.239344333527514E-2</v>
      </c>
    </row>
    <row r="282" spans="1:7" ht="14.25" customHeight="1" x14ac:dyDescent="0.35">
      <c r="A282" s="85">
        <v>44335</v>
      </c>
      <c r="B282">
        <v>829.37</v>
      </c>
      <c r="C282">
        <f t="shared" si="8"/>
        <v>1.5650448817644071E-2</v>
      </c>
      <c r="E282" s="86">
        <v>44335</v>
      </c>
      <c r="F282" s="87">
        <v>15030.150390625</v>
      </c>
      <c r="G282" s="88">
        <f t="shared" si="9"/>
        <v>-5.1594324081388979E-3</v>
      </c>
    </row>
    <row r="283" spans="1:7" ht="14.25" customHeight="1" x14ac:dyDescent="0.35">
      <c r="A283" s="85">
        <v>44336</v>
      </c>
      <c r="B283">
        <v>821.57</v>
      </c>
      <c r="C283">
        <f t="shared" si="8"/>
        <v>-9.4047288906036561E-3</v>
      </c>
      <c r="E283" s="86">
        <v>44336</v>
      </c>
      <c r="F283" s="87">
        <v>14906.0498046875</v>
      </c>
      <c r="G283" s="88">
        <f t="shared" si="9"/>
        <v>-8.2567760609306533E-3</v>
      </c>
    </row>
    <row r="284" spans="1:7" ht="14.25" customHeight="1" x14ac:dyDescent="0.35">
      <c r="A284" s="85">
        <v>44337</v>
      </c>
      <c r="B284">
        <v>831.64</v>
      </c>
      <c r="C284">
        <f t="shared" si="8"/>
        <v>1.2257020095670406E-2</v>
      </c>
      <c r="E284" s="86">
        <v>44337</v>
      </c>
      <c r="F284" s="87">
        <v>15175.2998046875</v>
      </c>
      <c r="G284" s="88">
        <f t="shared" si="9"/>
        <v>1.8063135674974671E-2</v>
      </c>
    </row>
    <row r="285" spans="1:7" ht="14.25" customHeight="1" x14ac:dyDescent="0.35">
      <c r="A285" s="85">
        <v>44340</v>
      </c>
      <c r="B285">
        <v>825.13</v>
      </c>
      <c r="C285">
        <f t="shared" si="8"/>
        <v>-7.827906305612994E-3</v>
      </c>
      <c r="E285" s="86">
        <v>44340</v>
      </c>
      <c r="F285" s="87">
        <v>15197.7001953125</v>
      </c>
      <c r="G285" s="88">
        <f t="shared" si="9"/>
        <v>1.4761086049898495E-3</v>
      </c>
    </row>
    <row r="286" spans="1:7" ht="14.25" customHeight="1" x14ac:dyDescent="0.35">
      <c r="A286" s="85">
        <v>44341</v>
      </c>
      <c r="B286">
        <v>832.54</v>
      </c>
      <c r="C286">
        <f t="shared" si="8"/>
        <v>8.980403087998216E-3</v>
      </c>
      <c r="E286" s="86">
        <v>44341</v>
      </c>
      <c r="F286" s="87">
        <v>15208.4501953125</v>
      </c>
      <c r="G286" s="88">
        <f t="shared" si="9"/>
        <v>7.0734386531165255E-4</v>
      </c>
    </row>
    <row r="287" spans="1:7" ht="14.25" customHeight="1" x14ac:dyDescent="0.35">
      <c r="A287" s="85">
        <v>44342</v>
      </c>
      <c r="B287">
        <v>833.74</v>
      </c>
      <c r="C287">
        <f t="shared" si="8"/>
        <v>1.4413721863214327E-3</v>
      </c>
      <c r="E287" s="86">
        <v>44342</v>
      </c>
      <c r="F287" s="87">
        <v>15301.4501953125</v>
      </c>
      <c r="G287" s="88">
        <f t="shared" si="9"/>
        <v>6.1150215048647203E-3</v>
      </c>
    </row>
    <row r="288" spans="1:7" ht="14.25" customHeight="1" x14ac:dyDescent="0.35">
      <c r="A288" s="85">
        <v>44343</v>
      </c>
      <c r="B288">
        <v>843.5</v>
      </c>
      <c r="C288">
        <f t="shared" si="8"/>
        <v>1.1706287331782078E-2</v>
      </c>
      <c r="E288" s="86">
        <v>44343</v>
      </c>
      <c r="F288" s="87">
        <v>15337.849609375</v>
      </c>
      <c r="G288" s="88">
        <f t="shared" si="9"/>
        <v>2.3788211965458492E-3</v>
      </c>
    </row>
    <row r="289" spans="1:7" ht="14.25" customHeight="1" x14ac:dyDescent="0.35">
      <c r="A289" s="85">
        <v>44344</v>
      </c>
      <c r="B289">
        <v>832.22</v>
      </c>
      <c r="C289">
        <f t="shared" si="8"/>
        <v>-1.3372851215174834E-2</v>
      </c>
      <c r="E289" s="86">
        <v>44344</v>
      </c>
      <c r="F289" s="87">
        <v>15435.650390625</v>
      </c>
      <c r="G289" s="88">
        <f t="shared" si="9"/>
        <v>6.3764337075140533E-3</v>
      </c>
    </row>
    <row r="290" spans="1:7" ht="14.25" customHeight="1" x14ac:dyDescent="0.35">
      <c r="A290" s="85">
        <v>44347</v>
      </c>
      <c r="B290">
        <v>841.07</v>
      </c>
      <c r="C290">
        <f t="shared" si="8"/>
        <v>1.0634207300954102E-2</v>
      </c>
      <c r="E290" s="86">
        <v>44347</v>
      </c>
      <c r="F290" s="87">
        <v>15582.7998046875</v>
      </c>
      <c r="G290" s="88">
        <f t="shared" si="9"/>
        <v>9.5330880357249285E-3</v>
      </c>
    </row>
    <row r="291" spans="1:7" ht="14.25" customHeight="1" x14ac:dyDescent="0.35">
      <c r="A291" s="85">
        <v>44348</v>
      </c>
      <c r="B291">
        <v>844.06</v>
      </c>
      <c r="C291">
        <f t="shared" si="8"/>
        <v>3.5549954224974082E-3</v>
      </c>
      <c r="E291" s="86">
        <v>44348</v>
      </c>
      <c r="F291" s="87">
        <v>15574.849609375</v>
      </c>
      <c r="G291" s="88">
        <f t="shared" si="9"/>
        <v>-5.1019042868717874E-4</v>
      </c>
    </row>
    <row r="292" spans="1:7" ht="14.25" customHeight="1" x14ac:dyDescent="0.35">
      <c r="A292" s="85">
        <v>44349</v>
      </c>
      <c r="B292">
        <v>839.07</v>
      </c>
      <c r="C292">
        <f t="shared" si="8"/>
        <v>-5.9119019974882064E-3</v>
      </c>
      <c r="E292" s="86">
        <v>44349</v>
      </c>
      <c r="F292" s="87">
        <v>15576.2001953125</v>
      </c>
      <c r="G292" s="88">
        <f t="shared" si="9"/>
        <v>8.6715825280716621E-5</v>
      </c>
    </row>
    <row r="293" spans="1:7" ht="14.25" customHeight="1" x14ac:dyDescent="0.35">
      <c r="A293" s="85">
        <v>44350</v>
      </c>
      <c r="B293">
        <v>846.01</v>
      </c>
      <c r="C293">
        <f t="shared" si="8"/>
        <v>8.2710620091290838E-3</v>
      </c>
      <c r="E293" s="86">
        <v>44350</v>
      </c>
      <c r="F293" s="87">
        <v>15690.349609375</v>
      </c>
      <c r="G293" s="88">
        <f t="shared" si="9"/>
        <v>7.3284506253875779E-3</v>
      </c>
    </row>
    <row r="294" spans="1:7" ht="14.25" customHeight="1" x14ac:dyDescent="0.35">
      <c r="A294" s="85">
        <v>44351</v>
      </c>
      <c r="B294">
        <v>828.3</v>
      </c>
      <c r="C294">
        <f t="shared" si="8"/>
        <v>-2.0933558704979888E-2</v>
      </c>
      <c r="E294" s="86">
        <v>44351</v>
      </c>
      <c r="F294" s="87">
        <v>15670.25</v>
      </c>
      <c r="G294" s="88">
        <f t="shared" si="9"/>
        <v>-1.2810173052479636E-3</v>
      </c>
    </row>
    <row r="295" spans="1:7" ht="14.25" customHeight="1" x14ac:dyDescent="0.35">
      <c r="A295" s="85">
        <v>44354</v>
      </c>
      <c r="B295">
        <v>833.32</v>
      </c>
      <c r="C295">
        <f t="shared" si="8"/>
        <v>6.060606060606176E-3</v>
      </c>
      <c r="E295" s="86">
        <v>44354</v>
      </c>
      <c r="F295" s="87">
        <v>15751.650390625</v>
      </c>
      <c r="G295" s="88">
        <f t="shared" si="9"/>
        <v>5.1945814919991708E-3</v>
      </c>
    </row>
    <row r="296" spans="1:7" ht="14.25" customHeight="1" x14ac:dyDescent="0.35">
      <c r="A296" s="85">
        <v>44355</v>
      </c>
      <c r="B296">
        <v>830.95</v>
      </c>
      <c r="C296">
        <f t="shared" si="8"/>
        <v>-2.8440455047280809E-3</v>
      </c>
      <c r="E296" s="86">
        <v>44355</v>
      </c>
      <c r="F296" s="87">
        <v>15740.099609375</v>
      </c>
      <c r="G296" s="88">
        <f t="shared" si="9"/>
        <v>-7.3330609577741419E-4</v>
      </c>
    </row>
    <row r="297" spans="1:7" ht="14.25" customHeight="1" x14ac:dyDescent="0.35">
      <c r="A297" s="85">
        <v>44356</v>
      </c>
      <c r="B297">
        <v>834.49</v>
      </c>
      <c r="C297">
        <f t="shared" si="8"/>
        <v>4.2601841266020381E-3</v>
      </c>
      <c r="E297" s="86">
        <v>44356</v>
      </c>
      <c r="F297" s="87">
        <v>15635.349609375</v>
      </c>
      <c r="G297" s="88">
        <f t="shared" si="9"/>
        <v>-6.6549769442125761E-3</v>
      </c>
    </row>
    <row r="298" spans="1:7" ht="14.25" customHeight="1" x14ac:dyDescent="0.35">
      <c r="A298" s="85">
        <v>44357</v>
      </c>
      <c r="B298">
        <v>834.44</v>
      </c>
      <c r="C298">
        <f t="shared" si="8"/>
        <v>-5.9916835432365309E-5</v>
      </c>
      <c r="E298" s="86">
        <v>44357</v>
      </c>
      <c r="F298" s="87">
        <v>15737.75</v>
      </c>
      <c r="G298" s="88">
        <f t="shared" si="9"/>
        <v>6.5492869160789623E-3</v>
      </c>
    </row>
    <row r="299" spans="1:7" ht="14.25" customHeight="1" x14ac:dyDescent="0.35">
      <c r="A299" s="85">
        <v>44358</v>
      </c>
      <c r="B299">
        <v>833.51</v>
      </c>
      <c r="C299">
        <f t="shared" si="8"/>
        <v>-1.1145199175495704E-3</v>
      </c>
      <c r="E299" s="86">
        <v>44358</v>
      </c>
      <c r="F299" s="87">
        <v>15799.349609375</v>
      </c>
      <c r="G299" s="88">
        <f t="shared" si="9"/>
        <v>3.9141306333497486E-3</v>
      </c>
    </row>
    <row r="300" spans="1:7" ht="14.25" customHeight="1" x14ac:dyDescent="0.35">
      <c r="A300" s="85">
        <v>44361</v>
      </c>
      <c r="B300">
        <v>835.46</v>
      </c>
      <c r="C300">
        <f t="shared" si="8"/>
        <v>2.3395040251467233E-3</v>
      </c>
      <c r="E300" s="86">
        <v>44361</v>
      </c>
      <c r="F300" s="87">
        <v>15811.849609375</v>
      </c>
      <c r="G300" s="88">
        <f t="shared" si="9"/>
        <v>7.9117180827385227E-4</v>
      </c>
    </row>
    <row r="301" spans="1:7" ht="14.25" customHeight="1" x14ac:dyDescent="0.35">
      <c r="A301" s="85">
        <v>44362</v>
      </c>
      <c r="B301">
        <v>840.56</v>
      </c>
      <c r="C301">
        <f t="shared" si="8"/>
        <v>6.1044215162903174E-3</v>
      </c>
      <c r="E301" s="86">
        <v>44362</v>
      </c>
      <c r="F301" s="87">
        <v>15869.25</v>
      </c>
      <c r="G301" s="88">
        <f t="shared" si="9"/>
        <v>3.630213545097643E-3</v>
      </c>
    </row>
    <row r="302" spans="1:7" ht="14.25" customHeight="1" x14ac:dyDescent="0.35">
      <c r="A302" s="85">
        <v>44363</v>
      </c>
      <c r="B302">
        <v>853.89</v>
      </c>
      <c r="C302">
        <f t="shared" si="8"/>
        <v>1.5858475302179549E-2</v>
      </c>
      <c r="E302" s="86">
        <v>44363</v>
      </c>
      <c r="F302" s="87">
        <v>15767.5498046875</v>
      </c>
      <c r="G302" s="88">
        <f t="shared" si="9"/>
        <v>-6.4086327528081041E-3</v>
      </c>
    </row>
    <row r="303" spans="1:7" ht="14.25" customHeight="1" x14ac:dyDescent="0.35">
      <c r="A303" s="85">
        <v>44364</v>
      </c>
      <c r="B303">
        <v>858.35</v>
      </c>
      <c r="C303">
        <f t="shared" si="8"/>
        <v>5.2231552073452514E-3</v>
      </c>
      <c r="E303" s="86">
        <v>44364</v>
      </c>
      <c r="F303" s="87">
        <v>15691.400390625</v>
      </c>
      <c r="G303" s="88">
        <f t="shared" si="9"/>
        <v>-4.829502047290931E-3</v>
      </c>
    </row>
    <row r="304" spans="1:7" ht="14.25" customHeight="1" x14ac:dyDescent="0.35">
      <c r="A304" s="85">
        <v>44365</v>
      </c>
      <c r="B304">
        <v>839.89</v>
      </c>
      <c r="C304">
        <f t="shared" si="8"/>
        <v>-2.1506378516922043E-2</v>
      </c>
      <c r="E304" s="86">
        <v>44365</v>
      </c>
      <c r="F304" s="87">
        <v>15683.349609375</v>
      </c>
      <c r="G304" s="88">
        <f t="shared" si="9"/>
        <v>-5.1306964640390079E-4</v>
      </c>
    </row>
    <row r="305" spans="1:7" ht="14.25" customHeight="1" x14ac:dyDescent="0.35">
      <c r="A305" s="85">
        <v>44368</v>
      </c>
      <c r="B305">
        <v>838.86</v>
      </c>
      <c r="C305">
        <f t="shared" si="8"/>
        <v>-1.2263510697829152E-3</v>
      </c>
      <c r="E305" s="86">
        <v>44368</v>
      </c>
      <c r="F305" s="87">
        <v>15746.5</v>
      </c>
      <c r="G305" s="88">
        <f t="shared" si="9"/>
        <v>4.0265882096545708E-3</v>
      </c>
    </row>
    <row r="306" spans="1:7" ht="14.25" customHeight="1" x14ac:dyDescent="0.35">
      <c r="A306" s="85">
        <v>44369</v>
      </c>
      <c r="B306">
        <v>828.76</v>
      </c>
      <c r="C306">
        <f t="shared" si="8"/>
        <v>-1.2040149727010493E-2</v>
      </c>
      <c r="E306" s="86">
        <v>44369</v>
      </c>
      <c r="F306" s="87">
        <v>15772.75</v>
      </c>
      <c r="G306" s="88">
        <f t="shared" si="9"/>
        <v>1.6670371193598578E-3</v>
      </c>
    </row>
    <row r="307" spans="1:7" ht="14.25" customHeight="1" x14ac:dyDescent="0.35">
      <c r="A307" s="85">
        <v>44370</v>
      </c>
      <c r="B307">
        <v>827.73</v>
      </c>
      <c r="C307">
        <f t="shared" si="8"/>
        <v>-1.2428205994497474E-3</v>
      </c>
      <c r="E307" s="86">
        <v>44370</v>
      </c>
      <c r="F307" s="87">
        <v>15686.9501953125</v>
      </c>
      <c r="G307" s="88">
        <f t="shared" si="9"/>
        <v>-5.4397492312691191E-3</v>
      </c>
    </row>
    <row r="308" spans="1:7" ht="14.25" customHeight="1" x14ac:dyDescent="0.35">
      <c r="A308" s="85">
        <v>44371</v>
      </c>
      <c r="B308">
        <v>837.47</v>
      </c>
      <c r="C308">
        <f t="shared" si="8"/>
        <v>1.1767122129196729E-2</v>
      </c>
      <c r="E308" s="86">
        <v>44371</v>
      </c>
      <c r="F308" s="87">
        <v>15790.4501953125</v>
      </c>
      <c r="G308" s="88">
        <f t="shared" si="9"/>
        <v>6.5978407983297719E-3</v>
      </c>
    </row>
    <row r="309" spans="1:7" ht="14.25" customHeight="1" x14ac:dyDescent="0.35">
      <c r="A309" s="85">
        <v>44372</v>
      </c>
      <c r="B309">
        <v>832.09</v>
      </c>
      <c r="C309">
        <f t="shared" si="8"/>
        <v>-6.4241107144136448E-3</v>
      </c>
      <c r="E309" s="86">
        <v>44372</v>
      </c>
      <c r="F309" s="87">
        <v>15860.349609375</v>
      </c>
      <c r="G309" s="88">
        <f t="shared" si="9"/>
        <v>4.4266891189239247E-3</v>
      </c>
    </row>
    <row r="310" spans="1:7" ht="14.25" customHeight="1" x14ac:dyDescent="0.35">
      <c r="A310" s="85">
        <v>44375</v>
      </c>
      <c r="B310">
        <v>832.07</v>
      </c>
      <c r="C310">
        <f t="shared" si="8"/>
        <v>-2.4035861505344144E-5</v>
      </c>
      <c r="E310" s="86">
        <v>44375</v>
      </c>
      <c r="F310" s="87">
        <v>15814.7001953125</v>
      </c>
      <c r="G310" s="88">
        <f t="shared" si="9"/>
        <v>-2.8782098242977434E-3</v>
      </c>
    </row>
    <row r="311" spans="1:7" ht="14.25" customHeight="1" x14ac:dyDescent="0.35">
      <c r="A311" s="85">
        <v>44376</v>
      </c>
      <c r="B311">
        <v>836.49</v>
      </c>
      <c r="C311">
        <f t="shared" si="8"/>
        <v>5.3120530724577964E-3</v>
      </c>
      <c r="E311" s="86">
        <v>44376</v>
      </c>
      <c r="F311" s="87">
        <v>15748.4501953125</v>
      </c>
      <c r="G311" s="88">
        <f t="shared" si="9"/>
        <v>-4.1891404314851697E-3</v>
      </c>
    </row>
    <row r="312" spans="1:7" ht="14.25" customHeight="1" x14ac:dyDescent="0.35">
      <c r="A312" s="85">
        <v>44377</v>
      </c>
      <c r="B312">
        <v>838.1</v>
      </c>
      <c r="C312">
        <f t="shared" si="8"/>
        <v>1.9247092015445655E-3</v>
      </c>
      <c r="E312" s="86">
        <v>44377</v>
      </c>
      <c r="F312" s="87">
        <v>15721.5</v>
      </c>
      <c r="G312" s="88">
        <f t="shared" si="9"/>
        <v>-1.7112919035373831E-3</v>
      </c>
    </row>
    <row r="313" spans="1:7" ht="14.25" customHeight="1" x14ac:dyDescent="0.35">
      <c r="A313" s="85">
        <v>44378</v>
      </c>
      <c r="B313">
        <v>838.72</v>
      </c>
      <c r="C313">
        <f t="shared" si="8"/>
        <v>7.3976852404248239E-4</v>
      </c>
      <c r="E313" s="86">
        <v>44378</v>
      </c>
      <c r="F313" s="87">
        <v>15680</v>
      </c>
      <c r="G313" s="88">
        <f t="shared" si="9"/>
        <v>-2.6396972299080877E-3</v>
      </c>
    </row>
    <row r="314" spans="1:7" ht="14.25" customHeight="1" x14ac:dyDescent="0.35">
      <c r="A314" s="85">
        <v>44379</v>
      </c>
      <c r="B314">
        <v>836.62</v>
      </c>
      <c r="C314">
        <f t="shared" si="8"/>
        <v>-2.5038153376574098E-3</v>
      </c>
      <c r="E314" s="86">
        <v>44379</v>
      </c>
      <c r="F314" s="87">
        <v>15722.2001953125</v>
      </c>
      <c r="G314" s="88">
        <f t="shared" si="9"/>
        <v>2.6913389867665818E-3</v>
      </c>
    </row>
    <row r="315" spans="1:7" ht="14.25" customHeight="1" x14ac:dyDescent="0.35">
      <c r="A315" s="85">
        <v>44382</v>
      </c>
      <c r="B315">
        <v>838.49</v>
      </c>
      <c r="C315">
        <f t="shared" si="8"/>
        <v>2.2351844325978394E-3</v>
      </c>
      <c r="E315" s="86">
        <v>44382</v>
      </c>
      <c r="F315" s="87">
        <v>15834.349609375</v>
      </c>
      <c r="G315" s="88">
        <f t="shared" si="9"/>
        <v>7.1331882732250679E-3</v>
      </c>
    </row>
    <row r="316" spans="1:7" ht="14.25" customHeight="1" x14ac:dyDescent="0.35">
      <c r="A316" s="85">
        <v>44383</v>
      </c>
      <c r="B316">
        <v>830.35</v>
      </c>
      <c r="C316">
        <f t="shared" si="8"/>
        <v>-9.7079273455855011E-3</v>
      </c>
      <c r="E316" s="86">
        <v>44383</v>
      </c>
      <c r="F316" s="87">
        <v>15818.25</v>
      </c>
      <c r="G316" s="88">
        <f t="shared" si="9"/>
        <v>-1.016752173102705E-3</v>
      </c>
    </row>
    <row r="317" spans="1:7" ht="14.25" customHeight="1" x14ac:dyDescent="0.35">
      <c r="A317" s="85">
        <v>44384</v>
      </c>
      <c r="B317">
        <v>842.09</v>
      </c>
      <c r="C317">
        <f t="shared" si="8"/>
        <v>1.4138616246161268E-2</v>
      </c>
      <c r="E317" s="86">
        <v>44384</v>
      </c>
      <c r="F317" s="87">
        <v>15879.650390625</v>
      </c>
      <c r="G317" s="88">
        <f t="shared" si="9"/>
        <v>3.8816171589777632E-3</v>
      </c>
    </row>
    <row r="318" spans="1:7" ht="14.25" customHeight="1" x14ac:dyDescent="0.35">
      <c r="A318" s="85">
        <v>44385</v>
      </c>
      <c r="B318">
        <v>837.43</v>
      </c>
      <c r="C318">
        <f t="shared" si="8"/>
        <v>-5.533850301036803E-3</v>
      </c>
      <c r="E318" s="86">
        <v>44385</v>
      </c>
      <c r="F318" s="87">
        <v>15727.900390625</v>
      </c>
      <c r="G318" s="88">
        <f t="shared" si="9"/>
        <v>-9.5562557277451086E-3</v>
      </c>
    </row>
    <row r="319" spans="1:7" ht="14.25" customHeight="1" x14ac:dyDescent="0.35">
      <c r="A319" s="85">
        <v>44386</v>
      </c>
      <c r="B319">
        <v>838.24</v>
      </c>
      <c r="C319">
        <f t="shared" si="8"/>
        <v>9.6724502346471849E-4</v>
      </c>
      <c r="E319" s="86">
        <v>44386</v>
      </c>
      <c r="F319" s="87">
        <v>15689.7998046875</v>
      </c>
      <c r="G319" s="88">
        <f t="shared" si="9"/>
        <v>-2.4224839292732799E-3</v>
      </c>
    </row>
    <row r="320" spans="1:7" ht="14.25" customHeight="1" x14ac:dyDescent="0.35">
      <c r="A320" s="85">
        <v>44389</v>
      </c>
      <c r="B320">
        <v>838.5</v>
      </c>
      <c r="C320">
        <f t="shared" si="8"/>
        <v>3.1017369727046062E-4</v>
      </c>
      <c r="E320" s="86">
        <v>44389</v>
      </c>
      <c r="F320" s="87">
        <v>15692.599609375</v>
      </c>
      <c r="G320" s="88">
        <f t="shared" si="9"/>
        <v>1.7844744498674405E-4</v>
      </c>
    </row>
    <row r="321" spans="1:7" ht="14.25" customHeight="1" x14ac:dyDescent="0.35">
      <c r="A321" s="85">
        <v>44390</v>
      </c>
      <c r="B321">
        <v>840.9</v>
      </c>
      <c r="C321">
        <f t="shared" si="8"/>
        <v>2.8622540250446958E-3</v>
      </c>
      <c r="E321" s="86">
        <v>44390</v>
      </c>
      <c r="F321" s="87">
        <v>15812.349609375</v>
      </c>
      <c r="G321" s="88">
        <f t="shared" si="9"/>
        <v>7.6309854951285136E-3</v>
      </c>
    </row>
    <row r="322" spans="1:7" ht="14.25" customHeight="1" x14ac:dyDescent="0.35">
      <c r="A322" s="85">
        <v>44391</v>
      </c>
      <c r="B322">
        <v>833.66</v>
      </c>
      <c r="C322">
        <f t="shared" si="8"/>
        <v>-8.6098228088952421E-3</v>
      </c>
      <c r="E322" s="86">
        <v>44391</v>
      </c>
      <c r="F322" s="87">
        <v>15853.9501953125</v>
      </c>
      <c r="G322" s="88">
        <f t="shared" si="9"/>
        <v>2.6308921169334244E-3</v>
      </c>
    </row>
    <row r="323" spans="1:7" ht="14.25" customHeight="1" x14ac:dyDescent="0.35">
      <c r="A323" s="85">
        <v>44392</v>
      </c>
      <c r="B323">
        <v>837.57</v>
      </c>
      <c r="C323">
        <f t="shared" si="8"/>
        <v>4.6901614567090681E-3</v>
      </c>
      <c r="E323" s="86">
        <v>44392</v>
      </c>
      <c r="F323" s="87">
        <v>15924.2001953125</v>
      </c>
      <c r="G323" s="88">
        <f t="shared" si="9"/>
        <v>4.4310723280038215E-3</v>
      </c>
    </row>
    <row r="324" spans="1:7" ht="14.25" customHeight="1" x14ac:dyDescent="0.35">
      <c r="A324" s="85">
        <v>44393</v>
      </c>
      <c r="B324">
        <v>839.1</v>
      </c>
      <c r="C324">
        <f t="shared" si="8"/>
        <v>1.8267129911529456E-3</v>
      </c>
      <c r="E324" s="86">
        <v>44393</v>
      </c>
      <c r="F324" s="87">
        <v>15923.400390625</v>
      </c>
      <c r="G324" s="88">
        <f t="shared" si="9"/>
        <v>-5.0225736783655429E-5</v>
      </c>
    </row>
    <row r="325" spans="1:7" ht="14.25" customHeight="1" x14ac:dyDescent="0.35">
      <c r="A325" s="85">
        <v>44396</v>
      </c>
      <c r="B325">
        <v>843.77</v>
      </c>
      <c r="C325">
        <f t="shared" ref="C325:C388" si="10">(B325-B324)/B324</f>
        <v>5.5654868311285416E-3</v>
      </c>
      <c r="E325" s="86">
        <v>44396</v>
      </c>
      <c r="F325" s="87">
        <v>15752.400390625</v>
      </c>
      <c r="G325" s="88">
        <f t="shared" ref="G325:G388" si="11">(F325-F324)/F324</f>
        <v>-1.0738912280361756E-2</v>
      </c>
    </row>
    <row r="326" spans="1:7" ht="14.25" customHeight="1" x14ac:dyDescent="0.35">
      <c r="A326" s="85">
        <v>44397</v>
      </c>
      <c r="B326">
        <v>848.7</v>
      </c>
      <c r="C326">
        <f t="shared" si="10"/>
        <v>5.8428244663830944E-3</v>
      </c>
      <c r="E326" s="86">
        <v>44397</v>
      </c>
      <c r="F326" s="87">
        <v>15632.099609375</v>
      </c>
      <c r="G326" s="88">
        <f t="shared" si="11"/>
        <v>-7.6369809214344685E-3</v>
      </c>
    </row>
    <row r="327" spans="1:7" ht="14.25" customHeight="1" x14ac:dyDescent="0.35">
      <c r="A327" s="85">
        <v>44399</v>
      </c>
      <c r="B327">
        <v>855.29</v>
      </c>
      <c r="C327">
        <f t="shared" si="10"/>
        <v>7.7648167786024715E-3</v>
      </c>
      <c r="E327" s="86">
        <v>44399</v>
      </c>
      <c r="F327" s="87">
        <v>15824.0498046875</v>
      </c>
      <c r="G327" s="88">
        <f t="shared" si="11"/>
        <v>1.2279233123449532E-2</v>
      </c>
    </row>
    <row r="328" spans="1:7" ht="14.25" customHeight="1" x14ac:dyDescent="0.35">
      <c r="A328" s="85">
        <v>44400</v>
      </c>
      <c r="B328">
        <v>862.38</v>
      </c>
      <c r="C328">
        <f t="shared" si="10"/>
        <v>8.2895859883782477E-3</v>
      </c>
      <c r="E328" s="86">
        <v>44400</v>
      </c>
      <c r="F328" s="87">
        <v>15856.0498046875</v>
      </c>
      <c r="G328" s="88">
        <f t="shared" si="11"/>
        <v>2.0222383267853947E-3</v>
      </c>
    </row>
    <row r="329" spans="1:7" ht="14.25" customHeight="1" x14ac:dyDescent="0.35">
      <c r="A329" s="85">
        <v>44403</v>
      </c>
      <c r="B329">
        <v>860.36</v>
      </c>
      <c r="C329">
        <f t="shared" si="10"/>
        <v>-2.3423548783598667E-3</v>
      </c>
      <c r="E329" s="86">
        <v>44403</v>
      </c>
      <c r="F329" s="87">
        <v>15824.4501953125</v>
      </c>
      <c r="G329" s="88">
        <f t="shared" si="11"/>
        <v>-1.9929055322251985E-3</v>
      </c>
    </row>
    <row r="330" spans="1:7" ht="14.25" customHeight="1" x14ac:dyDescent="0.35">
      <c r="A330" s="85">
        <v>44404</v>
      </c>
      <c r="B330">
        <v>866.29</v>
      </c>
      <c r="C330">
        <f t="shared" si="10"/>
        <v>6.8924636198799917E-3</v>
      </c>
      <c r="E330" s="86">
        <v>44404</v>
      </c>
      <c r="F330" s="87">
        <v>15746.4501953125</v>
      </c>
      <c r="G330" s="88">
        <f t="shared" si="11"/>
        <v>-4.9290812026508866E-3</v>
      </c>
    </row>
    <row r="331" spans="1:7" ht="14.25" customHeight="1" x14ac:dyDescent="0.35">
      <c r="A331" s="85">
        <v>44405</v>
      </c>
      <c r="B331">
        <v>856.61</v>
      </c>
      <c r="C331">
        <f t="shared" si="10"/>
        <v>-1.1174087199436621E-2</v>
      </c>
      <c r="E331" s="86">
        <v>44405</v>
      </c>
      <c r="F331" s="87">
        <v>15709.400390625</v>
      </c>
      <c r="G331" s="88">
        <f t="shared" si="11"/>
        <v>-2.3528988583426387E-3</v>
      </c>
    </row>
    <row r="332" spans="1:7" ht="14.25" customHeight="1" x14ac:dyDescent="0.35">
      <c r="A332" s="85">
        <v>44406</v>
      </c>
      <c r="B332">
        <v>851.49</v>
      </c>
      <c r="C332">
        <f t="shared" si="10"/>
        <v>-5.9770490655023925E-3</v>
      </c>
      <c r="E332" s="86">
        <v>44406</v>
      </c>
      <c r="F332" s="87">
        <v>15778.4501953125</v>
      </c>
      <c r="G332" s="88">
        <f t="shared" si="11"/>
        <v>4.3954449546468556E-3</v>
      </c>
    </row>
    <row r="333" spans="1:7" ht="14.25" customHeight="1" x14ac:dyDescent="0.35">
      <c r="A333" s="85">
        <v>44407</v>
      </c>
      <c r="B333">
        <v>841.41</v>
      </c>
      <c r="C333">
        <f t="shared" si="10"/>
        <v>-1.1838072085403281E-2</v>
      </c>
      <c r="E333" s="86">
        <v>44407</v>
      </c>
      <c r="F333" s="87">
        <v>15763.0498046875</v>
      </c>
      <c r="G333" s="88">
        <f t="shared" si="11"/>
        <v>-9.7603949908687388E-4</v>
      </c>
    </row>
    <row r="334" spans="1:7" ht="14.25" customHeight="1" x14ac:dyDescent="0.35">
      <c r="A334" s="85">
        <v>44410</v>
      </c>
      <c r="B334">
        <v>841.98</v>
      </c>
      <c r="C334">
        <f t="shared" si="10"/>
        <v>6.7743430669952827E-4</v>
      </c>
      <c r="E334" s="86">
        <v>44410</v>
      </c>
      <c r="F334" s="87">
        <v>15885.150390625</v>
      </c>
      <c r="G334" s="88">
        <f t="shared" si="11"/>
        <v>7.7460001364197065E-3</v>
      </c>
    </row>
    <row r="335" spans="1:7" ht="14.25" customHeight="1" x14ac:dyDescent="0.35">
      <c r="A335" s="85">
        <v>44411</v>
      </c>
      <c r="B335">
        <v>869.04</v>
      </c>
      <c r="C335">
        <f t="shared" si="10"/>
        <v>3.2138530606427643E-2</v>
      </c>
      <c r="E335" s="86">
        <v>44411</v>
      </c>
      <c r="F335" s="87">
        <v>16130.75</v>
      </c>
      <c r="G335" s="88">
        <f t="shared" si="11"/>
        <v>1.5460955882416225E-2</v>
      </c>
    </row>
    <row r="336" spans="1:7" ht="14.25" customHeight="1" x14ac:dyDescent="0.35">
      <c r="A336" s="85">
        <v>44412</v>
      </c>
      <c r="B336">
        <v>858.27</v>
      </c>
      <c r="C336">
        <f t="shared" si="10"/>
        <v>-1.2392985363159328E-2</v>
      </c>
      <c r="E336" s="86">
        <v>44412</v>
      </c>
      <c r="F336" s="87">
        <v>16258.7998046875</v>
      </c>
      <c r="G336" s="88">
        <f t="shared" si="11"/>
        <v>7.9382424678021788E-3</v>
      </c>
    </row>
    <row r="337" spans="1:7" ht="14.25" customHeight="1" x14ac:dyDescent="0.35">
      <c r="A337" s="85">
        <v>44413</v>
      </c>
      <c r="B337">
        <v>865.46</v>
      </c>
      <c r="C337">
        <f t="shared" si="10"/>
        <v>8.3773171612663323E-3</v>
      </c>
      <c r="E337" s="86">
        <v>44413</v>
      </c>
      <c r="F337" s="87">
        <v>16294.599609375</v>
      </c>
      <c r="G337" s="88">
        <f t="shared" si="11"/>
        <v>2.2018725316476757E-3</v>
      </c>
    </row>
    <row r="338" spans="1:7" ht="14.25" customHeight="1" x14ac:dyDescent="0.35">
      <c r="A338" s="85">
        <v>44414</v>
      </c>
      <c r="B338">
        <v>856.52</v>
      </c>
      <c r="C338">
        <f t="shared" si="10"/>
        <v>-1.0329766829200719E-2</v>
      </c>
      <c r="E338" s="86">
        <v>44414</v>
      </c>
      <c r="F338" s="87">
        <v>16238.2001953125</v>
      </c>
      <c r="G338" s="88">
        <f t="shared" si="11"/>
        <v>-3.4612335015615195E-3</v>
      </c>
    </row>
    <row r="339" spans="1:7" ht="14.25" customHeight="1" x14ac:dyDescent="0.35">
      <c r="A339" s="85">
        <v>44417</v>
      </c>
      <c r="B339">
        <v>865.16</v>
      </c>
      <c r="C339">
        <f t="shared" si="10"/>
        <v>1.0087330126558616E-2</v>
      </c>
      <c r="E339" s="86">
        <v>44417</v>
      </c>
      <c r="F339" s="87">
        <v>16258.25</v>
      </c>
      <c r="G339" s="88">
        <f t="shared" si="11"/>
        <v>1.2347307242392418E-3</v>
      </c>
    </row>
    <row r="340" spans="1:7" ht="14.25" customHeight="1" x14ac:dyDescent="0.35">
      <c r="A340" s="85">
        <v>44418</v>
      </c>
      <c r="B340">
        <v>868.53</v>
      </c>
      <c r="C340">
        <f t="shared" si="10"/>
        <v>3.8952332516528788E-3</v>
      </c>
      <c r="E340" s="86">
        <v>44418</v>
      </c>
      <c r="F340" s="87">
        <v>16280.099609375</v>
      </c>
      <c r="G340" s="88">
        <f t="shared" si="11"/>
        <v>1.3439090538649608E-3</v>
      </c>
    </row>
    <row r="341" spans="1:7" ht="14.25" customHeight="1" x14ac:dyDescent="0.35">
      <c r="A341" s="85">
        <v>44419</v>
      </c>
      <c r="B341">
        <v>863.52</v>
      </c>
      <c r="C341">
        <f t="shared" si="10"/>
        <v>-5.7683672412006393E-3</v>
      </c>
      <c r="E341" s="86">
        <v>44419</v>
      </c>
      <c r="F341" s="87">
        <v>16282.25</v>
      </c>
      <c r="G341" s="88">
        <f t="shared" si="11"/>
        <v>1.3208706805219322E-4</v>
      </c>
    </row>
    <row r="342" spans="1:7" ht="14.25" customHeight="1" x14ac:dyDescent="0.35">
      <c r="A342" s="85">
        <v>44420</v>
      </c>
      <c r="B342">
        <v>861.9</v>
      </c>
      <c r="C342">
        <f t="shared" si="10"/>
        <v>-1.8760422456920564E-3</v>
      </c>
      <c r="E342" s="86">
        <v>44420</v>
      </c>
      <c r="F342" s="87">
        <v>16364.400390625</v>
      </c>
      <c r="G342" s="88">
        <f t="shared" si="11"/>
        <v>5.0453954843464512E-3</v>
      </c>
    </row>
    <row r="343" spans="1:7" ht="14.25" customHeight="1" x14ac:dyDescent="0.35">
      <c r="A343" s="85">
        <v>44421</v>
      </c>
      <c r="B343">
        <v>868.35</v>
      </c>
      <c r="C343">
        <f t="shared" si="10"/>
        <v>7.4834667594849118E-3</v>
      </c>
      <c r="E343" s="86">
        <v>44421</v>
      </c>
      <c r="F343" s="87">
        <v>16529.099609375</v>
      </c>
      <c r="G343" s="88">
        <f t="shared" si="11"/>
        <v>1.0064482340847301E-2</v>
      </c>
    </row>
    <row r="344" spans="1:7" ht="14.25" customHeight="1" x14ac:dyDescent="0.35">
      <c r="A344" s="85">
        <v>44424</v>
      </c>
      <c r="B344">
        <v>869.57</v>
      </c>
      <c r="C344">
        <f t="shared" si="10"/>
        <v>1.4049634364024038E-3</v>
      </c>
      <c r="E344" s="86">
        <v>44424</v>
      </c>
      <c r="F344" s="87">
        <v>16563.05078125</v>
      </c>
      <c r="G344" s="88">
        <f t="shared" si="11"/>
        <v>2.0540242770237479E-3</v>
      </c>
    </row>
    <row r="345" spans="1:7" ht="14.25" customHeight="1" x14ac:dyDescent="0.35">
      <c r="A345" s="85">
        <v>44425</v>
      </c>
      <c r="B345">
        <v>890.36</v>
      </c>
      <c r="C345">
        <f t="shared" si="10"/>
        <v>2.3908368503973185E-2</v>
      </c>
      <c r="E345" s="86">
        <v>44425</v>
      </c>
      <c r="F345" s="87">
        <v>16614.599609375</v>
      </c>
      <c r="G345" s="88">
        <f t="shared" si="11"/>
        <v>3.1122785775284361E-3</v>
      </c>
    </row>
    <row r="346" spans="1:7" ht="14.25" customHeight="1" x14ac:dyDescent="0.35">
      <c r="A346" s="85">
        <v>44426</v>
      </c>
      <c r="B346">
        <v>898.84</v>
      </c>
      <c r="C346">
        <f t="shared" si="10"/>
        <v>9.5242373871243288E-3</v>
      </c>
      <c r="E346" s="86">
        <v>44426</v>
      </c>
      <c r="F346" s="87">
        <v>16568.849609375</v>
      </c>
      <c r="G346" s="88">
        <f t="shared" si="11"/>
        <v>-2.7536023181795473E-3</v>
      </c>
    </row>
    <row r="347" spans="1:7" ht="14.25" customHeight="1" x14ac:dyDescent="0.35">
      <c r="A347" s="85">
        <v>44428</v>
      </c>
      <c r="B347">
        <v>930.22</v>
      </c>
      <c r="C347">
        <f t="shared" si="10"/>
        <v>3.4911663922388848E-2</v>
      </c>
      <c r="E347" s="86">
        <v>44428</v>
      </c>
      <c r="F347" s="87">
        <v>16450.5</v>
      </c>
      <c r="G347" s="88">
        <f t="shared" si="11"/>
        <v>-7.142898400624949E-3</v>
      </c>
    </row>
    <row r="348" spans="1:7" ht="14.25" customHeight="1" x14ac:dyDescent="0.35">
      <c r="A348" s="85">
        <v>44431</v>
      </c>
      <c r="B348">
        <v>951.6</v>
      </c>
      <c r="C348">
        <f t="shared" si="10"/>
        <v>2.2983810281438793E-2</v>
      </c>
      <c r="E348" s="86">
        <v>44431</v>
      </c>
      <c r="F348" s="87">
        <v>16496.44921875</v>
      </c>
      <c r="G348" s="88">
        <f t="shared" si="11"/>
        <v>2.7931806783988329E-3</v>
      </c>
    </row>
    <row r="349" spans="1:7" ht="14.25" customHeight="1" x14ac:dyDescent="0.35">
      <c r="A349" s="85">
        <v>44432</v>
      </c>
      <c r="B349">
        <v>940.14</v>
      </c>
      <c r="C349">
        <f t="shared" si="10"/>
        <v>-1.2042875157629295E-2</v>
      </c>
      <c r="E349" s="86">
        <v>44432</v>
      </c>
      <c r="F349" s="87">
        <v>16624.599609375</v>
      </c>
      <c r="G349" s="88">
        <f t="shared" si="11"/>
        <v>7.7683620836017982E-3</v>
      </c>
    </row>
    <row r="350" spans="1:7" ht="14.25" customHeight="1" x14ac:dyDescent="0.35">
      <c r="A350" s="85">
        <v>44433</v>
      </c>
      <c r="B350">
        <v>946.32</v>
      </c>
      <c r="C350">
        <f t="shared" si="10"/>
        <v>6.5734890548216898E-3</v>
      </c>
      <c r="E350" s="86">
        <v>44433</v>
      </c>
      <c r="F350" s="87">
        <v>16634.650390625</v>
      </c>
      <c r="G350" s="88">
        <f t="shared" si="11"/>
        <v>6.0457283099510741E-4</v>
      </c>
    </row>
    <row r="351" spans="1:7" ht="14.25" customHeight="1" x14ac:dyDescent="0.35">
      <c r="A351" s="85">
        <v>44434</v>
      </c>
      <c r="B351">
        <v>953.1</v>
      </c>
      <c r="C351">
        <f t="shared" si="10"/>
        <v>7.1645954856707798E-3</v>
      </c>
      <c r="E351" s="86">
        <v>44434</v>
      </c>
      <c r="F351" s="87">
        <v>16636.900390625</v>
      </c>
      <c r="G351" s="88">
        <f t="shared" si="11"/>
        <v>1.3525983096513173E-4</v>
      </c>
    </row>
    <row r="352" spans="1:7" ht="14.25" customHeight="1" x14ac:dyDescent="0.35">
      <c r="A352" s="85">
        <v>44435</v>
      </c>
      <c r="B352">
        <v>948.57</v>
      </c>
      <c r="C352">
        <f t="shared" si="10"/>
        <v>-4.7529115517783785E-3</v>
      </c>
      <c r="E352" s="86">
        <v>44435</v>
      </c>
      <c r="F352" s="87">
        <v>16705.19921875</v>
      </c>
      <c r="G352" s="88">
        <f t="shared" si="11"/>
        <v>4.1052615884799564E-3</v>
      </c>
    </row>
    <row r="353" spans="1:7" ht="14.25" customHeight="1" x14ac:dyDescent="0.35">
      <c r="A353" s="85">
        <v>44438</v>
      </c>
      <c r="B353">
        <v>938.35</v>
      </c>
      <c r="C353">
        <f t="shared" si="10"/>
        <v>-1.0774112611615407E-2</v>
      </c>
      <c r="E353" s="86">
        <v>44438</v>
      </c>
      <c r="F353" s="87">
        <v>16931.05078125</v>
      </c>
      <c r="G353" s="88">
        <f t="shared" si="11"/>
        <v>1.3519836521704158E-2</v>
      </c>
    </row>
    <row r="354" spans="1:7" ht="14.25" customHeight="1" x14ac:dyDescent="0.35">
      <c r="A354" s="85">
        <v>44439</v>
      </c>
      <c r="B354">
        <v>925.3</v>
      </c>
      <c r="C354">
        <f t="shared" si="10"/>
        <v>-1.3907390632493279E-2</v>
      </c>
      <c r="E354" s="86">
        <v>44439</v>
      </c>
      <c r="F354" s="87">
        <v>17132.19921875</v>
      </c>
      <c r="G354" s="88">
        <f t="shared" si="11"/>
        <v>1.1880446175423345E-2</v>
      </c>
    </row>
    <row r="355" spans="1:7" ht="14.25" customHeight="1" x14ac:dyDescent="0.35">
      <c r="A355" s="85">
        <v>44440</v>
      </c>
      <c r="B355">
        <v>942.37</v>
      </c>
      <c r="C355">
        <f t="shared" si="10"/>
        <v>1.8448070895925702E-2</v>
      </c>
      <c r="E355" s="86">
        <v>44440</v>
      </c>
      <c r="F355" s="87">
        <v>17076.25</v>
      </c>
      <c r="G355" s="88">
        <f t="shared" si="11"/>
        <v>-3.2657347743637881E-3</v>
      </c>
    </row>
    <row r="356" spans="1:7" ht="14.25" customHeight="1" x14ac:dyDescent="0.35">
      <c r="A356" s="85">
        <v>44441</v>
      </c>
      <c r="B356">
        <v>962.04</v>
      </c>
      <c r="C356">
        <f t="shared" si="10"/>
        <v>2.0872905546653605E-2</v>
      </c>
      <c r="E356" s="86">
        <v>44441</v>
      </c>
      <c r="F356" s="87">
        <v>17234.150390625</v>
      </c>
      <c r="G356" s="88">
        <f t="shared" si="11"/>
        <v>9.2467837273991649E-3</v>
      </c>
    </row>
    <row r="357" spans="1:7" ht="14.25" customHeight="1" x14ac:dyDescent="0.35">
      <c r="A357" s="85">
        <v>44442</v>
      </c>
      <c r="B357">
        <v>963.27</v>
      </c>
      <c r="C357">
        <f t="shared" si="10"/>
        <v>1.278533117126126E-3</v>
      </c>
      <c r="E357" s="86">
        <v>44442</v>
      </c>
      <c r="F357" s="87">
        <v>17323.599609375</v>
      </c>
      <c r="G357" s="88">
        <f t="shared" si="11"/>
        <v>5.1902308336974016E-3</v>
      </c>
    </row>
    <row r="358" spans="1:7" ht="14.25" customHeight="1" x14ac:dyDescent="0.35">
      <c r="A358" s="85">
        <v>44445</v>
      </c>
      <c r="B358">
        <v>961.21</v>
      </c>
      <c r="C358">
        <f t="shared" si="10"/>
        <v>-2.1385489011387726E-3</v>
      </c>
      <c r="E358" s="86">
        <v>44445</v>
      </c>
      <c r="F358" s="87">
        <v>17377.80078125</v>
      </c>
      <c r="G358" s="88">
        <f t="shared" si="11"/>
        <v>3.1287476677576867E-3</v>
      </c>
    </row>
    <row r="359" spans="1:7" ht="14.25" customHeight="1" x14ac:dyDescent="0.35">
      <c r="A359" s="85">
        <v>44446</v>
      </c>
      <c r="B359">
        <v>968.11</v>
      </c>
      <c r="C359">
        <f t="shared" si="10"/>
        <v>7.1784521592575786E-3</v>
      </c>
      <c r="E359" s="86">
        <v>44446</v>
      </c>
      <c r="F359" s="87">
        <v>17362.099609375</v>
      </c>
      <c r="G359" s="88">
        <f t="shared" si="11"/>
        <v>-9.0351892466974189E-4</v>
      </c>
    </row>
    <row r="360" spans="1:7" ht="14.25" customHeight="1" x14ac:dyDescent="0.35">
      <c r="A360" s="85">
        <v>44447</v>
      </c>
      <c r="B360">
        <v>942.98</v>
      </c>
      <c r="C360">
        <f t="shared" si="10"/>
        <v>-2.5957794052328759E-2</v>
      </c>
      <c r="E360" s="86">
        <v>44447</v>
      </c>
      <c r="F360" s="87">
        <v>17353.5</v>
      </c>
      <c r="G360" s="88">
        <f t="shared" si="11"/>
        <v>-4.9530929832682655E-4</v>
      </c>
    </row>
    <row r="361" spans="1:7" ht="14.25" customHeight="1" x14ac:dyDescent="0.35">
      <c r="A361" s="85">
        <v>44448</v>
      </c>
      <c r="B361">
        <v>972.33</v>
      </c>
      <c r="C361">
        <f t="shared" si="10"/>
        <v>3.112473223186072E-2</v>
      </c>
      <c r="E361" s="86">
        <v>44448</v>
      </c>
      <c r="F361" s="87">
        <v>17369.25</v>
      </c>
      <c r="G361" s="88">
        <f t="shared" si="11"/>
        <v>9.0759789091537728E-4</v>
      </c>
    </row>
    <row r="362" spans="1:7" ht="14.25" customHeight="1" x14ac:dyDescent="0.35">
      <c r="A362" s="85">
        <v>44452</v>
      </c>
      <c r="B362">
        <v>972.1</v>
      </c>
      <c r="C362">
        <f t="shared" si="10"/>
        <v>-2.3654520584577067E-4</v>
      </c>
      <c r="E362" s="86">
        <v>44452</v>
      </c>
      <c r="F362" s="87">
        <v>17355.30078125</v>
      </c>
      <c r="G362" s="88">
        <f t="shared" si="11"/>
        <v>-8.0309850741972161E-4</v>
      </c>
    </row>
    <row r="363" spans="1:7" ht="14.25" customHeight="1" x14ac:dyDescent="0.35">
      <c r="A363" s="85">
        <v>44453</v>
      </c>
      <c r="B363">
        <v>961.55</v>
      </c>
      <c r="C363">
        <f t="shared" si="10"/>
        <v>-1.0852792922538903E-2</v>
      </c>
      <c r="E363" s="86">
        <v>44453</v>
      </c>
      <c r="F363" s="87">
        <v>17380</v>
      </c>
      <c r="G363" s="88">
        <f t="shared" si="11"/>
        <v>1.4231512931590379E-3</v>
      </c>
    </row>
    <row r="364" spans="1:7" ht="14.25" customHeight="1" x14ac:dyDescent="0.35">
      <c r="A364" s="85">
        <v>44454</v>
      </c>
      <c r="B364">
        <v>956.27</v>
      </c>
      <c r="C364">
        <f t="shared" si="10"/>
        <v>-5.4911341063906948E-3</v>
      </c>
      <c r="E364" s="86">
        <v>44454</v>
      </c>
      <c r="F364" s="87">
        <v>17519.44921875</v>
      </c>
      <c r="G364" s="88">
        <f t="shared" si="11"/>
        <v>8.0235453826237053E-3</v>
      </c>
    </row>
    <row r="365" spans="1:7" ht="14.25" customHeight="1" x14ac:dyDescent="0.35">
      <c r="A365" s="85">
        <v>44455</v>
      </c>
      <c r="B365">
        <v>951.92</v>
      </c>
      <c r="C365">
        <f t="shared" si="10"/>
        <v>-4.5489244669392774E-3</v>
      </c>
      <c r="E365" s="86">
        <v>44455</v>
      </c>
      <c r="F365" s="87">
        <v>17629.5</v>
      </c>
      <c r="G365" s="88">
        <f t="shared" si="11"/>
        <v>6.2816347635072543E-3</v>
      </c>
    </row>
    <row r="366" spans="1:7" ht="14.25" customHeight="1" x14ac:dyDescent="0.35">
      <c r="A366" s="85">
        <v>44456</v>
      </c>
      <c r="B366">
        <v>958.95</v>
      </c>
      <c r="C366">
        <f t="shared" si="10"/>
        <v>7.385074375998074E-3</v>
      </c>
      <c r="E366" s="86">
        <v>44456</v>
      </c>
      <c r="F366" s="87">
        <v>17585.150390625</v>
      </c>
      <c r="G366" s="88">
        <f t="shared" si="11"/>
        <v>-2.5156476006126098E-3</v>
      </c>
    </row>
    <row r="367" spans="1:7" ht="14.25" customHeight="1" x14ac:dyDescent="0.35">
      <c r="A367" s="85">
        <v>44459</v>
      </c>
      <c r="B367">
        <v>965.93</v>
      </c>
      <c r="C367">
        <f t="shared" si="10"/>
        <v>7.2787945148338334E-3</v>
      </c>
      <c r="E367" s="86">
        <v>44459</v>
      </c>
      <c r="F367" s="87">
        <v>17396.900390625</v>
      </c>
      <c r="G367" s="88">
        <f t="shared" si="11"/>
        <v>-1.0705054879733066E-2</v>
      </c>
    </row>
    <row r="368" spans="1:7" ht="14.25" customHeight="1" x14ac:dyDescent="0.35">
      <c r="A368" s="85">
        <v>44460</v>
      </c>
      <c r="B368">
        <v>959.61</v>
      </c>
      <c r="C368">
        <f t="shared" si="10"/>
        <v>-6.5429171886160868E-3</v>
      </c>
      <c r="E368" s="86">
        <v>44460</v>
      </c>
      <c r="F368" s="87">
        <v>17562</v>
      </c>
      <c r="G368" s="88">
        <f t="shared" si="11"/>
        <v>9.4901738624640509E-3</v>
      </c>
    </row>
    <row r="369" spans="1:7" ht="14.25" customHeight="1" x14ac:dyDescent="0.35">
      <c r="A369" s="85">
        <v>44461</v>
      </c>
      <c r="B369">
        <v>947.04</v>
      </c>
      <c r="C369">
        <f t="shared" si="10"/>
        <v>-1.3099071497796032E-2</v>
      </c>
      <c r="E369" s="86">
        <v>44461</v>
      </c>
      <c r="F369" s="87">
        <v>17546.650390625</v>
      </c>
      <c r="G369" s="88">
        <f t="shared" si="11"/>
        <v>-8.7402399356565307E-4</v>
      </c>
    </row>
    <row r="370" spans="1:7" ht="14.25" customHeight="1" x14ac:dyDescent="0.35">
      <c r="A370" s="85">
        <v>44462</v>
      </c>
      <c r="B370">
        <v>942.95</v>
      </c>
      <c r="C370">
        <f t="shared" si="10"/>
        <v>-4.3187193782732707E-3</v>
      </c>
      <c r="E370" s="86">
        <v>44462</v>
      </c>
      <c r="F370" s="87">
        <v>17822.94921875</v>
      </c>
      <c r="G370" s="88">
        <f t="shared" si="11"/>
        <v>1.5746528367181906E-2</v>
      </c>
    </row>
    <row r="371" spans="1:7" ht="14.25" customHeight="1" x14ac:dyDescent="0.35">
      <c r="A371" s="85">
        <v>44463</v>
      </c>
      <c r="B371">
        <v>944.15</v>
      </c>
      <c r="C371">
        <f t="shared" si="10"/>
        <v>1.2726019407178872E-3</v>
      </c>
      <c r="E371" s="86">
        <v>44463</v>
      </c>
      <c r="F371" s="87">
        <v>17853.19921875</v>
      </c>
      <c r="G371" s="88">
        <f t="shared" si="11"/>
        <v>1.6972499684943592E-3</v>
      </c>
    </row>
    <row r="372" spans="1:7" ht="14.25" customHeight="1" x14ac:dyDescent="0.35">
      <c r="A372" s="85">
        <v>44466</v>
      </c>
      <c r="B372">
        <v>933.59</v>
      </c>
      <c r="C372">
        <f t="shared" si="10"/>
        <v>-1.1184663453900276E-2</v>
      </c>
      <c r="E372" s="86">
        <v>44466</v>
      </c>
      <c r="F372" s="87">
        <v>17855.099609375</v>
      </c>
      <c r="G372" s="88">
        <f t="shared" si="11"/>
        <v>1.0644538279750718E-4</v>
      </c>
    </row>
    <row r="373" spans="1:7" ht="14.25" customHeight="1" x14ac:dyDescent="0.35">
      <c r="A373" s="85">
        <v>44467</v>
      </c>
      <c r="B373">
        <v>928.96</v>
      </c>
      <c r="C373">
        <f t="shared" si="10"/>
        <v>-4.9593504643365878E-3</v>
      </c>
      <c r="E373" s="86">
        <v>44467</v>
      </c>
      <c r="F373" s="87">
        <v>17748.599609375</v>
      </c>
      <c r="G373" s="88">
        <f t="shared" si="11"/>
        <v>-5.9646824901543032E-3</v>
      </c>
    </row>
    <row r="374" spans="1:7" ht="14.25" customHeight="1" x14ac:dyDescent="0.35">
      <c r="A374" s="85">
        <v>44468</v>
      </c>
      <c r="B374">
        <v>927.16</v>
      </c>
      <c r="C374">
        <f t="shared" si="10"/>
        <v>-1.9376507061661084E-3</v>
      </c>
      <c r="E374" s="86">
        <v>44468</v>
      </c>
      <c r="F374" s="87">
        <v>17711.30078125</v>
      </c>
      <c r="G374" s="88">
        <f t="shared" si="11"/>
        <v>-2.1015082285871364E-3</v>
      </c>
    </row>
    <row r="375" spans="1:7" ht="14.25" customHeight="1" x14ac:dyDescent="0.35">
      <c r="A375" s="85">
        <v>44469</v>
      </c>
      <c r="B375">
        <v>924.25</v>
      </c>
      <c r="C375">
        <f t="shared" si="10"/>
        <v>-3.1386168514603392E-3</v>
      </c>
      <c r="E375" s="86">
        <v>44469</v>
      </c>
      <c r="F375" s="87">
        <v>17618.150390625</v>
      </c>
      <c r="G375" s="88">
        <f t="shared" si="11"/>
        <v>-5.2593760207388773E-3</v>
      </c>
    </row>
    <row r="376" spans="1:7" ht="14.25" customHeight="1" x14ac:dyDescent="0.35">
      <c r="A376" s="85">
        <v>44470</v>
      </c>
      <c r="B376">
        <v>929.21</v>
      </c>
      <c r="C376">
        <f t="shared" si="10"/>
        <v>5.3665133892345541E-3</v>
      </c>
      <c r="E376" s="86">
        <v>44470</v>
      </c>
      <c r="F376" s="87">
        <v>17532.05078125</v>
      </c>
      <c r="G376" s="88">
        <f t="shared" si="11"/>
        <v>-4.8869834497959255E-3</v>
      </c>
    </row>
    <row r="377" spans="1:7" ht="14.25" customHeight="1" x14ac:dyDescent="0.35">
      <c r="A377" s="85">
        <v>44473</v>
      </c>
      <c r="B377">
        <v>926.5</v>
      </c>
      <c r="C377">
        <f t="shared" si="10"/>
        <v>-2.9164559141636832E-3</v>
      </c>
      <c r="E377" s="86">
        <v>44473</v>
      </c>
      <c r="F377" s="87">
        <v>17691.25</v>
      </c>
      <c r="G377" s="88">
        <f t="shared" si="11"/>
        <v>9.080467581137671E-3</v>
      </c>
    </row>
    <row r="378" spans="1:7" ht="14.25" customHeight="1" x14ac:dyDescent="0.35">
      <c r="A378" s="85">
        <v>44474</v>
      </c>
      <c r="B378">
        <v>921.87</v>
      </c>
      <c r="C378">
        <f t="shared" si="10"/>
        <v>-4.9973016729627584E-3</v>
      </c>
      <c r="E378" s="86">
        <v>44474</v>
      </c>
      <c r="F378" s="87">
        <v>17822.30078125</v>
      </c>
      <c r="G378" s="88">
        <f t="shared" si="11"/>
        <v>7.4076609199463014E-3</v>
      </c>
    </row>
    <row r="379" spans="1:7" ht="14.25" customHeight="1" x14ac:dyDescent="0.35">
      <c r="A379" s="85">
        <v>44475</v>
      </c>
      <c r="B379">
        <v>910.54</v>
      </c>
      <c r="C379">
        <f t="shared" si="10"/>
        <v>-1.2290236150433403E-2</v>
      </c>
      <c r="E379" s="86">
        <v>44475</v>
      </c>
      <c r="F379" s="87">
        <v>17646</v>
      </c>
      <c r="G379" s="88">
        <f t="shared" si="11"/>
        <v>-9.8921448702895716E-3</v>
      </c>
    </row>
    <row r="380" spans="1:7" ht="14.25" customHeight="1" x14ac:dyDescent="0.35">
      <c r="A380" s="85">
        <v>44476</v>
      </c>
      <c r="B380">
        <v>905.24</v>
      </c>
      <c r="C380">
        <f t="shared" si="10"/>
        <v>-5.8207217694993679E-3</v>
      </c>
      <c r="E380" s="86">
        <v>44476</v>
      </c>
      <c r="F380" s="87">
        <v>17790.349609375</v>
      </c>
      <c r="G380" s="88">
        <f t="shared" si="11"/>
        <v>8.1803020160376282E-3</v>
      </c>
    </row>
    <row r="381" spans="1:7" ht="14.25" customHeight="1" x14ac:dyDescent="0.35">
      <c r="A381" s="85">
        <v>44477</v>
      </c>
      <c r="B381">
        <v>902.43</v>
      </c>
      <c r="C381">
        <f t="shared" si="10"/>
        <v>-3.1041491759092165E-3</v>
      </c>
      <c r="E381" s="86">
        <v>44477</v>
      </c>
      <c r="F381" s="87">
        <v>17895.19921875</v>
      </c>
      <c r="G381" s="88">
        <f t="shared" si="11"/>
        <v>5.8936227604963589E-3</v>
      </c>
    </row>
    <row r="382" spans="1:7" ht="14.25" customHeight="1" x14ac:dyDescent="0.35">
      <c r="A382" s="85">
        <v>44480</v>
      </c>
      <c r="B382">
        <v>907.09</v>
      </c>
      <c r="C382">
        <f t="shared" si="10"/>
        <v>5.1638354221380965E-3</v>
      </c>
      <c r="E382" s="86">
        <v>44480</v>
      </c>
      <c r="F382" s="87">
        <v>17945.94921875</v>
      </c>
      <c r="G382" s="88">
        <f t="shared" si="11"/>
        <v>2.8359561343595336E-3</v>
      </c>
    </row>
    <row r="383" spans="1:7" ht="14.25" customHeight="1" x14ac:dyDescent="0.35">
      <c r="A383" s="85">
        <v>44481</v>
      </c>
      <c r="B383">
        <v>922.83</v>
      </c>
      <c r="C383">
        <f t="shared" si="10"/>
        <v>1.7352192174977132E-2</v>
      </c>
      <c r="E383" s="86">
        <v>44481</v>
      </c>
      <c r="F383" s="87">
        <v>17991.94921875</v>
      </c>
      <c r="G383" s="88">
        <f t="shared" si="11"/>
        <v>2.5632525445875558E-3</v>
      </c>
    </row>
    <row r="384" spans="1:7" ht="14.25" customHeight="1" x14ac:dyDescent="0.35">
      <c r="A384" s="85">
        <v>44482</v>
      </c>
      <c r="B384">
        <v>918.31</v>
      </c>
      <c r="C384">
        <f t="shared" si="10"/>
        <v>-4.8979768754809612E-3</v>
      </c>
      <c r="E384" s="86">
        <v>44482</v>
      </c>
      <c r="F384" s="87">
        <v>18161.75</v>
      </c>
      <c r="G384" s="88">
        <f t="shared" si="11"/>
        <v>9.4375978492116375E-3</v>
      </c>
    </row>
    <row r="385" spans="1:7" ht="14.25" customHeight="1" x14ac:dyDescent="0.35">
      <c r="A385" s="85">
        <v>44483</v>
      </c>
      <c r="B385">
        <v>918.54</v>
      </c>
      <c r="C385">
        <f t="shared" si="10"/>
        <v>2.5046008428528295E-4</v>
      </c>
      <c r="E385" s="86">
        <v>44483</v>
      </c>
      <c r="F385" s="87">
        <v>18338.55078125</v>
      </c>
      <c r="G385" s="88">
        <f t="shared" si="11"/>
        <v>9.7347877407188178E-3</v>
      </c>
    </row>
    <row r="386" spans="1:7" ht="14.25" customHeight="1" x14ac:dyDescent="0.35">
      <c r="A386" s="85">
        <v>44487</v>
      </c>
      <c r="B386">
        <v>923.91</v>
      </c>
      <c r="C386">
        <f t="shared" si="10"/>
        <v>5.846234241295975E-3</v>
      </c>
      <c r="E386" s="86">
        <v>44487</v>
      </c>
      <c r="F386" s="87">
        <v>18477.05078125</v>
      </c>
      <c r="G386" s="88">
        <f t="shared" si="11"/>
        <v>7.5523961327198996E-3</v>
      </c>
    </row>
    <row r="387" spans="1:7" ht="14.25" customHeight="1" x14ac:dyDescent="0.35">
      <c r="A387" s="85">
        <v>44488</v>
      </c>
      <c r="B387">
        <v>920.58</v>
      </c>
      <c r="C387">
        <f t="shared" si="10"/>
        <v>-3.6042471669317654E-3</v>
      </c>
      <c r="E387" s="86">
        <v>44488</v>
      </c>
      <c r="F387" s="87">
        <v>18418.75</v>
      </c>
      <c r="G387" s="88">
        <f t="shared" si="11"/>
        <v>-3.1553077349964326E-3</v>
      </c>
    </row>
    <row r="388" spans="1:7" ht="14.25" customHeight="1" x14ac:dyDescent="0.35">
      <c r="A388" s="85">
        <v>44489</v>
      </c>
      <c r="B388">
        <v>916.27</v>
      </c>
      <c r="C388">
        <f t="shared" si="10"/>
        <v>-4.6818310195746804E-3</v>
      </c>
      <c r="E388" s="86">
        <v>44489</v>
      </c>
      <c r="F388" s="87">
        <v>18266.599609375</v>
      </c>
      <c r="G388" s="88">
        <f t="shared" si="11"/>
        <v>-8.2606252120800815E-3</v>
      </c>
    </row>
    <row r="389" spans="1:7" ht="14.25" customHeight="1" x14ac:dyDescent="0.35">
      <c r="A389" s="85">
        <v>44490</v>
      </c>
      <c r="B389">
        <v>914.15</v>
      </c>
      <c r="C389">
        <f t="shared" ref="C389:C452" si="12">(B389-B388)/B388</f>
        <v>-2.3137284861449187E-3</v>
      </c>
      <c r="E389" s="86">
        <v>44490</v>
      </c>
      <c r="F389" s="87">
        <v>18178.099609375</v>
      </c>
      <c r="G389" s="88">
        <f t="shared" ref="G389:G452" si="13">(F389-F388)/F388</f>
        <v>-4.8449082967023036E-3</v>
      </c>
    </row>
    <row r="390" spans="1:7" ht="14.25" customHeight="1" x14ac:dyDescent="0.35">
      <c r="A390" s="85">
        <v>44491</v>
      </c>
      <c r="B390">
        <v>903.39</v>
      </c>
      <c r="C390">
        <f t="shared" si="12"/>
        <v>-1.1770497183175618E-2</v>
      </c>
      <c r="E390" s="86">
        <v>44491</v>
      </c>
      <c r="F390" s="87">
        <v>18114.900390625</v>
      </c>
      <c r="G390" s="88">
        <f t="shared" si="13"/>
        <v>-3.4766680845673349E-3</v>
      </c>
    </row>
    <row r="391" spans="1:7" ht="14.25" customHeight="1" x14ac:dyDescent="0.35">
      <c r="A391" s="85">
        <v>44494</v>
      </c>
      <c r="B391">
        <v>888.63</v>
      </c>
      <c r="C391">
        <f t="shared" si="12"/>
        <v>-1.6338458473084704E-2</v>
      </c>
      <c r="E391" s="86">
        <v>44494</v>
      </c>
      <c r="F391" s="87">
        <v>18125.400390625</v>
      </c>
      <c r="G391" s="88">
        <f t="shared" si="13"/>
        <v>5.7963332801068358E-4</v>
      </c>
    </row>
    <row r="392" spans="1:7" ht="14.25" customHeight="1" x14ac:dyDescent="0.35">
      <c r="A392" s="85">
        <v>44495</v>
      </c>
      <c r="B392">
        <v>918.82</v>
      </c>
      <c r="C392">
        <f t="shared" si="12"/>
        <v>3.3973644824055065E-2</v>
      </c>
      <c r="E392" s="86">
        <v>44495</v>
      </c>
      <c r="F392" s="87">
        <v>18268.400390625</v>
      </c>
      <c r="G392" s="88">
        <f t="shared" si="13"/>
        <v>7.8894808897001737E-3</v>
      </c>
    </row>
    <row r="393" spans="1:7" ht="14.25" customHeight="1" x14ac:dyDescent="0.35">
      <c r="A393" s="85">
        <v>44496</v>
      </c>
      <c r="B393">
        <v>908.63</v>
      </c>
      <c r="C393">
        <f t="shared" si="12"/>
        <v>-1.1090311486471837E-2</v>
      </c>
      <c r="E393" s="86">
        <v>44496</v>
      </c>
      <c r="F393" s="87">
        <v>18210.94921875</v>
      </c>
      <c r="G393" s="88">
        <f t="shared" si="13"/>
        <v>-3.144838663842887E-3</v>
      </c>
    </row>
    <row r="394" spans="1:7" ht="14.25" customHeight="1" x14ac:dyDescent="0.35">
      <c r="A394" s="85">
        <v>44497</v>
      </c>
      <c r="B394">
        <v>908</v>
      </c>
      <c r="C394">
        <f t="shared" si="12"/>
        <v>-6.9335152922531226E-4</v>
      </c>
      <c r="E394" s="86">
        <v>44497</v>
      </c>
      <c r="F394" s="87">
        <v>17857.25</v>
      </c>
      <c r="G394" s="88">
        <f t="shared" si="13"/>
        <v>-1.942233842406365E-2</v>
      </c>
    </row>
    <row r="395" spans="1:7" ht="14.25" customHeight="1" x14ac:dyDescent="0.35">
      <c r="A395" s="85">
        <v>44498</v>
      </c>
      <c r="B395">
        <v>908.42</v>
      </c>
      <c r="C395">
        <f t="shared" si="12"/>
        <v>4.6255506607925006E-4</v>
      </c>
      <c r="E395" s="86">
        <v>44498</v>
      </c>
      <c r="F395" s="87">
        <v>17671.650390625</v>
      </c>
      <c r="G395" s="88">
        <f t="shared" si="13"/>
        <v>-1.0393515763905417E-2</v>
      </c>
    </row>
    <row r="396" spans="1:7" ht="14.25" customHeight="1" x14ac:dyDescent="0.35">
      <c r="A396" s="85">
        <v>44501</v>
      </c>
      <c r="B396">
        <v>905.53</v>
      </c>
      <c r="C396">
        <f t="shared" si="12"/>
        <v>-3.1813478347019952E-3</v>
      </c>
      <c r="E396" s="86">
        <v>44501</v>
      </c>
      <c r="F396" s="87">
        <v>17929.650390625</v>
      </c>
      <c r="G396" s="88">
        <f t="shared" si="13"/>
        <v>1.4599655057507915E-2</v>
      </c>
    </row>
    <row r="397" spans="1:7" ht="14.25" customHeight="1" x14ac:dyDescent="0.35">
      <c r="A397" s="85">
        <v>44502</v>
      </c>
      <c r="B397">
        <v>897.61</v>
      </c>
      <c r="C397">
        <f t="shared" si="12"/>
        <v>-8.7462590968824441E-3</v>
      </c>
      <c r="E397" s="86">
        <v>44502</v>
      </c>
      <c r="F397" s="87">
        <v>17888.94921875</v>
      </c>
      <c r="G397" s="88">
        <f t="shared" si="13"/>
        <v>-2.2700482713417379E-3</v>
      </c>
    </row>
    <row r="398" spans="1:7" ht="14.25" customHeight="1" x14ac:dyDescent="0.35">
      <c r="A398" s="85">
        <v>44503</v>
      </c>
      <c r="B398">
        <v>895.85</v>
      </c>
      <c r="C398">
        <f t="shared" si="12"/>
        <v>-1.9607624692238174E-3</v>
      </c>
      <c r="E398" s="86">
        <v>44503</v>
      </c>
      <c r="F398" s="87">
        <v>17829.19921875</v>
      </c>
      <c r="G398" s="88">
        <f t="shared" si="13"/>
        <v>-3.3400508475575552E-3</v>
      </c>
    </row>
    <row r="399" spans="1:7" ht="14.25" customHeight="1" x14ac:dyDescent="0.35">
      <c r="A399" s="85">
        <v>44504</v>
      </c>
      <c r="B399">
        <v>903.12</v>
      </c>
      <c r="C399">
        <f t="shared" si="12"/>
        <v>8.1151978567840389E-3</v>
      </c>
      <c r="E399" s="86">
        <v>44504</v>
      </c>
      <c r="F399" s="87">
        <v>17916.80078125</v>
      </c>
      <c r="G399" s="88">
        <f t="shared" si="13"/>
        <v>4.9133761659847404E-3</v>
      </c>
    </row>
    <row r="400" spans="1:7" ht="14.25" customHeight="1" x14ac:dyDescent="0.35">
      <c r="A400" s="85">
        <v>44508</v>
      </c>
      <c r="B400">
        <v>910.77</v>
      </c>
      <c r="C400">
        <f t="shared" si="12"/>
        <v>8.4706351315439552E-3</v>
      </c>
      <c r="E400" s="86">
        <v>44508</v>
      </c>
      <c r="F400" s="87">
        <v>18068.55078125</v>
      </c>
      <c r="G400" s="88">
        <f t="shared" si="13"/>
        <v>8.4697040421863115E-3</v>
      </c>
    </row>
    <row r="401" spans="1:7" ht="14.25" customHeight="1" x14ac:dyDescent="0.35">
      <c r="A401" s="85">
        <v>44509</v>
      </c>
      <c r="B401">
        <v>905.58</v>
      </c>
      <c r="C401">
        <f t="shared" si="12"/>
        <v>-5.6984749168285526E-3</v>
      </c>
      <c r="E401" s="86">
        <v>44509</v>
      </c>
      <c r="F401" s="87">
        <v>18044.25</v>
      </c>
      <c r="G401" s="88">
        <f t="shared" si="13"/>
        <v>-1.3449214352717915E-3</v>
      </c>
    </row>
    <row r="402" spans="1:7" ht="14.25" customHeight="1" x14ac:dyDescent="0.35">
      <c r="A402" s="85">
        <v>44510</v>
      </c>
      <c r="B402">
        <v>906.16</v>
      </c>
      <c r="C402">
        <f t="shared" si="12"/>
        <v>6.4047350869048255E-4</v>
      </c>
      <c r="E402" s="86">
        <v>44510</v>
      </c>
      <c r="F402" s="87">
        <v>18017.19921875</v>
      </c>
      <c r="G402" s="88">
        <f t="shared" si="13"/>
        <v>-1.499135805034845E-3</v>
      </c>
    </row>
    <row r="403" spans="1:7" ht="14.25" customHeight="1" x14ac:dyDescent="0.35">
      <c r="A403" s="85">
        <v>44511</v>
      </c>
      <c r="B403">
        <v>901.43</v>
      </c>
      <c r="C403">
        <f t="shared" si="12"/>
        <v>-5.219828727818507E-3</v>
      </c>
      <c r="E403" s="86">
        <v>44511</v>
      </c>
      <c r="F403" s="87">
        <v>17873.599609375</v>
      </c>
      <c r="G403" s="88">
        <f t="shared" si="13"/>
        <v>-7.970140510271978E-3</v>
      </c>
    </row>
    <row r="404" spans="1:7" ht="14.25" customHeight="1" x14ac:dyDescent="0.35">
      <c r="A404" s="85">
        <v>44512</v>
      </c>
      <c r="B404">
        <v>915.23</v>
      </c>
      <c r="C404">
        <f t="shared" si="12"/>
        <v>1.5309009019003216E-2</v>
      </c>
      <c r="E404" s="86">
        <v>44512</v>
      </c>
      <c r="F404" s="87">
        <v>18102.75</v>
      </c>
      <c r="G404" s="88">
        <f t="shared" si="13"/>
        <v>1.2820606684330492E-2</v>
      </c>
    </row>
    <row r="405" spans="1:7" ht="14.25" customHeight="1" x14ac:dyDescent="0.35">
      <c r="A405" s="85">
        <v>44515</v>
      </c>
      <c r="B405">
        <v>931.2</v>
      </c>
      <c r="C405">
        <f t="shared" si="12"/>
        <v>1.7449165783464296E-2</v>
      </c>
      <c r="E405" s="86">
        <v>44515</v>
      </c>
      <c r="F405" s="87">
        <v>18109.44921875</v>
      </c>
      <c r="G405" s="88">
        <f t="shared" si="13"/>
        <v>3.7006635732140142E-4</v>
      </c>
    </row>
    <row r="406" spans="1:7" ht="14.25" customHeight="1" x14ac:dyDescent="0.35">
      <c r="A406" s="85">
        <v>44516</v>
      </c>
      <c r="B406">
        <v>930.51</v>
      </c>
      <c r="C406">
        <f t="shared" si="12"/>
        <v>-7.4097938144335749E-4</v>
      </c>
      <c r="E406" s="86">
        <v>44516</v>
      </c>
      <c r="F406" s="87">
        <v>17999.19921875</v>
      </c>
      <c r="G406" s="88">
        <f t="shared" si="13"/>
        <v>-6.0879819517564533E-3</v>
      </c>
    </row>
    <row r="407" spans="1:7" ht="14.25" customHeight="1" x14ac:dyDescent="0.35">
      <c r="A407" s="85">
        <v>44517</v>
      </c>
      <c r="B407">
        <v>931.22</v>
      </c>
      <c r="C407">
        <f t="shared" si="12"/>
        <v>7.630224285607209E-4</v>
      </c>
      <c r="E407" s="86">
        <v>44517</v>
      </c>
      <c r="F407" s="87">
        <v>17898.650390625</v>
      </c>
      <c r="G407" s="88">
        <f t="shared" si="13"/>
        <v>-5.5862945291619958E-3</v>
      </c>
    </row>
    <row r="408" spans="1:7" ht="14.25" customHeight="1" x14ac:dyDescent="0.35">
      <c r="A408" s="85">
        <v>44518</v>
      </c>
      <c r="B408">
        <v>927.8</v>
      </c>
      <c r="C408">
        <f t="shared" si="12"/>
        <v>-3.6726015334722973E-3</v>
      </c>
      <c r="E408" s="86">
        <v>44518</v>
      </c>
      <c r="F408" s="87">
        <v>17764.80078125</v>
      </c>
      <c r="G408" s="88">
        <f t="shared" si="13"/>
        <v>-7.4781956434608098E-3</v>
      </c>
    </row>
    <row r="409" spans="1:7" ht="14.25" customHeight="1" x14ac:dyDescent="0.35">
      <c r="A409" s="85">
        <v>44522</v>
      </c>
      <c r="B409">
        <v>908.19</v>
      </c>
      <c r="C409">
        <f t="shared" si="12"/>
        <v>-2.1136020694115003E-2</v>
      </c>
      <c r="E409" s="86">
        <v>44522</v>
      </c>
      <c r="F409" s="87">
        <v>17416.55078125</v>
      </c>
      <c r="G409" s="88">
        <f t="shared" si="13"/>
        <v>-1.96033721001568E-2</v>
      </c>
    </row>
    <row r="410" spans="1:7" ht="14.25" customHeight="1" x14ac:dyDescent="0.35">
      <c r="A410" s="85">
        <v>44523</v>
      </c>
      <c r="B410">
        <v>917.09</v>
      </c>
      <c r="C410">
        <f t="shared" si="12"/>
        <v>9.7997115141104582E-3</v>
      </c>
      <c r="E410" s="86">
        <v>44523</v>
      </c>
      <c r="F410" s="87">
        <v>17503.349609375</v>
      </c>
      <c r="G410" s="88">
        <f t="shared" si="13"/>
        <v>4.9836979327987458E-3</v>
      </c>
    </row>
    <row r="411" spans="1:7" ht="14.25" customHeight="1" x14ac:dyDescent="0.35">
      <c r="A411" s="85">
        <v>44524</v>
      </c>
      <c r="B411">
        <v>912.57</v>
      </c>
      <c r="C411">
        <f t="shared" si="12"/>
        <v>-4.9286329585972819E-3</v>
      </c>
      <c r="E411" s="86">
        <v>44524</v>
      </c>
      <c r="F411" s="87">
        <v>17415.05078125</v>
      </c>
      <c r="G411" s="88">
        <f t="shared" si="13"/>
        <v>-5.0446817378146927E-3</v>
      </c>
    </row>
    <row r="412" spans="1:7" ht="14.25" customHeight="1" x14ac:dyDescent="0.35">
      <c r="A412" s="85">
        <v>44525</v>
      </c>
      <c r="B412">
        <v>916.93</v>
      </c>
      <c r="C412">
        <f t="shared" si="12"/>
        <v>4.7777156820845521E-3</v>
      </c>
      <c r="E412" s="86">
        <v>44525</v>
      </c>
      <c r="F412" s="87">
        <v>17536.25</v>
      </c>
      <c r="G412" s="88">
        <f t="shared" si="13"/>
        <v>6.9594525030320176E-3</v>
      </c>
    </row>
    <row r="413" spans="1:7" ht="14.25" customHeight="1" x14ac:dyDescent="0.35">
      <c r="A413" s="85">
        <v>44526</v>
      </c>
      <c r="B413">
        <v>919.04</v>
      </c>
      <c r="C413">
        <f t="shared" si="12"/>
        <v>2.3011571221358378E-3</v>
      </c>
      <c r="E413" s="86">
        <v>44526</v>
      </c>
      <c r="F413" s="87">
        <v>17026.44921875</v>
      </c>
      <c r="G413" s="88">
        <f t="shared" si="13"/>
        <v>-2.9071254187753939E-2</v>
      </c>
    </row>
    <row r="414" spans="1:7" ht="14.25" customHeight="1" x14ac:dyDescent="0.35">
      <c r="A414" s="85">
        <v>44529</v>
      </c>
      <c r="B414">
        <v>908.43</v>
      </c>
      <c r="C414">
        <f t="shared" si="12"/>
        <v>-1.1544655292479123E-2</v>
      </c>
      <c r="E414" s="86">
        <v>44529</v>
      </c>
      <c r="F414" s="87">
        <v>17053.94921875</v>
      </c>
      <c r="G414" s="88">
        <f t="shared" si="13"/>
        <v>1.615134174289037E-3</v>
      </c>
    </row>
    <row r="415" spans="1:7" ht="14.25" customHeight="1" x14ac:dyDescent="0.35">
      <c r="A415" s="85">
        <v>44530</v>
      </c>
      <c r="B415">
        <v>915.71</v>
      </c>
      <c r="C415">
        <f t="shared" si="12"/>
        <v>8.0138260515395642E-3</v>
      </c>
      <c r="E415" s="86">
        <v>44530</v>
      </c>
      <c r="F415" s="87">
        <v>16983.19921875</v>
      </c>
      <c r="G415" s="88">
        <f t="shared" si="13"/>
        <v>-4.1485991949720222E-3</v>
      </c>
    </row>
    <row r="416" spans="1:7" ht="14.25" customHeight="1" x14ac:dyDescent="0.35">
      <c r="A416" s="85">
        <v>44531</v>
      </c>
      <c r="B416">
        <v>927.43</v>
      </c>
      <c r="C416">
        <f t="shared" si="12"/>
        <v>1.2798811850913404E-2</v>
      </c>
      <c r="E416" s="86">
        <v>44531</v>
      </c>
      <c r="F416" s="87">
        <v>17166.900390625</v>
      </c>
      <c r="G416" s="88">
        <f t="shared" si="13"/>
        <v>1.0816641170421411E-2</v>
      </c>
    </row>
    <row r="417" spans="1:7" ht="14.25" customHeight="1" x14ac:dyDescent="0.35">
      <c r="A417" s="85">
        <v>44532</v>
      </c>
      <c r="B417">
        <v>932.47</v>
      </c>
      <c r="C417">
        <f t="shared" si="12"/>
        <v>5.4343724054646469E-3</v>
      </c>
      <c r="E417" s="86">
        <v>44532</v>
      </c>
      <c r="F417" s="87">
        <v>17401.650390625</v>
      </c>
      <c r="G417" s="88">
        <f t="shared" si="13"/>
        <v>1.3674571102433792E-2</v>
      </c>
    </row>
    <row r="418" spans="1:7" ht="14.25" customHeight="1" x14ac:dyDescent="0.35">
      <c r="A418" s="85">
        <v>44533</v>
      </c>
      <c r="B418">
        <v>923.78</v>
      </c>
      <c r="C418">
        <f t="shared" si="12"/>
        <v>-9.3193346702843561E-3</v>
      </c>
      <c r="E418" s="86">
        <v>44533</v>
      </c>
      <c r="F418" s="87">
        <v>17196.69921875</v>
      </c>
      <c r="G418" s="88">
        <f t="shared" si="13"/>
        <v>-1.1777685867394267E-2</v>
      </c>
    </row>
    <row r="419" spans="1:7" ht="14.25" customHeight="1" x14ac:dyDescent="0.35">
      <c r="A419" s="85">
        <v>44536</v>
      </c>
      <c r="B419">
        <v>909.2</v>
      </c>
      <c r="C419">
        <f t="shared" si="12"/>
        <v>-1.5782978631275767E-2</v>
      </c>
      <c r="E419" s="86">
        <v>44536</v>
      </c>
      <c r="F419" s="87">
        <v>16912.25</v>
      </c>
      <c r="G419" s="88">
        <f t="shared" si="13"/>
        <v>-1.6540919575999662E-2</v>
      </c>
    </row>
    <row r="420" spans="1:7" ht="14.25" customHeight="1" x14ac:dyDescent="0.35">
      <c r="A420" s="85">
        <v>44537</v>
      </c>
      <c r="B420">
        <v>924.87</v>
      </c>
      <c r="C420">
        <f t="shared" si="12"/>
        <v>1.7234931808182974E-2</v>
      </c>
      <c r="E420" s="86">
        <v>44537</v>
      </c>
      <c r="F420" s="87">
        <v>17176.69921875</v>
      </c>
      <c r="G420" s="88">
        <f t="shared" si="13"/>
        <v>1.5636548581649395E-2</v>
      </c>
    </row>
    <row r="421" spans="1:7" ht="14.25" customHeight="1" x14ac:dyDescent="0.35">
      <c r="A421" s="85">
        <v>44538</v>
      </c>
      <c r="B421">
        <v>931.32</v>
      </c>
      <c r="C421">
        <f t="shared" si="12"/>
        <v>6.9739530961108543E-3</v>
      </c>
      <c r="E421" s="86">
        <v>44538</v>
      </c>
      <c r="F421" s="87">
        <v>17469.75</v>
      </c>
      <c r="G421" s="88">
        <f t="shared" si="13"/>
        <v>1.7060948527881727E-2</v>
      </c>
    </row>
    <row r="422" spans="1:7" ht="14.25" customHeight="1" x14ac:dyDescent="0.35">
      <c r="A422" s="85">
        <v>44539</v>
      </c>
      <c r="B422">
        <v>922.03</v>
      </c>
      <c r="C422">
        <f t="shared" si="12"/>
        <v>-9.9750891208178465E-3</v>
      </c>
      <c r="E422" s="86">
        <v>44539</v>
      </c>
      <c r="F422" s="87">
        <v>17516.849609375</v>
      </c>
      <c r="G422" s="88">
        <f t="shared" si="13"/>
        <v>2.6960665936833668E-3</v>
      </c>
    </row>
    <row r="423" spans="1:7" ht="14.25" customHeight="1" x14ac:dyDescent="0.35">
      <c r="A423" s="85">
        <v>44540</v>
      </c>
      <c r="B423">
        <v>921.34</v>
      </c>
      <c r="C423">
        <f t="shared" si="12"/>
        <v>-7.4834875220973387E-4</v>
      </c>
      <c r="E423" s="86">
        <v>44540</v>
      </c>
      <c r="F423" s="87">
        <v>17511.30078125</v>
      </c>
      <c r="G423" s="88">
        <f t="shared" si="13"/>
        <v>-3.1677089480920548E-4</v>
      </c>
    </row>
    <row r="424" spans="1:7" ht="14.25" customHeight="1" x14ac:dyDescent="0.35">
      <c r="A424" s="85">
        <v>44543</v>
      </c>
      <c r="B424">
        <v>907.55</v>
      </c>
      <c r="C424">
        <f t="shared" si="12"/>
        <v>-1.4967330192979874E-2</v>
      </c>
      <c r="E424" s="86">
        <v>44543</v>
      </c>
      <c r="F424" s="87">
        <v>17368.25</v>
      </c>
      <c r="G424" s="88">
        <f t="shared" si="13"/>
        <v>-8.1690551168631508E-3</v>
      </c>
    </row>
    <row r="425" spans="1:7" ht="14.25" customHeight="1" x14ac:dyDescent="0.35">
      <c r="A425" s="85">
        <v>44544</v>
      </c>
      <c r="B425">
        <v>919.83</v>
      </c>
      <c r="C425">
        <f t="shared" si="12"/>
        <v>1.3530934934714437E-2</v>
      </c>
      <c r="E425" s="86">
        <v>44544</v>
      </c>
      <c r="F425" s="87">
        <v>17324.900390625</v>
      </c>
      <c r="G425" s="88">
        <f t="shared" si="13"/>
        <v>-2.4959111813222402E-3</v>
      </c>
    </row>
    <row r="426" spans="1:7" ht="14.25" customHeight="1" x14ac:dyDescent="0.35">
      <c r="A426" s="85">
        <v>44545</v>
      </c>
      <c r="B426">
        <v>918.12</v>
      </c>
      <c r="C426">
        <f t="shared" si="12"/>
        <v>-1.8590391702815044E-3</v>
      </c>
      <c r="E426" s="86">
        <v>44545</v>
      </c>
      <c r="F426" s="87">
        <v>17221.400390625</v>
      </c>
      <c r="G426" s="88">
        <f t="shared" si="13"/>
        <v>-5.9740603216401067E-3</v>
      </c>
    </row>
    <row r="427" spans="1:7" ht="14.25" customHeight="1" x14ac:dyDescent="0.35">
      <c r="A427" s="85">
        <v>44546</v>
      </c>
      <c r="B427">
        <v>920.71</v>
      </c>
      <c r="C427">
        <f t="shared" si="12"/>
        <v>2.8209820067093975E-3</v>
      </c>
      <c r="E427" s="86">
        <v>44546</v>
      </c>
      <c r="F427" s="87">
        <v>17248.400390625</v>
      </c>
      <c r="G427" s="88">
        <f t="shared" si="13"/>
        <v>1.5678167505296654E-3</v>
      </c>
    </row>
    <row r="428" spans="1:7" ht="14.25" customHeight="1" x14ac:dyDescent="0.35">
      <c r="A428" s="85">
        <v>44547</v>
      </c>
      <c r="B428">
        <v>912.22</v>
      </c>
      <c r="C428">
        <f t="shared" si="12"/>
        <v>-9.2211445514874483E-3</v>
      </c>
      <c r="E428" s="86">
        <v>44547</v>
      </c>
      <c r="F428" s="87">
        <v>16985.19921875</v>
      </c>
      <c r="G428" s="88">
        <f t="shared" si="13"/>
        <v>-1.525945397337004E-2</v>
      </c>
    </row>
    <row r="429" spans="1:7" ht="14.25" customHeight="1" x14ac:dyDescent="0.35">
      <c r="A429" s="85">
        <v>44550</v>
      </c>
      <c r="B429">
        <v>902.74</v>
      </c>
      <c r="C429">
        <f t="shared" si="12"/>
        <v>-1.0392229944530944E-2</v>
      </c>
      <c r="E429" s="86">
        <v>44550</v>
      </c>
      <c r="F429" s="87">
        <v>16614.19921875</v>
      </c>
      <c r="G429" s="88">
        <f t="shared" si="13"/>
        <v>-2.1842546279377886E-2</v>
      </c>
    </row>
    <row r="430" spans="1:7" ht="14.25" customHeight="1" x14ac:dyDescent="0.35">
      <c r="A430" s="85">
        <v>44551</v>
      </c>
      <c r="B430">
        <v>918.96</v>
      </c>
      <c r="C430">
        <f t="shared" si="12"/>
        <v>1.7967521102421547E-2</v>
      </c>
      <c r="E430" s="86">
        <v>44551</v>
      </c>
      <c r="F430" s="87">
        <v>16770.849609375</v>
      </c>
      <c r="G430" s="88">
        <f t="shared" si="13"/>
        <v>9.4287054442089378E-3</v>
      </c>
    </row>
    <row r="431" spans="1:7" ht="14.25" customHeight="1" x14ac:dyDescent="0.35">
      <c r="A431" s="85">
        <v>44552</v>
      </c>
      <c r="B431">
        <v>917.53</v>
      </c>
      <c r="C431">
        <f t="shared" si="12"/>
        <v>-1.55610690345615E-3</v>
      </c>
      <c r="E431" s="86">
        <v>44552</v>
      </c>
      <c r="F431" s="87">
        <v>16955.44921875</v>
      </c>
      <c r="G431" s="88">
        <f t="shared" si="13"/>
        <v>1.1007170994593368E-2</v>
      </c>
    </row>
    <row r="432" spans="1:7" ht="14.25" customHeight="1" x14ac:dyDescent="0.35">
      <c r="A432" s="85">
        <v>44553</v>
      </c>
      <c r="B432">
        <v>918.39</v>
      </c>
      <c r="C432">
        <f t="shared" si="12"/>
        <v>9.372990528920184E-4</v>
      </c>
      <c r="E432" s="86">
        <v>44553</v>
      </c>
      <c r="F432" s="87">
        <v>17072.599609375</v>
      </c>
      <c r="G432" s="88">
        <f t="shared" si="13"/>
        <v>6.9093062126275315E-3</v>
      </c>
    </row>
    <row r="433" spans="1:7" ht="14.25" customHeight="1" x14ac:dyDescent="0.35">
      <c r="A433" s="85">
        <v>44554</v>
      </c>
      <c r="B433">
        <v>919.13</v>
      </c>
      <c r="C433">
        <f t="shared" si="12"/>
        <v>8.0575790241619477E-4</v>
      </c>
      <c r="E433" s="86">
        <v>44554</v>
      </c>
      <c r="F433" s="87">
        <v>17003.75</v>
      </c>
      <c r="G433" s="88">
        <f t="shared" si="13"/>
        <v>-4.0327548791803756E-3</v>
      </c>
    </row>
    <row r="434" spans="1:7" ht="14.25" customHeight="1" x14ac:dyDescent="0.35">
      <c r="A434" s="85">
        <v>44557</v>
      </c>
      <c r="B434">
        <v>922.87</v>
      </c>
      <c r="C434">
        <f t="shared" si="12"/>
        <v>4.0690653117622195E-3</v>
      </c>
      <c r="E434" s="86">
        <v>44557</v>
      </c>
      <c r="F434" s="87">
        <v>17086.25</v>
      </c>
      <c r="G434" s="88">
        <f t="shared" si="13"/>
        <v>4.8518709108284937E-3</v>
      </c>
    </row>
    <row r="435" spans="1:7" ht="14.25" customHeight="1" x14ac:dyDescent="0.35">
      <c r="A435" s="85">
        <v>44558</v>
      </c>
      <c r="B435">
        <v>925.39</v>
      </c>
      <c r="C435">
        <f t="shared" si="12"/>
        <v>2.7306121122151351E-3</v>
      </c>
      <c r="E435" s="86">
        <v>44558</v>
      </c>
      <c r="F435" s="87">
        <v>17233.25</v>
      </c>
      <c r="G435" s="88">
        <f t="shared" si="13"/>
        <v>8.6034091740434561E-3</v>
      </c>
    </row>
    <row r="436" spans="1:7" ht="14.25" customHeight="1" x14ac:dyDescent="0.35">
      <c r="A436" s="85">
        <v>44559</v>
      </c>
      <c r="B436">
        <v>927.52</v>
      </c>
      <c r="C436">
        <f t="shared" si="12"/>
        <v>2.3017322426220248E-3</v>
      </c>
      <c r="E436" s="86">
        <v>44559</v>
      </c>
      <c r="F436" s="87">
        <v>17213.599609375</v>
      </c>
      <c r="G436" s="88">
        <f t="shared" si="13"/>
        <v>-1.1402602889762524E-3</v>
      </c>
    </row>
    <row r="437" spans="1:7" ht="14.25" customHeight="1" x14ac:dyDescent="0.35">
      <c r="A437" s="85">
        <v>44560</v>
      </c>
      <c r="B437">
        <v>927.85</v>
      </c>
      <c r="C437">
        <f t="shared" si="12"/>
        <v>3.5578747628087903E-4</v>
      </c>
      <c r="E437" s="86">
        <v>44560</v>
      </c>
      <c r="F437" s="87">
        <v>17203.94921875</v>
      </c>
      <c r="G437" s="88">
        <f t="shared" si="13"/>
        <v>-5.606259494814862E-4</v>
      </c>
    </row>
    <row r="438" spans="1:7" ht="14.25" customHeight="1" x14ac:dyDescent="0.35">
      <c r="A438" s="85">
        <v>44561</v>
      </c>
      <c r="B438">
        <v>942.15</v>
      </c>
      <c r="C438">
        <f t="shared" si="12"/>
        <v>1.5411973918197935E-2</v>
      </c>
      <c r="E438" s="86">
        <v>44561</v>
      </c>
      <c r="F438" s="87">
        <v>17354.05078125</v>
      </c>
      <c r="G438" s="88">
        <f t="shared" si="13"/>
        <v>8.7248317576065267E-3</v>
      </c>
    </row>
    <row r="439" spans="1:7" ht="14.25" customHeight="1" x14ac:dyDescent="0.35">
      <c r="A439" s="85">
        <v>44564</v>
      </c>
      <c r="B439">
        <v>940.83</v>
      </c>
      <c r="C439">
        <f t="shared" si="12"/>
        <v>-1.4010507880910007E-3</v>
      </c>
      <c r="E439" s="86">
        <v>44564</v>
      </c>
      <c r="F439" s="87">
        <v>17625.69921875</v>
      </c>
      <c r="G439" s="88">
        <f t="shared" si="13"/>
        <v>1.565331581220793E-2</v>
      </c>
    </row>
    <row r="440" spans="1:7" ht="14.25" customHeight="1" x14ac:dyDescent="0.35">
      <c r="A440" s="85">
        <v>44565</v>
      </c>
      <c r="B440">
        <v>950.92</v>
      </c>
      <c r="C440">
        <f t="shared" si="12"/>
        <v>1.0724572983429437E-2</v>
      </c>
      <c r="E440" s="86">
        <v>44565</v>
      </c>
      <c r="F440" s="87">
        <v>17805.25</v>
      </c>
      <c r="G440" s="88">
        <f t="shared" si="13"/>
        <v>1.0186874235264159E-2</v>
      </c>
    </row>
    <row r="441" spans="1:7" ht="14.25" customHeight="1" x14ac:dyDescent="0.35">
      <c r="A441" s="85">
        <v>44566</v>
      </c>
      <c r="B441">
        <v>953.15</v>
      </c>
      <c r="C441">
        <f t="shared" si="12"/>
        <v>2.3450973793799879E-3</v>
      </c>
      <c r="E441" s="86">
        <v>44566</v>
      </c>
      <c r="F441" s="87">
        <v>17925.25</v>
      </c>
      <c r="G441" s="88">
        <f t="shared" si="13"/>
        <v>6.7395852346920151E-3</v>
      </c>
    </row>
    <row r="442" spans="1:7" ht="14.25" customHeight="1" x14ac:dyDescent="0.35">
      <c r="A442" s="85">
        <v>44567</v>
      </c>
      <c r="B442">
        <v>939.37</v>
      </c>
      <c r="C442">
        <f t="shared" si="12"/>
        <v>-1.4457325709489559E-2</v>
      </c>
      <c r="E442" s="86">
        <v>44567</v>
      </c>
      <c r="F442" s="87">
        <v>17745.900390625</v>
      </c>
      <c r="G442" s="88">
        <f t="shared" si="13"/>
        <v>-1.0005417462796892E-2</v>
      </c>
    </row>
    <row r="443" spans="1:7" ht="14.25" customHeight="1" x14ac:dyDescent="0.35">
      <c r="A443" s="85">
        <v>44568</v>
      </c>
      <c r="B443">
        <v>951.58</v>
      </c>
      <c r="C443">
        <f t="shared" si="12"/>
        <v>1.2998073176703574E-2</v>
      </c>
      <c r="E443" s="86">
        <v>44568</v>
      </c>
      <c r="F443" s="87">
        <v>17812.69921875</v>
      </c>
      <c r="G443" s="88">
        <f t="shared" si="13"/>
        <v>3.7641836511315718E-3</v>
      </c>
    </row>
    <row r="444" spans="1:7" ht="14.25" customHeight="1" x14ac:dyDescent="0.35">
      <c r="A444" s="85">
        <v>44571</v>
      </c>
      <c r="B444">
        <v>942.26</v>
      </c>
      <c r="C444">
        <f t="shared" si="12"/>
        <v>-9.7942369532777584E-3</v>
      </c>
      <c r="E444" s="86">
        <v>44571</v>
      </c>
      <c r="F444" s="87">
        <v>18003.30078125</v>
      </c>
      <c r="G444" s="88">
        <f t="shared" si="13"/>
        <v>1.0700318921871708E-2</v>
      </c>
    </row>
    <row r="445" spans="1:7" ht="14.25" customHeight="1" x14ac:dyDescent="0.35">
      <c r="A445" s="85">
        <v>44572</v>
      </c>
      <c r="B445">
        <v>944.84</v>
      </c>
      <c r="C445">
        <f t="shared" si="12"/>
        <v>2.738097764948147E-3</v>
      </c>
      <c r="E445" s="86">
        <v>44572</v>
      </c>
      <c r="F445" s="87">
        <v>18055.75</v>
      </c>
      <c r="G445" s="88">
        <f t="shared" si="13"/>
        <v>2.9133112526023332E-3</v>
      </c>
    </row>
    <row r="446" spans="1:7" ht="14.25" customHeight="1" x14ac:dyDescent="0.35">
      <c r="A446" s="85">
        <v>44573</v>
      </c>
      <c r="B446">
        <v>942.22</v>
      </c>
      <c r="C446">
        <f t="shared" si="12"/>
        <v>-2.7729562677278742E-3</v>
      </c>
      <c r="E446" s="86">
        <v>44573</v>
      </c>
      <c r="F446" s="87">
        <v>18212.349609375</v>
      </c>
      <c r="G446" s="88">
        <f t="shared" si="13"/>
        <v>8.6731157318305808E-3</v>
      </c>
    </row>
    <row r="447" spans="1:7" ht="14.25" customHeight="1" x14ac:dyDescent="0.35">
      <c r="A447" s="85">
        <v>44574</v>
      </c>
      <c r="B447">
        <v>942.57</v>
      </c>
      <c r="C447">
        <f t="shared" si="12"/>
        <v>3.7146314024327944E-4</v>
      </c>
      <c r="E447" s="86">
        <v>44574</v>
      </c>
      <c r="F447" s="87">
        <v>18257.80078125</v>
      </c>
      <c r="G447" s="88">
        <f t="shared" si="13"/>
        <v>2.495623730592319E-3</v>
      </c>
    </row>
    <row r="448" spans="1:7" ht="14.25" customHeight="1" x14ac:dyDescent="0.35">
      <c r="A448" s="85">
        <v>44575</v>
      </c>
      <c r="B448">
        <v>927.55</v>
      </c>
      <c r="C448">
        <f t="shared" si="12"/>
        <v>-1.5935156009633338E-2</v>
      </c>
      <c r="E448" s="86">
        <v>44575</v>
      </c>
      <c r="F448" s="87">
        <v>18255.75</v>
      </c>
      <c r="G448" s="88">
        <f t="shared" si="13"/>
        <v>-1.1232356375068276E-4</v>
      </c>
    </row>
    <row r="449" spans="1:7" ht="14.25" customHeight="1" x14ac:dyDescent="0.35">
      <c r="A449" s="85">
        <v>44578</v>
      </c>
      <c r="B449">
        <v>924.35</v>
      </c>
      <c r="C449">
        <f t="shared" si="12"/>
        <v>-3.4499487898225776E-3</v>
      </c>
      <c r="E449" s="86">
        <v>44578</v>
      </c>
      <c r="F449" s="87">
        <v>18308.099609375</v>
      </c>
      <c r="G449" s="88">
        <f t="shared" si="13"/>
        <v>2.867568266162716E-3</v>
      </c>
    </row>
    <row r="450" spans="1:7" ht="14.25" customHeight="1" x14ac:dyDescent="0.35">
      <c r="A450" s="85">
        <v>44579</v>
      </c>
      <c r="B450">
        <v>926.56</v>
      </c>
      <c r="C450">
        <f t="shared" si="12"/>
        <v>2.3908692594795506E-3</v>
      </c>
      <c r="E450" s="86">
        <v>44579</v>
      </c>
      <c r="F450" s="87">
        <v>18113.05078125</v>
      </c>
      <c r="G450" s="88">
        <f t="shared" si="13"/>
        <v>-1.0653690567923372E-2</v>
      </c>
    </row>
    <row r="451" spans="1:7" ht="14.25" customHeight="1" x14ac:dyDescent="0.35">
      <c r="A451" s="85">
        <v>44580</v>
      </c>
      <c r="B451">
        <v>905.4</v>
      </c>
      <c r="C451">
        <f t="shared" si="12"/>
        <v>-2.2837161112070421E-2</v>
      </c>
      <c r="E451" s="86">
        <v>44580</v>
      </c>
      <c r="F451" s="87">
        <v>17938.400390625</v>
      </c>
      <c r="G451" s="88">
        <f t="shared" si="13"/>
        <v>-9.642240433941256E-3</v>
      </c>
    </row>
    <row r="452" spans="1:7" ht="14.25" customHeight="1" x14ac:dyDescent="0.35">
      <c r="A452" s="85">
        <v>44581</v>
      </c>
      <c r="B452">
        <v>895.7</v>
      </c>
      <c r="C452">
        <f t="shared" si="12"/>
        <v>-1.0713496796995728E-2</v>
      </c>
      <c r="E452" s="86">
        <v>44581</v>
      </c>
      <c r="F452" s="87">
        <v>17757</v>
      </c>
      <c r="G452" s="88">
        <f t="shared" si="13"/>
        <v>-1.0112406160797024E-2</v>
      </c>
    </row>
    <row r="453" spans="1:7" ht="14.25" customHeight="1" x14ac:dyDescent="0.35">
      <c r="A453" s="85">
        <v>44582</v>
      </c>
      <c r="B453">
        <v>907.18</v>
      </c>
      <c r="C453">
        <f t="shared" ref="C453:C516" si="14">(B453-B452)/B452</f>
        <v>1.2816791336384843E-2</v>
      </c>
      <c r="E453" s="86">
        <v>44582</v>
      </c>
      <c r="F453" s="87">
        <v>17617.150390625</v>
      </c>
      <c r="G453" s="88">
        <f t="shared" ref="G453:G516" si="15">(F453-F452)/F452</f>
        <v>-7.875745304668582E-3</v>
      </c>
    </row>
    <row r="454" spans="1:7" ht="14.25" customHeight="1" x14ac:dyDescent="0.35">
      <c r="A454" s="85">
        <v>44585</v>
      </c>
      <c r="B454">
        <v>894.92</v>
      </c>
      <c r="C454">
        <f t="shared" si="14"/>
        <v>-1.3514407284111192E-2</v>
      </c>
      <c r="E454" s="86">
        <v>44585</v>
      </c>
      <c r="F454" s="87">
        <v>17149.099609375</v>
      </c>
      <c r="G454" s="88">
        <f t="shared" si="15"/>
        <v>-2.6567905187383431E-2</v>
      </c>
    </row>
    <row r="455" spans="1:7" ht="14.25" customHeight="1" x14ac:dyDescent="0.35">
      <c r="A455" s="85">
        <v>44586</v>
      </c>
      <c r="B455">
        <v>898.41</v>
      </c>
      <c r="C455">
        <f t="shared" si="14"/>
        <v>3.8997899253564667E-3</v>
      </c>
      <c r="E455" s="86">
        <v>44586</v>
      </c>
      <c r="F455" s="87">
        <v>17277.94921875</v>
      </c>
      <c r="G455" s="88">
        <f t="shared" si="15"/>
        <v>7.5134912216942877E-3</v>
      </c>
    </row>
    <row r="456" spans="1:7" ht="14.25" customHeight="1" x14ac:dyDescent="0.35">
      <c r="A456" s="85">
        <v>44588</v>
      </c>
      <c r="B456">
        <v>879.03</v>
      </c>
      <c r="C456">
        <f t="shared" si="14"/>
        <v>-2.1571442882425615E-2</v>
      </c>
      <c r="E456" s="86">
        <v>44588</v>
      </c>
      <c r="F456" s="87">
        <v>17110.150390625</v>
      </c>
      <c r="G456" s="88">
        <f t="shared" si="15"/>
        <v>-9.7117329146276816E-3</v>
      </c>
    </row>
    <row r="457" spans="1:7" ht="14.25" customHeight="1" x14ac:dyDescent="0.35">
      <c r="A457" s="85">
        <v>44589</v>
      </c>
      <c r="B457">
        <v>878.98</v>
      </c>
      <c r="C457">
        <f t="shared" si="14"/>
        <v>-5.6880880060924571E-5</v>
      </c>
      <c r="E457" s="86">
        <v>44589</v>
      </c>
      <c r="F457" s="87">
        <v>17101.94921875</v>
      </c>
      <c r="G457" s="88">
        <f t="shared" si="15"/>
        <v>-4.7931617710932507E-4</v>
      </c>
    </row>
    <row r="458" spans="1:7" ht="14.25" customHeight="1" x14ac:dyDescent="0.35">
      <c r="A458" s="85">
        <v>44592</v>
      </c>
      <c r="B458">
        <v>885.54</v>
      </c>
      <c r="C458">
        <f t="shared" si="14"/>
        <v>7.4631959771552766E-3</v>
      </c>
      <c r="E458" s="86">
        <v>44592</v>
      </c>
      <c r="F458" s="87">
        <v>17339.849609375</v>
      </c>
      <c r="G458" s="88">
        <f t="shared" si="15"/>
        <v>1.3910717870929826E-2</v>
      </c>
    </row>
    <row r="459" spans="1:7" ht="14.25" customHeight="1" x14ac:dyDescent="0.35">
      <c r="A459" s="85">
        <v>44593</v>
      </c>
      <c r="B459">
        <v>892.72</v>
      </c>
      <c r="C459">
        <f t="shared" si="14"/>
        <v>8.1080470673262229E-3</v>
      </c>
      <c r="E459" s="86">
        <v>44593</v>
      </c>
      <c r="F459" s="87">
        <v>17576.849609375</v>
      </c>
      <c r="G459" s="88">
        <f t="shared" si="15"/>
        <v>1.366793861187026E-2</v>
      </c>
    </row>
    <row r="460" spans="1:7" ht="14.25" customHeight="1" x14ac:dyDescent="0.35">
      <c r="A460" s="85">
        <v>44594</v>
      </c>
      <c r="B460">
        <v>884.54</v>
      </c>
      <c r="C460">
        <f t="shared" si="14"/>
        <v>-9.1630074379425389E-3</v>
      </c>
      <c r="E460" s="86">
        <v>44594</v>
      </c>
      <c r="F460" s="87">
        <v>17780</v>
      </c>
      <c r="G460" s="88">
        <f t="shared" si="15"/>
        <v>1.1557838585399586E-2</v>
      </c>
    </row>
    <row r="461" spans="1:7" ht="14.25" customHeight="1" x14ac:dyDescent="0.35">
      <c r="A461" s="85">
        <v>44595</v>
      </c>
      <c r="B461">
        <v>875.26</v>
      </c>
      <c r="C461">
        <f t="shared" si="14"/>
        <v>-1.0491328826282557E-2</v>
      </c>
      <c r="E461" s="86">
        <v>44595</v>
      </c>
      <c r="F461" s="87">
        <v>17560.19921875</v>
      </c>
      <c r="G461" s="88">
        <f t="shared" si="15"/>
        <v>-1.2362248664229471E-2</v>
      </c>
    </row>
    <row r="462" spans="1:7" ht="14.25" customHeight="1" x14ac:dyDescent="0.35">
      <c r="A462" s="85">
        <v>44596</v>
      </c>
      <c r="B462">
        <v>876.46</v>
      </c>
      <c r="C462">
        <f t="shared" si="14"/>
        <v>1.3710211822773181E-3</v>
      </c>
      <c r="E462" s="86">
        <v>44596</v>
      </c>
      <c r="F462" s="87">
        <v>17516.30078125</v>
      </c>
      <c r="G462" s="88">
        <f t="shared" si="15"/>
        <v>-2.4998826581151311E-3</v>
      </c>
    </row>
    <row r="463" spans="1:7" ht="14.25" customHeight="1" x14ac:dyDescent="0.35">
      <c r="A463" s="85">
        <v>44599</v>
      </c>
      <c r="B463">
        <v>864.08</v>
      </c>
      <c r="C463">
        <f t="shared" si="14"/>
        <v>-1.4125002852383446E-2</v>
      </c>
      <c r="E463" s="86">
        <v>44599</v>
      </c>
      <c r="F463" s="87">
        <v>17213.599609375</v>
      </c>
      <c r="G463" s="88">
        <f t="shared" si="15"/>
        <v>-1.7281112927623445E-2</v>
      </c>
    </row>
    <row r="464" spans="1:7" ht="14.25" customHeight="1" x14ac:dyDescent="0.35">
      <c r="A464" s="85">
        <v>44600</v>
      </c>
      <c r="B464">
        <v>864.77</v>
      </c>
      <c r="C464">
        <f t="shared" si="14"/>
        <v>7.985371724839608E-4</v>
      </c>
      <c r="E464" s="86">
        <v>44600</v>
      </c>
      <c r="F464" s="87">
        <v>17266.75</v>
      </c>
      <c r="G464" s="88">
        <f t="shared" si="15"/>
        <v>3.0876976246184346E-3</v>
      </c>
    </row>
    <row r="465" spans="1:7" ht="14.25" customHeight="1" x14ac:dyDescent="0.35">
      <c r="A465" s="85">
        <v>44601</v>
      </c>
      <c r="B465">
        <v>867.06</v>
      </c>
      <c r="C465">
        <f t="shared" si="14"/>
        <v>2.6481029637937989E-3</v>
      </c>
      <c r="E465" s="86">
        <v>44601</v>
      </c>
      <c r="F465" s="87">
        <v>17463.80078125</v>
      </c>
      <c r="G465" s="88">
        <f t="shared" si="15"/>
        <v>1.1412152330345897E-2</v>
      </c>
    </row>
    <row r="466" spans="1:7" ht="14.25" customHeight="1" x14ac:dyDescent="0.35">
      <c r="A466" s="85">
        <v>44602</v>
      </c>
      <c r="B466">
        <v>867.29</v>
      </c>
      <c r="C466">
        <f t="shared" si="14"/>
        <v>2.6526422623580627E-4</v>
      </c>
      <c r="E466" s="86">
        <v>44602</v>
      </c>
      <c r="F466" s="87">
        <v>17605.849609375</v>
      </c>
      <c r="G466" s="88">
        <f t="shared" si="15"/>
        <v>8.1339010851240717E-3</v>
      </c>
    </row>
    <row r="467" spans="1:7" ht="14.25" customHeight="1" x14ac:dyDescent="0.35">
      <c r="A467" s="85">
        <v>44603</v>
      </c>
      <c r="B467">
        <v>851.77</v>
      </c>
      <c r="C467">
        <f t="shared" si="14"/>
        <v>-1.7894821801242931E-2</v>
      </c>
      <c r="E467" s="86">
        <v>44603</v>
      </c>
      <c r="F467" s="87">
        <v>17374.75</v>
      </c>
      <c r="G467" s="88">
        <f t="shared" si="15"/>
        <v>-1.3126296912813624E-2</v>
      </c>
    </row>
    <row r="468" spans="1:7" ht="14.25" customHeight="1" x14ac:dyDescent="0.35">
      <c r="A468" s="85">
        <v>44606</v>
      </c>
      <c r="B468">
        <v>844.84</v>
      </c>
      <c r="C468">
        <f t="shared" si="14"/>
        <v>-8.1359991547013278E-3</v>
      </c>
      <c r="E468" s="86">
        <v>44606</v>
      </c>
      <c r="F468" s="87">
        <v>16842.80078125</v>
      </c>
      <c r="G468" s="88">
        <f t="shared" si="15"/>
        <v>-3.0616222895293456E-2</v>
      </c>
    </row>
    <row r="469" spans="1:7" ht="14.25" customHeight="1" x14ac:dyDescent="0.35">
      <c r="A469" s="85">
        <v>44607</v>
      </c>
      <c r="B469">
        <v>869.55</v>
      </c>
      <c r="C469">
        <f t="shared" si="14"/>
        <v>2.924814165995919E-2</v>
      </c>
      <c r="E469" s="86">
        <v>44607</v>
      </c>
      <c r="F469" s="87">
        <v>17352.44921875</v>
      </c>
      <c r="G469" s="88">
        <f t="shared" si="15"/>
        <v>3.0259126383977576E-2</v>
      </c>
    </row>
    <row r="470" spans="1:7" ht="14.25" customHeight="1" x14ac:dyDescent="0.35">
      <c r="A470" s="85">
        <v>44608</v>
      </c>
      <c r="B470">
        <v>871.3</v>
      </c>
      <c r="C470">
        <f t="shared" si="14"/>
        <v>2.0125352193663391E-3</v>
      </c>
      <c r="E470" s="86">
        <v>44608</v>
      </c>
      <c r="F470" s="87">
        <v>17322.19921875</v>
      </c>
      <c r="G470" s="88">
        <f t="shared" si="15"/>
        <v>-1.7432697608654399E-3</v>
      </c>
    </row>
    <row r="471" spans="1:7" ht="14.25" customHeight="1" x14ac:dyDescent="0.35">
      <c r="A471" s="85">
        <v>44609</v>
      </c>
      <c r="B471">
        <v>866.63</v>
      </c>
      <c r="C471">
        <f t="shared" si="14"/>
        <v>-5.3598071846665436E-3</v>
      </c>
      <c r="E471" s="86">
        <v>44609</v>
      </c>
      <c r="F471" s="87">
        <v>17304.599609375</v>
      </c>
      <c r="G471" s="88">
        <f t="shared" si="15"/>
        <v>-1.0160147191904897E-3</v>
      </c>
    </row>
    <row r="472" spans="1:7" ht="14.25" customHeight="1" x14ac:dyDescent="0.35">
      <c r="A472" s="85">
        <v>44610</v>
      </c>
      <c r="B472">
        <v>861.05</v>
      </c>
      <c r="C472">
        <f t="shared" si="14"/>
        <v>-6.438733946436243E-3</v>
      </c>
      <c r="E472" s="86">
        <v>44610</v>
      </c>
      <c r="F472" s="87">
        <v>17276.30078125</v>
      </c>
      <c r="G472" s="88">
        <f t="shared" si="15"/>
        <v>-1.6353356196504385E-3</v>
      </c>
    </row>
    <row r="473" spans="1:7" ht="14.25" customHeight="1" x14ac:dyDescent="0.35">
      <c r="A473" s="85">
        <v>44613</v>
      </c>
      <c r="B473">
        <v>865.68</v>
      </c>
      <c r="C473">
        <f t="shared" si="14"/>
        <v>5.3771557981534121E-3</v>
      </c>
      <c r="E473" s="86">
        <v>44613</v>
      </c>
      <c r="F473" s="87">
        <v>17206.650390625</v>
      </c>
      <c r="G473" s="88">
        <f t="shared" si="15"/>
        <v>-4.0315569581071253E-3</v>
      </c>
    </row>
    <row r="474" spans="1:7" ht="14.25" customHeight="1" x14ac:dyDescent="0.35">
      <c r="A474" s="85">
        <v>44614</v>
      </c>
      <c r="B474">
        <v>865.91</v>
      </c>
      <c r="C474">
        <f t="shared" si="14"/>
        <v>2.6568708991777355E-4</v>
      </c>
      <c r="E474" s="86">
        <v>44614</v>
      </c>
      <c r="F474" s="87">
        <v>17092.19921875</v>
      </c>
      <c r="G474" s="88">
        <f t="shared" si="15"/>
        <v>-6.6515660675803834E-3</v>
      </c>
    </row>
    <row r="475" spans="1:7" ht="14.25" customHeight="1" x14ac:dyDescent="0.35">
      <c r="A475" s="85">
        <v>44615</v>
      </c>
      <c r="B475">
        <v>857.1</v>
      </c>
      <c r="C475">
        <f t="shared" si="14"/>
        <v>-1.0174267533577331E-2</v>
      </c>
      <c r="E475" s="86">
        <v>44615</v>
      </c>
      <c r="F475" s="87">
        <v>17063.25</v>
      </c>
      <c r="G475" s="88">
        <f t="shared" si="15"/>
        <v>-1.6937094155936908E-3</v>
      </c>
    </row>
    <row r="476" spans="1:7" ht="14.25" customHeight="1" x14ac:dyDescent="0.35">
      <c r="A476" s="85">
        <v>44616</v>
      </c>
      <c r="B476">
        <v>848.4</v>
      </c>
      <c r="C476">
        <f t="shared" si="14"/>
        <v>-1.0150507525376322E-2</v>
      </c>
      <c r="E476" s="86">
        <v>44616</v>
      </c>
      <c r="F476" s="87">
        <v>16247.9501953125</v>
      </c>
      <c r="G476" s="88">
        <f t="shared" si="15"/>
        <v>-4.7781038470836444E-2</v>
      </c>
    </row>
    <row r="477" spans="1:7" ht="14.25" customHeight="1" x14ac:dyDescent="0.35">
      <c r="A477" s="85">
        <v>44617</v>
      </c>
      <c r="B477">
        <v>846.98</v>
      </c>
      <c r="C477">
        <f t="shared" si="14"/>
        <v>-1.6737388024516255E-3</v>
      </c>
      <c r="E477" s="86">
        <v>44617</v>
      </c>
      <c r="F477" s="87">
        <v>16658.400390625</v>
      </c>
      <c r="G477" s="88">
        <f t="shared" si="15"/>
        <v>2.5261660109649649E-2</v>
      </c>
    </row>
    <row r="478" spans="1:7" ht="14.25" customHeight="1" x14ac:dyDescent="0.35">
      <c r="A478" s="85">
        <v>44620</v>
      </c>
      <c r="B478">
        <v>843.35</v>
      </c>
      <c r="C478">
        <f t="shared" si="14"/>
        <v>-4.2858154856076826E-3</v>
      </c>
      <c r="E478" s="86">
        <v>44620</v>
      </c>
      <c r="F478" s="87">
        <v>16793.900390625</v>
      </c>
      <c r="G478" s="88">
        <f t="shared" si="15"/>
        <v>8.1340342903665937E-3</v>
      </c>
    </row>
    <row r="479" spans="1:7" ht="14.25" customHeight="1" x14ac:dyDescent="0.35">
      <c r="A479" s="85">
        <v>44622</v>
      </c>
      <c r="B479">
        <v>853.17</v>
      </c>
      <c r="C479">
        <f t="shared" si="14"/>
        <v>1.1644038655362466E-2</v>
      </c>
      <c r="E479" s="86">
        <v>44622</v>
      </c>
      <c r="F479" s="87">
        <v>16605.94921875</v>
      </c>
      <c r="G479" s="88">
        <f t="shared" si="15"/>
        <v>-1.1191633122935609E-2</v>
      </c>
    </row>
    <row r="480" spans="1:7" ht="14.25" customHeight="1" x14ac:dyDescent="0.35">
      <c r="A480" s="85">
        <v>44623</v>
      </c>
      <c r="B480">
        <v>833.66</v>
      </c>
      <c r="C480">
        <f t="shared" si="14"/>
        <v>-2.2867658262714339E-2</v>
      </c>
      <c r="E480" s="86">
        <v>44623</v>
      </c>
      <c r="F480" s="87">
        <v>16498.05078125</v>
      </c>
      <c r="G480" s="88">
        <f t="shared" si="15"/>
        <v>-6.4975772284170561E-3</v>
      </c>
    </row>
    <row r="481" spans="1:7" ht="14.25" customHeight="1" x14ac:dyDescent="0.35">
      <c r="A481" s="85">
        <v>44624</v>
      </c>
      <c r="B481">
        <v>831.53</v>
      </c>
      <c r="C481">
        <f t="shared" si="14"/>
        <v>-2.5549984406112751E-3</v>
      </c>
      <c r="E481" s="86">
        <v>44624</v>
      </c>
      <c r="F481" s="87">
        <v>16245.349609375</v>
      </c>
      <c r="G481" s="88">
        <f t="shared" si="15"/>
        <v>-1.5317032007332306E-2</v>
      </c>
    </row>
    <row r="482" spans="1:7" ht="14.25" customHeight="1" x14ac:dyDescent="0.35">
      <c r="A482" s="85">
        <v>44627</v>
      </c>
      <c r="B482">
        <v>829.15</v>
      </c>
      <c r="C482">
        <f t="shared" si="14"/>
        <v>-2.8621937873558327E-3</v>
      </c>
      <c r="E482" s="86">
        <v>44627</v>
      </c>
      <c r="F482" s="87">
        <v>15863.150390625</v>
      </c>
      <c r="G482" s="88">
        <f t="shared" si="15"/>
        <v>-2.3526684739947814E-2</v>
      </c>
    </row>
    <row r="483" spans="1:7" ht="14.25" customHeight="1" x14ac:dyDescent="0.35">
      <c r="A483" s="85">
        <v>44628</v>
      </c>
      <c r="B483">
        <v>825.38</v>
      </c>
      <c r="C483">
        <f t="shared" si="14"/>
        <v>-4.5468250618102661E-3</v>
      </c>
      <c r="E483" s="86">
        <v>44628</v>
      </c>
      <c r="F483" s="87">
        <v>16013.4501953125</v>
      </c>
      <c r="G483" s="88">
        <f t="shared" si="15"/>
        <v>9.4747765094836418E-3</v>
      </c>
    </row>
    <row r="484" spans="1:7" ht="14.25" customHeight="1" x14ac:dyDescent="0.35">
      <c r="A484" s="85">
        <v>44629</v>
      </c>
      <c r="B484">
        <v>819.75</v>
      </c>
      <c r="C484">
        <f t="shared" si="14"/>
        <v>-6.8211005839734374E-3</v>
      </c>
      <c r="E484" s="86">
        <v>44629</v>
      </c>
      <c r="F484" s="87">
        <v>16345.349609375</v>
      </c>
      <c r="G484" s="88">
        <f t="shared" si="15"/>
        <v>2.0726290088294307E-2</v>
      </c>
    </row>
    <row r="485" spans="1:7" ht="14.25" customHeight="1" x14ac:dyDescent="0.35">
      <c r="A485" s="85">
        <v>44630</v>
      </c>
      <c r="B485">
        <v>843.83</v>
      </c>
      <c r="C485">
        <f t="shared" si="14"/>
        <v>2.9374809393107704E-2</v>
      </c>
      <c r="E485" s="86">
        <v>44630</v>
      </c>
      <c r="F485" s="87">
        <v>16594.900390625</v>
      </c>
      <c r="G485" s="88">
        <f t="shared" si="15"/>
        <v>1.5267387190474546E-2</v>
      </c>
    </row>
    <row r="486" spans="1:7" ht="14.25" customHeight="1" x14ac:dyDescent="0.35">
      <c r="A486" s="85">
        <v>44631</v>
      </c>
      <c r="B486">
        <v>828.45</v>
      </c>
      <c r="C486">
        <f t="shared" si="14"/>
        <v>-1.8226420013509825E-2</v>
      </c>
      <c r="E486" s="86">
        <v>44631</v>
      </c>
      <c r="F486" s="87">
        <v>16630.44921875</v>
      </c>
      <c r="G486" s="88">
        <f t="shared" si="15"/>
        <v>2.14215375134657E-3</v>
      </c>
    </row>
    <row r="487" spans="1:7" ht="14.25" customHeight="1" x14ac:dyDescent="0.35">
      <c r="A487" s="85">
        <v>44634</v>
      </c>
      <c r="B487">
        <v>830.35</v>
      </c>
      <c r="C487">
        <f t="shared" si="14"/>
        <v>2.2934395557969427E-3</v>
      </c>
      <c r="E487" s="86">
        <v>44634</v>
      </c>
      <c r="F487" s="87">
        <v>16871.30078125</v>
      </c>
      <c r="G487" s="88">
        <f t="shared" si="15"/>
        <v>1.4482565042708041E-2</v>
      </c>
    </row>
    <row r="488" spans="1:7" ht="14.25" customHeight="1" x14ac:dyDescent="0.35">
      <c r="A488" s="85">
        <v>44635</v>
      </c>
      <c r="B488">
        <v>834.86</v>
      </c>
      <c r="C488">
        <f t="shared" si="14"/>
        <v>5.431444571566196E-3</v>
      </c>
      <c r="E488" s="86">
        <v>44635</v>
      </c>
      <c r="F488" s="87">
        <v>16663</v>
      </c>
      <c r="G488" s="88">
        <f t="shared" si="15"/>
        <v>-1.2346456503312184E-2</v>
      </c>
    </row>
    <row r="489" spans="1:7" ht="14.25" customHeight="1" x14ac:dyDescent="0.35">
      <c r="A489" s="85">
        <v>44636</v>
      </c>
      <c r="B489">
        <v>852.16</v>
      </c>
      <c r="C489">
        <f t="shared" si="14"/>
        <v>2.0722037227798619E-2</v>
      </c>
      <c r="E489" s="86">
        <v>44636</v>
      </c>
      <c r="F489" s="87">
        <v>16975.349609375</v>
      </c>
      <c r="G489" s="88">
        <f t="shared" si="15"/>
        <v>1.8745100484606612E-2</v>
      </c>
    </row>
    <row r="490" spans="1:7" ht="14.25" customHeight="1" x14ac:dyDescent="0.35">
      <c r="A490" s="85">
        <v>44637</v>
      </c>
      <c r="B490">
        <v>874.19</v>
      </c>
      <c r="C490">
        <f t="shared" si="14"/>
        <v>2.5851952684941896E-2</v>
      </c>
      <c r="E490" s="86">
        <v>44637</v>
      </c>
      <c r="F490" s="87">
        <v>17287.05078125</v>
      </c>
      <c r="G490" s="88">
        <f t="shared" si="15"/>
        <v>1.8361988356508215E-2</v>
      </c>
    </row>
    <row r="491" spans="1:7" ht="14.25" customHeight="1" x14ac:dyDescent="0.35">
      <c r="A491" s="85">
        <v>44641</v>
      </c>
      <c r="B491">
        <v>854.7</v>
      </c>
      <c r="C491">
        <f t="shared" si="14"/>
        <v>-2.2294924444342772E-2</v>
      </c>
      <c r="E491" s="86">
        <v>44641</v>
      </c>
      <c r="F491" s="87">
        <v>17117.599609375</v>
      </c>
      <c r="G491" s="88">
        <f t="shared" si="15"/>
        <v>-9.80220247046369E-3</v>
      </c>
    </row>
    <row r="492" spans="1:7" ht="14.25" customHeight="1" x14ac:dyDescent="0.35">
      <c r="A492" s="85">
        <v>44642</v>
      </c>
      <c r="B492">
        <v>833.31</v>
      </c>
      <c r="C492">
        <f t="shared" si="14"/>
        <v>-2.5026325026325142E-2</v>
      </c>
      <c r="E492" s="86">
        <v>44642</v>
      </c>
      <c r="F492" s="87">
        <v>17315.5</v>
      </c>
      <c r="G492" s="88">
        <f t="shared" si="15"/>
        <v>1.1561223252155842E-2</v>
      </c>
    </row>
    <row r="493" spans="1:7" ht="14.25" customHeight="1" x14ac:dyDescent="0.35">
      <c r="A493" s="85">
        <v>44643</v>
      </c>
      <c r="B493">
        <v>829.25</v>
      </c>
      <c r="C493">
        <f t="shared" si="14"/>
        <v>-4.8721364198196894E-3</v>
      </c>
      <c r="E493" s="86">
        <v>44643</v>
      </c>
      <c r="F493" s="87">
        <v>17245.650390625</v>
      </c>
      <c r="G493" s="88">
        <f t="shared" si="15"/>
        <v>-4.0339354552279749E-3</v>
      </c>
    </row>
    <row r="494" spans="1:7" ht="14.25" customHeight="1" x14ac:dyDescent="0.35">
      <c r="A494" s="85">
        <v>44644</v>
      </c>
      <c r="B494">
        <v>832.3</v>
      </c>
      <c r="C494">
        <f t="shared" si="14"/>
        <v>3.6780223093155918E-3</v>
      </c>
      <c r="E494" s="86">
        <v>44644</v>
      </c>
      <c r="F494" s="87">
        <v>17222.75</v>
      </c>
      <c r="G494" s="88">
        <f t="shared" si="15"/>
        <v>-1.3278937068937106E-3</v>
      </c>
    </row>
    <row r="495" spans="1:7" ht="14.25" customHeight="1" x14ac:dyDescent="0.35">
      <c r="A495" s="85">
        <v>44645</v>
      </c>
      <c r="B495">
        <v>820.5</v>
      </c>
      <c r="C495">
        <f t="shared" si="14"/>
        <v>-1.4177580199447261E-2</v>
      </c>
      <c r="E495" s="86">
        <v>44645</v>
      </c>
      <c r="F495" s="87">
        <v>17153</v>
      </c>
      <c r="G495" s="88">
        <f t="shared" si="15"/>
        <v>-4.0498758909001172E-3</v>
      </c>
    </row>
    <row r="496" spans="1:7" ht="14.25" customHeight="1" x14ac:dyDescent="0.35">
      <c r="A496" s="85">
        <v>44648</v>
      </c>
      <c r="B496">
        <v>806.1</v>
      </c>
      <c r="C496">
        <f t="shared" si="14"/>
        <v>-1.7550274223034706E-2</v>
      </c>
      <c r="E496" s="86">
        <v>44648</v>
      </c>
      <c r="F496" s="87">
        <v>17222</v>
      </c>
      <c r="G496" s="88">
        <f t="shared" si="15"/>
        <v>4.022619949862998E-3</v>
      </c>
    </row>
    <row r="497" spans="1:7" ht="14.25" customHeight="1" x14ac:dyDescent="0.35">
      <c r="A497" s="85">
        <v>44649</v>
      </c>
      <c r="B497">
        <v>809.06</v>
      </c>
      <c r="C497">
        <f t="shared" si="14"/>
        <v>3.6720009924326048E-3</v>
      </c>
      <c r="E497" s="86">
        <v>44649</v>
      </c>
      <c r="F497" s="87">
        <v>17325.30078125</v>
      </c>
      <c r="G497" s="88">
        <f t="shared" si="15"/>
        <v>5.9981872749970966E-3</v>
      </c>
    </row>
    <row r="498" spans="1:7" ht="14.25" customHeight="1" x14ac:dyDescent="0.35">
      <c r="A498" s="85">
        <v>44650</v>
      </c>
      <c r="B498">
        <v>827.04</v>
      </c>
      <c r="C498">
        <f t="shared" si="14"/>
        <v>2.2223320890910465E-2</v>
      </c>
      <c r="E498" s="86">
        <v>44650</v>
      </c>
      <c r="F498" s="87">
        <v>17498.25</v>
      </c>
      <c r="G498" s="88">
        <f t="shared" si="15"/>
        <v>9.9824655821947536E-3</v>
      </c>
    </row>
    <row r="499" spans="1:7" ht="14.25" customHeight="1" x14ac:dyDescent="0.35">
      <c r="A499" s="85">
        <v>44651</v>
      </c>
      <c r="B499">
        <v>830.99</v>
      </c>
      <c r="C499">
        <f t="shared" si="14"/>
        <v>4.7760688721223228E-3</v>
      </c>
      <c r="E499" s="86">
        <v>44651</v>
      </c>
      <c r="F499" s="87">
        <v>17464.75</v>
      </c>
      <c r="G499" s="88">
        <f t="shared" si="15"/>
        <v>-1.9144771620019144E-3</v>
      </c>
    </row>
    <row r="500" spans="1:7" ht="14.25" customHeight="1" x14ac:dyDescent="0.35">
      <c r="A500" s="85">
        <v>44652</v>
      </c>
      <c r="B500">
        <v>839.43</v>
      </c>
      <c r="C500">
        <f t="shared" si="14"/>
        <v>1.0156560247415661E-2</v>
      </c>
      <c r="E500" s="86">
        <v>44652</v>
      </c>
      <c r="F500" s="87">
        <v>17670.44921875</v>
      </c>
      <c r="G500" s="88">
        <f t="shared" si="15"/>
        <v>1.1777965258592307E-2</v>
      </c>
    </row>
    <row r="501" spans="1:7" ht="14.25" customHeight="1" x14ac:dyDescent="0.35">
      <c r="A501" s="85">
        <v>44655</v>
      </c>
      <c r="B501">
        <v>852</v>
      </c>
      <c r="C501">
        <f t="shared" si="14"/>
        <v>1.4974446946142085E-2</v>
      </c>
      <c r="E501" s="86">
        <v>44655</v>
      </c>
      <c r="F501" s="87">
        <v>18053.400390625</v>
      </c>
      <c r="G501" s="88">
        <f t="shared" si="15"/>
        <v>2.1671841339984326E-2</v>
      </c>
    </row>
    <row r="502" spans="1:7" ht="14.25" customHeight="1" x14ac:dyDescent="0.35">
      <c r="A502" s="85">
        <v>44656</v>
      </c>
      <c r="B502">
        <v>861.71</v>
      </c>
      <c r="C502">
        <f t="shared" si="14"/>
        <v>1.1396713615023518E-2</v>
      </c>
      <c r="E502" s="86">
        <v>44656</v>
      </c>
      <c r="F502" s="87">
        <v>17957.400390625</v>
      </c>
      <c r="G502" s="88">
        <f t="shared" si="15"/>
        <v>-5.3175577964720763E-3</v>
      </c>
    </row>
    <row r="503" spans="1:7" ht="14.25" customHeight="1" x14ac:dyDescent="0.35">
      <c r="A503" s="85">
        <v>44657</v>
      </c>
      <c r="B503">
        <v>870.97</v>
      </c>
      <c r="C503">
        <f t="shared" si="14"/>
        <v>1.0746074665490699E-2</v>
      </c>
      <c r="E503" s="86">
        <v>44657</v>
      </c>
      <c r="F503" s="87">
        <v>17807.650390625</v>
      </c>
      <c r="G503" s="88">
        <f t="shared" si="15"/>
        <v>-8.3391803235717699E-3</v>
      </c>
    </row>
    <row r="504" spans="1:7" ht="14.25" customHeight="1" x14ac:dyDescent="0.35">
      <c r="A504" s="85">
        <v>44658</v>
      </c>
      <c r="B504">
        <v>869.61</v>
      </c>
      <c r="C504">
        <f t="shared" si="14"/>
        <v>-1.5614774332066703E-3</v>
      </c>
      <c r="E504" s="86">
        <v>44658</v>
      </c>
      <c r="F504" s="87">
        <v>17639.55078125</v>
      </c>
      <c r="G504" s="88">
        <f t="shared" si="15"/>
        <v>-9.4397411049521492E-3</v>
      </c>
    </row>
    <row r="505" spans="1:7" ht="14.25" customHeight="1" x14ac:dyDescent="0.35">
      <c r="A505" s="85">
        <v>44659</v>
      </c>
      <c r="B505">
        <v>882.25</v>
      </c>
      <c r="C505">
        <f t="shared" si="14"/>
        <v>1.4535251434551104E-2</v>
      </c>
      <c r="E505" s="86">
        <v>44659</v>
      </c>
      <c r="F505" s="87">
        <v>17784.349609375</v>
      </c>
      <c r="G505" s="88">
        <f t="shared" si="15"/>
        <v>8.2087593907954979E-3</v>
      </c>
    </row>
    <row r="506" spans="1:7" ht="14.25" customHeight="1" x14ac:dyDescent="0.35">
      <c r="A506" s="85">
        <v>44662</v>
      </c>
      <c r="B506">
        <v>880.99</v>
      </c>
      <c r="C506">
        <f t="shared" si="14"/>
        <v>-1.4281666194389242E-3</v>
      </c>
      <c r="E506" s="86">
        <v>44662</v>
      </c>
      <c r="F506" s="87">
        <v>17674.94921875</v>
      </c>
      <c r="G506" s="88">
        <f t="shared" si="15"/>
        <v>-6.1514979759130298E-3</v>
      </c>
    </row>
    <row r="507" spans="1:7" ht="14.25" customHeight="1" x14ac:dyDescent="0.35">
      <c r="A507" s="85">
        <v>44663</v>
      </c>
      <c r="B507">
        <v>880.58</v>
      </c>
      <c r="C507">
        <f t="shared" si="14"/>
        <v>-4.6538553218534621E-4</v>
      </c>
      <c r="E507" s="86">
        <v>44663</v>
      </c>
      <c r="F507" s="87">
        <v>17530.30078125</v>
      </c>
      <c r="G507" s="88">
        <f t="shared" si="15"/>
        <v>-8.1838106412522836E-3</v>
      </c>
    </row>
    <row r="508" spans="1:7" ht="14.25" customHeight="1" x14ac:dyDescent="0.35">
      <c r="A508" s="85">
        <v>44664</v>
      </c>
      <c r="B508">
        <v>878.89</v>
      </c>
      <c r="C508">
        <f t="shared" si="14"/>
        <v>-1.9191896250199351E-3</v>
      </c>
      <c r="E508" s="86">
        <v>44664</v>
      </c>
      <c r="F508" s="87">
        <v>17475.650390625</v>
      </c>
      <c r="G508" s="88">
        <f t="shared" si="15"/>
        <v>-3.1174816283501979E-3</v>
      </c>
    </row>
    <row r="509" spans="1:7" ht="14.25" customHeight="1" x14ac:dyDescent="0.35">
      <c r="A509" s="85">
        <v>44669</v>
      </c>
      <c r="B509">
        <v>887.45</v>
      </c>
      <c r="C509">
        <f t="shared" si="14"/>
        <v>9.7395578513807864E-3</v>
      </c>
      <c r="E509" s="86">
        <v>44669</v>
      </c>
      <c r="F509" s="87">
        <v>17173.650390625</v>
      </c>
      <c r="G509" s="88">
        <f t="shared" si="15"/>
        <v>-1.7281188010147601E-2</v>
      </c>
    </row>
    <row r="510" spans="1:7" ht="14.25" customHeight="1" x14ac:dyDescent="0.35">
      <c r="A510" s="85">
        <v>44670</v>
      </c>
      <c r="B510">
        <v>858.15</v>
      </c>
      <c r="C510">
        <f t="shared" si="14"/>
        <v>-3.3015944560256992E-2</v>
      </c>
      <c r="E510" s="86">
        <v>44670</v>
      </c>
      <c r="F510" s="87">
        <v>16958.650390625</v>
      </c>
      <c r="G510" s="88">
        <f t="shared" si="15"/>
        <v>-1.2519178806467803E-2</v>
      </c>
    </row>
    <row r="511" spans="1:7" ht="14.25" customHeight="1" x14ac:dyDescent="0.35">
      <c r="A511" s="85">
        <v>44671</v>
      </c>
      <c r="B511">
        <v>875.2</v>
      </c>
      <c r="C511">
        <f t="shared" si="14"/>
        <v>1.9868321389034632E-2</v>
      </c>
      <c r="E511" s="86">
        <v>44671</v>
      </c>
      <c r="F511" s="87">
        <v>17136.55078125</v>
      </c>
      <c r="G511" s="88">
        <f t="shared" si="15"/>
        <v>1.0490244596547968E-2</v>
      </c>
    </row>
    <row r="512" spans="1:7" ht="14.25" customHeight="1" x14ac:dyDescent="0.35">
      <c r="A512" s="85">
        <v>44672</v>
      </c>
      <c r="B512">
        <v>874.61</v>
      </c>
      <c r="C512">
        <f t="shared" si="14"/>
        <v>-6.7413162705670909E-4</v>
      </c>
      <c r="E512" s="86">
        <v>44672</v>
      </c>
      <c r="F512" s="87">
        <v>17392.599609375</v>
      </c>
      <c r="G512" s="88">
        <f t="shared" si="15"/>
        <v>1.4941678252146078E-2</v>
      </c>
    </row>
    <row r="513" spans="1:7" ht="14.25" customHeight="1" x14ac:dyDescent="0.35">
      <c r="A513" s="85">
        <v>44673</v>
      </c>
      <c r="B513">
        <v>873.88</v>
      </c>
      <c r="C513">
        <f t="shared" si="14"/>
        <v>-8.346577331610869E-4</v>
      </c>
      <c r="E513" s="86">
        <v>44673</v>
      </c>
      <c r="F513" s="87">
        <v>17171.94921875</v>
      </c>
      <c r="G513" s="88">
        <f t="shared" si="15"/>
        <v>-1.2686452605168035E-2</v>
      </c>
    </row>
    <row r="514" spans="1:7" ht="14.25" customHeight="1" x14ac:dyDescent="0.35">
      <c r="A514" s="85">
        <v>44676</v>
      </c>
      <c r="B514">
        <v>873.25</v>
      </c>
      <c r="C514">
        <f t="shared" si="14"/>
        <v>-7.2092278115987944E-4</v>
      </c>
      <c r="E514" s="86">
        <v>44676</v>
      </c>
      <c r="F514" s="87">
        <v>16953.94921875</v>
      </c>
      <c r="G514" s="88">
        <f t="shared" si="15"/>
        <v>-1.2695122564301929E-2</v>
      </c>
    </row>
    <row r="515" spans="1:7" ht="14.25" customHeight="1" x14ac:dyDescent="0.35">
      <c r="A515" s="85">
        <v>44677</v>
      </c>
      <c r="B515">
        <v>884.83</v>
      </c>
      <c r="C515">
        <f t="shared" si="14"/>
        <v>1.3260807328943648E-2</v>
      </c>
      <c r="E515" s="86">
        <v>44677</v>
      </c>
      <c r="F515" s="87">
        <v>17200.80078125</v>
      </c>
      <c r="G515" s="88">
        <f t="shared" si="15"/>
        <v>1.4560121616207138E-2</v>
      </c>
    </row>
    <row r="516" spans="1:7" ht="14.25" customHeight="1" x14ac:dyDescent="0.35">
      <c r="A516" s="85">
        <v>44678</v>
      </c>
      <c r="B516">
        <v>875.57</v>
      </c>
      <c r="C516">
        <f t="shared" si="14"/>
        <v>-1.0465287117299358E-2</v>
      </c>
      <c r="E516" s="86">
        <v>44678</v>
      </c>
      <c r="F516" s="87">
        <v>17038.400390625</v>
      </c>
      <c r="G516" s="88">
        <f t="shared" si="15"/>
        <v>-9.4414436101153531E-3</v>
      </c>
    </row>
    <row r="517" spans="1:7" ht="14.25" customHeight="1" x14ac:dyDescent="0.35">
      <c r="A517" s="85">
        <v>44679</v>
      </c>
      <c r="B517">
        <v>885.41</v>
      </c>
      <c r="C517">
        <f t="shared" ref="C517:C580" si="16">(B517-B516)/B516</f>
        <v>1.123839327523775E-2</v>
      </c>
      <c r="E517" s="86">
        <v>44679</v>
      </c>
      <c r="F517" s="87">
        <v>17245.05078125</v>
      </c>
      <c r="G517" s="88">
        <f t="shared" ref="G517:G580" si="17">(F517-F516)/F516</f>
        <v>1.2128508890934666E-2</v>
      </c>
    </row>
    <row r="518" spans="1:7" ht="14.25" customHeight="1" x14ac:dyDescent="0.35">
      <c r="A518" s="85">
        <v>44680</v>
      </c>
      <c r="B518">
        <v>880.73</v>
      </c>
      <c r="C518">
        <f t="shared" si="16"/>
        <v>-5.2856868569362784E-3</v>
      </c>
      <c r="E518" s="86">
        <v>44680</v>
      </c>
      <c r="F518" s="87">
        <v>17102.55078125</v>
      </c>
      <c r="G518" s="88">
        <f t="shared" si="17"/>
        <v>-8.2632403816946566E-3</v>
      </c>
    </row>
    <row r="519" spans="1:7" ht="14.25" customHeight="1" x14ac:dyDescent="0.35">
      <c r="A519" s="85">
        <v>44683</v>
      </c>
      <c r="B519">
        <v>886.02</v>
      </c>
      <c r="C519">
        <f t="shared" si="16"/>
        <v>6.0063810702485022E-3</v>
      </c>
      <c r="E519" s="86">
        <v>44683</v>
      </c>
      <c r="F519" s="87">
        <v>17069.099609375</v>
      </c>
      <c r="G519" s="88">
        <f t="shared" si="17"/>
        <v>-1.9559171203674158E-3</v>
      </c>
    </row>
    <row r="520" spans="1:7" ht="14.25" customHeight="1" x14ac:dyDescent="0.35">
      <c r="A520" s="85">
        <v>44685</v>
      </c>
      <c r="B520">
        <v>869.07</v>
      </c>
      <c r="C520">
        <f t="shared" si="16"/>
        <v>-1.9130493668314409E-2</v>
      </c>
      <c r="E520" s="86">
        <v>44685</v>
      </c>
      <c r="F520" s="87">
        <v>16677.599609375</v>
      </c>
      <c r="G520" s="88">
        <f t="shared" si="17"/>
        <v>-2.2936183451936345E-2</v>
      </c>
    </row>
    <row r="521" spans="1:7" ht="14.25" customHeight="1" x14ac:dyDescent="0.35">
      <c r="A521" s="85">
        <v>44686</v>
      </c>
      <c r="B521">
        <v>845.82</v>
      </c>
      <c r="C521">
        <f t="shared" si="16"/>
        <v>-2.675273568297145E-2</v>
      </c>
      <c r="E521" s="86">
        <v>44686</v>
      </c>
      <c r="F521" s="87">
        <v>16682.650390625</v>
      </c>
      <c r="G521" s="88">
        <f t="shared" si="17"/>
        <v>3.0284821366983761E-4</v>
      </c>
    </row>
    <row r="522" spans="1:7" ht="14.25" customHeight="1" x14ac:dyDescent="0.35">
      <c r="A522" s="85">
        <v>44687</v>
      </c>
      <c r="B522">
        <v>816.59</v>
      </c>
      <c r="C522">
        <f t="shared" si="16"/>
        <v>-3.4558180227471584E-2</v>
      </c>
      <c r="E522" s="86">
        <v>44687</v>
      </c>
      <c r="F522" s="87">
        <v>16411.25</v>
      </c>
      <c r="G522" s="88">
        <f t="shared" si="17"/>
        <v>-1.6268421639856246E-2</v>
      </c>
    </row>
    <row r="523" spans="1:7" ht="14.25" customHeight="1" x14ac:dyDescent="0.35">
      <c r="A523" s="85">
        <v>44690</v>
      </c>
      <c r="B523">
        <v>792.99</v>
      </c>
      <c r="C523">
        <f t="shared" si="16"/>
        <v>-2.8900672308012614E-2</v>
      </c>
      <c r="E523" s="86">
        <v>44690</v>
      </c>
      <c r="F523" s="87">
        <v>16301.849609375</v>
      </c>
      <c r="G523" s="88">
        <f t="shared" si="17"/>
        <v>-6.6661826871810496E-3</v>
      </c>
    </row>
    <row r="524" spans="1:7" ht="14.25" customHeight="1" x14ac:dyDescent="0.35">
      <c r="A524" s="85">
        <v>44691</v>
      </c>
      <c r="B524">
        <v>793.77</v>
      </c>
      <c r="C524">
        <f t="shared" si="16"/>
        <v>9.836189611470167E-4</v>
      </c>
      <c r="E524" s="86">
        <v>44691</v>
      </c>
      <c r="F524" s="87">
        <v>16240.0498046875</v>
      </c>
      <c r="G524" s="88">
        <f t="shared" si="17"/>
        <v>-3.7909688880922855E-3</v>
      </c>
    </row>
    <row r="525" spans="1:7" ht="14.25" customHeight="1" x14ac:dyDescent="0.35">
      <c r="A525" s="85">
        <v>44692</v>
      </c>
      <c r="B525">
        <v>793.38</v>
      </c>
      <c r="C525">
        <f t="shared" si="16"/>
        <v>-4.9132620280432156E-4</v>
      </c>
      <c r="E525" s="86">
        <v>44692</v>
      </c>
      <c r="F525" s="87">
        <v>16167.099609375</v>
      </c>
      <c r="G525" s="88">
        <f t="shared" si="17"/>
        <v>-4.4919933245182401E-3</v>
      </c>
    </row>
    <row r="526" spans="1:7" ht="14.25" customHeight="1" x14ac:dyDescent="0.35">
      <c r="A526" s="85">
        <v>44693</v>
      </c>
      <c r="B526">
        <v>779.33</v>
      </c>
      <c r="C526">
        <f t="shared" si="16"/>
        <v>-1.7709042325241314E-2</v>
      </c>
      <c r="E526" s="86">
        <v>44693</v>
      </c>
      <c r="F526" s="87">
        <v>15808</v>
      </c>
      <c r="G526" s="88">
        <f t="shared" si="17"/>
        <v>-2.2211752141785831E-2</v>
      </c>
    </row>
    <row r="527" spans="1:7" ht="14.25" customHeight="1" x14ac:dyDescent="0.35">
      <c r="A527" s="85">
        <v>44694</v>
      </c>
      <c r="B527">
        <v>788.12</v>
      </c>
      <c r="C527">
        <f t="shared" si="16"/>
        <v>1.1278919071510097E-2</v>
      </c>
      <c r="E527" s="86">
        <v>44694</v>
      </c>
      <c r="F527" s="87">
        <v>15782.150390625</v>
      </c>
      <c r="G527" s="88">
        <f t="shared" si="17"/>
        <v>-1.6352232651189271E-3</v>
      </c>
    </row>
    <row r="528" spans="1:7" ht="14.25" customHeight="1" x14ac:dyDescent="0.35">
      <c r="A528" s="85">
        <v>44697</v>
      </c>
      <c r="B528">
        <v>779.28</v>
      </c>
      <c r="C528">
        <f t="shared" si="16"/>
        <v>-1.1216566005176917E-2</v>
      </c>
      <c r="E528" s="86">
        <v>44697</v>
      </c>
      <c r="F528" s="87">
        <v>15842.2998046875</v>
      </c>
      <c r="G528" s="88">
        <f t="shared" si="17"/>
        <v>3.8112305721171107E-3</v>
      </c>
    </row>
    <row r="529" spans="1:7" ht="14.25" customHeight="1" x14ac:dyDescent="0.35">
      <c r="A529" s="85">
        <v>44698</v>
      </c>
      <c r="B529">
        <v>784.3</v>
      </c>
      <c r="C529">
        <f t="shared" si="16"/>
        <v>6.4418437532080663E-3</v>
      </c>
      <c r="E529" s="86">
        <v>44698</v>
      </c>
      <c r="F529" s="87">
        <v>16259.2998046875</v>
      </c>
      <c r="G529" s="88">
        <f t="shared" si="17"/>
        <v>2.6321935902047247E-2</v>
      </c>
    </row>
    <row r="530" spans="1:7" ht="14.25" customHeight="1" x14ac:dyDescent="0.35">
      <c r="A530" s="85">
        <v>44699</v>
      </c>
      <c r="B530">
        <v>785.27</v>
      </c>
      <c r="C530">
        <f t="shared" si="16"/>
        <v>1.2367716435037963E-3</v>
      </c>
      <c r="E530" s="86">
        <v>44699</v>
      </c>
      <c r="F530" s="87">
        <v>16240.2998046875</v>
      </c>
      <c r="G530" s="88">
        <f t="shared" si="17"/>
        <v>-1.1685620062508698E-3</v>
      </c>
    </row>
    <row r="531" spans="1:7" ht="14.25" customHeight="1" x14ac:dyDescent="0.35">
      <c r="A531" s="85">
        <v>44700</v>
      </c>
      <c r="B531">
        <v>773.29</v>
      </c>
      <c r="C531">
        <f t="shared" si="16"/>
        <v>-1.5255899244845746E-2</v>
      </c>
      <c r="E531" s="86">
        <v>44700</v>
      </c>
      <c r="F531" s="87">
        <v>15809.400390625</v>
      </c>
      <c r="G531" s="88">
        <f t="shared" si="17"/>
        <v>-2.6532725334179351E-2</v>
      </c>
    </row>
    <row r="532" spans="1:7" ht="14.25" customHeight="1" x14ac:dyDescent="0.35">
      <c r="A532" s="85">
        <v>44701</v>
      </c>
      <c r="B532">
        <v>810.18</v>
      </c>
      <c r="C532">
        <f t="shared" si="16"/>
        <v>4.7705259346428878E-2</v>
      </c>
      <c r="E532" s="86">
        <v>44701</v>
      </c>
      <c r="F532" s="87">
        <v>16266.150390625</v>
      </c>
      <c r="G532" s="88">
        <f t="shared" si="17"/>
        <v>2.8891038794289343E-2</v>
      </c>
    </row>
    <row r="533" spans="1:7" ht="14.25" customHeight="1" x14ac:dyDescent="0.35">
      <c r="A533" s="85">
        <v>44704</v>
      </c>
      <c r="B533">
        <v>816.53</v>
      </c>
      <c r="C533">
        <f t="shared" si="16"/>
        <v>7.8377644474067771E-3</v>
      </c>
      <c r="E533" s="86">
        <v>44704</v>
      </c>
      <c r="F533" s="87">
        <v>16214.7001953125</v>
      </c>
      <c r="G533" s="88">
        <f t="shared" si="17"/>
        <v>-3.1630222318707523E-3</v>
      </c>
    </row>
    <row r="534" spans="1:7" ht="14.25" customHeight="1" x14ac:dyDescent="0.35">
      <c r="A534" s="85">
        <v>44705</v>
      </c>
      <c r="B534">
        <v>825.8</v>
      </c>
      <c r="C534">
        <f t="shared" si="16"/>
        <v>1.1352920284619037E-2</v>
      </c>
      <c r="E534" s="86">
        <v>44705</v>
      </c>
      <c r="F534" s="87">
        <v>16125.150390625</v>
      </c>
      <c r="G534" s="88">
        <f t="shared" si="17"/>
        <v>-5.5227542667355585E-3</v>
      </c>
    </row>
    <row r="535" spans="1:7" ht="14.25" customHeight="1" x14ac:dyDescent="0.35">
      <c r="A535" s="85">
        <v>44706</v>
      </c>
      <c r="B535">
        <v>830.44</v>
      </c>
      <c r="C535">
        <f t="shared" si="16"/>
        <v>5.6187938968274408E-3</v>
      </c>
      <c r="E535" s="86">
        <v>44706</v>
      </c>
      <c r="F535" s="87">
        <v>16025.7998046875</v>
      </c>
      <c r="G535" s="88">
        <f t="shared" si="17"/>
        <v>-6.1612191843656494E-3</v>
      </c>
    </row>
    <row r="536" spans="1:7" ht="14.25" customHeight="1" x14ac:dyDescent="0.35">
      <c r="A536" s="85">
        <v>44707</v>
      </c>
      <c r="B536">
        <v>848.16</v>
      </c>
      <c r="C536">
        <f t="shared" si="16"/>
        <v>2.1338085834015596E-2</v>
      </c>
      <c r="E536" s="86">
        <v>44707</v>
      </c>
      <c r="F536" s="87">
        <v>16170.150390625</v>
      </c>
      <c r="G536" s="88">
        <f t="shared" si="17"/>
        <v>9.0073873189953288E-3</v>
      </c>
    </row>
    <row r="537" spans="1:7" ht="14.25" customHeight="1" x14ac:dyDescent="0.35">
      <c r="A537" s="85">
        <v>44708</v>
      </c>
      <c r="B537">
        <v>847.61</v>
      </c>
      <c r="C537">
        <f t="shared" si="16"/>
        <v>-6.4846255423499637E-4</v>
      </c>
      <c r="E537" s="86">
        <v>44708</v>
      </c>
      <c r="F537" s="87">
        <v>16352.4501953125</v>
      </c>
      <c r="G537" s="88">
        <f t="shared" si="17"/>
        <v>1.1273847198922301E-2</v>
      </c>
    </row>
    <row r="538" spans="1:7" ht="14.25" customHeight="1" x14ac:dyDescent="0.35">
      <c r="A538" s="85">
        <v>44711</v>
      </c>
      <c r="B538">
        <v>850.77</v>
      </c>
      <c r="C538">
        <f t="shared" si="16"/>
        <v>3.7281296822830878E-3</v>
      </c>
      <c r="E538" s="86">
        <v>44711</v>
      </c>
      <c r="F538" s="87">
        <v>16661.400390625</v>
      </c>
      <c r="G538" s="88">
        <f t="shared" si="17"/>
        <v>1.8893205092962884E-2</v>
      </c>
    </row>
    <row r="539" spans="1:7" ht="14.25" customHeight="1" x14ac:dyDescent="0.35">
      <c r="A539" s="85">
        <v>44712</v>
      </c>
      <c r="B539">
        <v>850.03</v>
      </c>
      <c r="C539">
        <f t="shared" si="16"/>
        <v>-8.6980029855308612E-4</v>
      </c>
      <c r="E539" s="86">
        <v>44712</v>
      </c>
      <c r="F539" s="87">
        <v>16584.55078125</v>
      </c>
      <c r="G539" s="88">
        <f t="shared" si="17"/>
        <v>-4.6124339835348759E-3</v>
      </c>
    </row>
    <row r="540" spans="1:7" ht="14.25" customHeight="1" x14ac:dyDescent="0.35">
      <c r="A540" s="85">
        <v>44713</v>
      </c>
      <c r="B540">
        <v>828.41</v>
      </c>
      <c r="C540">
        <f t="shared" si="16"/>
        <v>-2.5434396433067073E-2</v>
      </c>
      <c r="E540" s="86">
        <v>44713</v>
      </c>
      <c r="F540" s="87">
        <v>16522.75</v>
      </c>
      <c r="G540" s="88">
        <f t="shared" si="17"/>
        <v>-3.7264067061659654E-3</v>
      </c>
    </row>
    <row r="541" spans="1:7" ht="14.25" customHeight="1" x14ac:dyDescent="0.35">
      <c r="A541" s="85">
        <v>44714</v>
      </c>
      <c r="B541">
        <v>835.73</v>
      </c>
      <c r="C541">
        <f t="shared" si="16"/>
        <v>8.8362042949747706E-3</v>
      </c>
      <c r="E541" s="86">
        <v>44714</v>
      </c>
      <c r="F541" s="87">
        <v>16628</v>
      </c>
      <c r="G541" s="88">
        <f t="shared" si="17"/>
        <v>6.3700049931155528E-3</v>
      </c>
    </row>
    <row r="542" spans="1:7" ht="14.25" customHeight="1" x14ac:dyDescent="0.35">
      <c r="A542" s="85">
        <v>44715</v>
      </c>
      <c r="B542">
        <v>825.02</v>
      </c>
      <c r="C542">
        <f t="shared" si="16"/>
        <v>-1.2815143646871641E-2</v>
      </c>
      <c r="E542" s="86">
        <v>44715</v>
      </c>
      <c r="F542" s="87">
        <v>16584.30078125</v>
      </c>
      <c r="G542" s="88">
        <f t="shared" si="17"/>
        <v>-2.6280502014674042E-3</v>
      </c>
    </row>
    <row r="543" spans="1:7" ht="14.25" customHeight="1" x14ac:dyDescent="0.35">
      <c r="A543" s="85">
        <v>44718</v>
      </c>
      <c r="B543">
        <v>816.66</v>
      </c>
      <c r="C543">
        <f t="shared" si="16"/>
        <v>-1.013308768272286E-2</v>
      </c>
      <c r="E543" s="86">
        <v>44718</v>
      </c>
      <c r="F543" s="87">
        <v>16569.55078125</v>
      </c>
      <c r="G543" s="88">
        <f t="shared" si="17"/>
        <v>-8.893953501299351E-4</v>
      </c>
    </row>
    <row r="544" spans="1:7" ht="14.25" customHeight="1" x14ac:dyDescent="0.35">
      <c r="A544" s="85">
        <v>44719</v>
      </c>
      <c r="B544">
        <v>804.65</v>
      </c>
      <c r="C544">
        <f t="shared" si="16"/>
        <v>-1.4706242499938765E-2</v>
      </c>
      <c r="E544" s="86">
        <v>44719</v>
      </c>
      <c r="F544" s="87">
        <v>16416.349609375</v>
      </c>
      <c r="G544" s="88">
        <f t="shared" si="17"/>
        <v>-9.2459460064760173E-3</v>
      </c>
    </row>
    <row r="545" spans="1:7" ht="14.25" customHeight="1" x14ac:dyDescent="0.35">
      <c r="A545" s="85">
        <v>44720</v>
      </c>
      <c r="B545">
        <v>803.53</v>
      </c>
      <c r="C545">
        <f t="shared" si="16"/>
        <v>-1.3919095258808235E-3</v>
      </c>
      <c r="E545" s="86">
        <v>44720</v>
      </c>
      <c r="F545" s="87">
        <v>16356.25</v>
      </c>
      <c r="G545" s="88">
        <f t="shared" si="17"/>
        <v>-3.6609606157923498E-3</v>
      </c>
    </row>
    <row r="546" spans="1:7" ht="14.25" customHeight="1" x14ac:dyDescent="0.35">
      <c r="A546" s="85">
        <v>44721</v>
      </c>
      <c r="B546">
        <v>805.67</v>
      </c>
      <c r="C546">
        <f t="shared" si="16"/>
        <v>2.6632484163627824E-3</v>
      </c>
      <c r="E546" s="86">
        <v>44721</v>
      </c>
      <c r="F546" s="87">
        <v>16478.099609375</v>
      </c>
      <c r="G546" s="88">
        <f t="shared" si="17"/>
        <v>7.4497277416889565E-3</v>
      </c>
    </row>
    <row r="547" spans="1:7" ht="14.25" customHeight="1" x14ac:dyDescent="0.35">
      <c r="A547" s="85">
        <v>44722</v>
      </c>
      <c r="B547">
        <v>805.99</v>
      </c>
      <c r="C547">
        <f t="shared" si="16"/>
        <v>3.9718495165520627E-4</v>
      </c>
      <c r="E547" s="86">
        <v>44722</v>
      </c>
      <c r="F547" s="87">
        <v>16201.7998046875</v>
      </c>
      <c r="G547" s="88">
        <f t="shared" si="17"/>
        <v>-1.6767698414100061E-2</v>
      </c>
    </row>
    <row r="548" spans="1:7" ht="14.25" customHeight="1" x14ac:dyDescent="0.35">
      <c r="A548" s="85">
        <v>44725</v>
      </c>
      <c r="B548">
        <v>809.81</v>
      </c>
      <c r="C548">
        <f t="shared" si="16"/>
        <v>4.7395128971822681E-3</v>
      </c>
      <c r="E548" s="86">
        <v>44725</v>
      </c>
      <c r="F548" s="87">
        <v>15774.400390625</v>
      </c>
      <c r="G548" s="88">
        <f t="shared" si="17"/>
        <v>-2.6379749115209097E-2</v>
      </c>
    </row>
    <row r="549" spans="1:7" ht="14.25" customHeight="1" x14ac:dyDescent="0.35">
      <c r="A549" s="85">
        <v>44726</v>
      </c>
      <c r="B549">
        <v>810.63</v>
      </c>
      <c r="C549">
        <f t="shared" si="16"/>
        <v>1.0125831985281115E-3</v>
      </c>
      <c r="E549" s="86">
        <v>44726</v>
      </c>
      <c r="F549" s="87">
        <v>15732.099609375</v>
      </c>
      <c r="G549" s="88">
        <f t="shared" si="17"/>
        <v>-2.6816094559854137E-3</v>
      </c>
    </row>
    <row r="550" spans="1:7" ht="14.25" customHeight="1" x14ac:dyDescent="0.35">
      <c r="A550" s="85">
        <v>44727</v>
      </c>
      <c r="B550">
        <v>807.31</v>
      </c>
      <c r="C550">
        <f t="shared" si="16"/>
        <v>-4.0955799810024921E-3</v>
      </c>
      <c r="E550" s="86">
        <v>44727</v>
      </c>
      <c r="F550" s="87">
        <v>15692.150390625</v>
      </c>
      <c r="G550" s="88">
        <f t="shared" si="17"/>
        <v>-2.5393443813560425E-3</v>
      </c>
    </row>
    <row r="551" spans="1:7" ht="14.25" customHeight="1" x14ac:dyDescent="0.35">
      <c r="A551" s="85">
        <v>44728</v>
      </c>
      <c r="B551">
        <v>810.75</v>
      </c>
      <c r="C551">
        <f t="shared" si="16"/>
        <v>4.26106452292187E-3</v>
      </c>
      <c r="E551" s="86">
        <v>44728</v>
      </c>
      <c r="F551" s="87">
        <v>15360.599609375</v>
      </c>
      <c r="G551" s="88">
        <f t="shared" si="17"/>
        <v>-2.1128447854290206E-2</v>
      </c>
    </row>
    <row r="552" spans="1:7" ht="14.25" customHeight="1" x14ac:dyDescent="0.35">
      <c r="A552" s="85">
        <v>44729</v>
      </c>
      <c r="B552">
        <v>799.63</v>
      </c>
      <c r="C552">
        <f t="shared" si="16"/>
        <v>-1.3715695343817459E-2</v>
      </c>
      <c r="E552" s="86">
        <v>44729</v>
      </c>
      <c r="F552" s="87">
        <v>15293.5</v>
      </c>
      <c r="G552" s="88">
        <f t="shared" si="17"/>
        <v>-4.3682936266398898E-3</v>
      </c>
    </row>
    <row r="553" spans="1:7" ht="14.25" customHeight="1" x14ac:dyDescent="0.35">
      <c r="A553" s="85">
        <v>44732</v>
      </c>
      <c r="B553">
        <v>815.23</v>
      </c>
      <c r="C553">
        <f t="shared" si="16"/>
        <v>1.9509022923101964E-2</v>
      </c>
      <c r="E553" s="86">
        <v>44732</v>
      </c>
      <c r="F553" s="87">
        <v>15350.150390625</v>
      </c>
      <c r="G553" s="88">
        <f t="shared" si="17"/>
        <v>3.7042135956452085E-3</v>
      </c>
    </row>
    <row r="554" spans="1:7" ht="14.25" customHeight="1" x14ac:dyDescent="0.35">
      <c r="A554" s="85">
        <v>44733</v>
      </c>
      <c r="B554">
        <v>815.45</v>
      </c>
      <c r="C554">
        <f t="shared" si="16"/>
        <v>2.6986249279347828E-4</v>
      </c>
      <c r="E554" s="86">
        <v>44733</v>
      </c>
      <c r="F554" s="87">
        <v>15638.7998046875</v>
      </c>
      <c r="G554" s="88">
        <f t="shared" si="17"/>
        <v>1.8804337854487124E-2</v>
      </c>
    </row>
    <row r="555" spans="1:7" ht="14.25" customHeight="1" x14ac:dyDescent="0.35">
      <c r="A555" s="85">
        <v>44734</v>
      </c>
      <c r="B555">
        <v>806</v>
      </c>
      <c r="C555">
        <f t="shared" si="16"/>
        <v>-1.1588693359494813E-2</v>
      </c>
      <c r="E555" s="86">
        <v>44734</v>
      </c>
      <c r="F555" s="87">
        <v>15413.2998046875</v>
      </c>
      <c r="G555" s="88">
        <f t="shared" si="17"/>
        <v>-1.4419265085317462E-2</v>
      </c>
    </row>
    <row r="556" spans="1:7" ht="14.25" customHeight="1" x14ac:dyDescent="0.35">
      <c r="A556" s="85">
        <v>44735</v>
      </c>
      <c r="B556">
        <v>815.67</v>
      </c>
      <c r="C556">
        <f t="shared" si="16"/>
        <v>1.1997518610421785E-2</v>
      </c>
      <c r="E556" s="86">
        <v>44735</v>
      </c>
      <c r="F556" s="87">
        <v>15556.650390625</v>
      </c>
      <c r="G556" s="88">
        <f t="shared" si="17"/>
        <v>9.3004475196092756E-3</v>
      </c>
    </row>
    <row r="557" spans="1:7" ht="14.25" customHeight="1" x14ac:dyDescent="0.35">
      <c r="A557" s="85">
        <v>44736</v>
      </c>
      <c r="B557">
        <v>827.94</v>
      </c>
      <c r="C557">
        <f t="shared" si="16"/>
        <v>1.5042848210673553E-2</v>
      </c>
      <c r="E557" s="86">
        <v>44736</v>
      </c>
      <c r="F557" s="87">
        <v>15699.25</v>
      </c>
      <c r="G557" s="88">
        <f t="shared" si="17"/>
        <v>9.1664725885294493E-3</v>
      </c>
    </row>
    <row r="558" spans="1:7" ht="14.25" customHeight="1" x14ac:dyDescent="0.35">
      <c r="A558" s="85">
        <v>44739</v>
      </c>
      <c r="B558">
        <v>834.02</v>
      </c>
      <c r="C558">
        <f t="shared" si="16"/>
        <v>7.3435273087420908E-3</v>
      </c>
      <c r="E558" s="86">
        <v>44739</v>
      </c>
      <c r="F558" s="87">
        <v>15832.0498046875</v>
      </c>
      <c r="G558" s="88">
        <f t="shared" si="17"/>
        <v>8.4589903777250505E-3</v>
      </c>
    </row>
    <row r="559" spans="1:7" ht="14.25" customHeight="1" x14ac:dyDescent="0.35">
      <c r="A559" s="85">
        <v>44740</v>
      </c>
      <c r="B559">
        <v>836.21</v>
      </c>
      <c r="C559">
        <f t="shared" si="16"/>
        <v>2.6258363108799007E-3</v>
      </c>
      <c r="E559" s="86">
        <v>44740</v>
      </c>
      <c r="F559" s="87">
        <v>15850.2001953125</v>
      </c>
      <c r="G559" s="88">
        <f t="shared" si="17"/>
        <v>1.14643339611186E-3</v>
      </c>
    </row>
    <row r="560" spans="1:7" ht="14.25" customHeight="1" x14ac:dyDescent="0.35">
      <c r="A560" s="85">
        <v>44741</v>
      </c>
      <c r="B560">
        <v>840.79</v>
      </c>
      <c r="C560">
        <f t="shared" si="16"/>
        <v>5.4770930747060275E-3</v>
      </c>
      <c r="E560" s="86">
        <v>44741</v>
      </c>
      <c r="F560" s="87">
        <v>15799.099609375</v>
      </c>
      <c r="G560" s="88">
        <f t="shared" si="17"/>
        <v>-3.2239710103227821E-3</v>
      </c>
    </row>
    <row r="561" spans="1:7" ht="14.25" customHeight="1" x14ac:dyDescent="0.35">
      <c r="A561" s="85">
        <v>44742</v>
      </c>
      <c r="B561">
        <v>839.39</v>
      </c>
      <c r="C561">
        <f t="shared" si="16"/>
        <v>-1.6651006791231786E-3</v>
      </c>
      <c r="E561" s="86">
        <v>44742</v>
      </c>
      <c r="F561" s="87">
        <v>15780.25</v>
      </c>
      <c r="G561" s="88">
        <f t="shared" si="17"/>
        <v>-1.1930812414028243E-3</v>
      </c>
    </row>
    <row r="562" spans="1:7" ht="14.25" customHeight="1" x14ac:dyDescent="0.35">
      <c r="A562" s="85">
        <v>44743</v>
      </c>
      <c r="B562">
        <v>855.01</v>
      </c>
      <c r="C562">
        <f t="shared" si="16"/>
        <v>1.8608751593419036E-2</v>
      </c>
      <c r="E562" s="86">
        <v>44743</v>
      </c>
      <c r="F562" s="87">
        <v>15752.0498046875</v>
      </c>
      <c r="G562" s="88">
        <f t="shared" si="17"/>
        <v>-1.7870563085185596E-3</v>
      </c>
    </row>
    <row r="563" spans="1:7" ht="14.25" customHeight="1" x14ac:dyDescent="0.35">
      <c r="A563" s="85">
        <v>44746</v>
      </c>
      <c r="B563">
        <v>864.59</v>
      </c>
      <c r="C563">
        <f t="shared" si="16"/>
        <v>1.1204547315236128E-2</v>
      </c>
      <c r="E563" s="86">
        <v>44746</v>
      </c>
      <c r="F563" s="87">
        <v>15835.349609375</v>
      </c>
      <c r="G563" s="88">
        <f t="shared" si="17"/>
        <v>5.288188249805534E-3</v>
      </c>
    </row>
    <row r="564" spans="1:7" ht="14.25" customHeight="1" x14ac:dyDescent="0.35">
      <c r="A564" s="85">
        <v>44747</v>
      </c>
      <c r="B564">
        <v>864.13</v>
      </c>
      <c r="C564">
        <f t="shared" si="16"/>
        <v>-5.3204409026247855E-4</v>
      </c>
      <c r="E564" s="86">
        <v>44747</v>
      </c>
      <c r="F564" s="87">
        <v>15810.849609375</v>
      </c>
      <c r="G564" s="88">
        <f t="shared" si="17"/>
        <v>-1.5471713984448608E-3</v>
      </c>
    </row>
    <row r="565" spans="1:7" ht="14.25" customHeight="1" x14ac:dyDescent="0.35">
      <c r="A565" s="85">
        <v>44748</v>
      </c>
      <c r="B565">
        <v>883.53</v>
      </c>
      <c r="C565">
        <f t="shared" si="16"/>
        <v>2.2450325761170169E-2</v>
      </c>
      <c r="E565" s="86">
        <v>44748</v>
      </c>
      <c r="F565" s="87">
        <v>15989.7998046875</v>
      </c>
      <c r="G565" s="88">
        <f t="shared" si="17"/>
        <v>1.1318189707300232E-2</v>
      </c>
    </row>
    <row r="566" spans="1:7" ht="14.25" customHeight="1" x14ac:dyDescent="0.35">
      <c r="A566" s="85">
        <v>44749</v>
      </c>
      <c r="B566">
        <v>874.7</v>
      </c>
      <c r="C566">
        <f t="shared" si="16"/>
        <v>-9.9940013355516253E-3</v>
      </c>
      <c r="E566" s="86">
        <v>44749</v>
      </c>
      <c r="F566" s="87">
        <v>16132.900390625</v>
      </c>
      <c r="G566" s="88">
        <f t="shared" si="17"/>
        <v>8.9494920315105666E-3</v>
      </c>
    </row>
    <row r="567" spans="1:7" ht="14.25" customHeight="1" x14ac:dyDescent="0.35">
      <c r="A567" s="85">
        <v>44750</v>
      </c>
      <c r="B567">
        <v>884.99</v>
      </c>
      <c r="C567">
        <f t="shared" si="16"/>
        <v>1.1764033382874087E-2</v>
      </c>
      <c r="E567" s="86">
        <v>44750</v>
      </c>
      <c r="F567" s="87">
        <v>16220.599609375</v>
      </c>
      <c r="G567" s="88">
        <f t="shared" si="17"/>
        <v>5.436047866567313E-3</v>
      </c>
    </row>
    <row r="568" spans="1:7" ht="14.25" customHeight="1" x14ac:dyDescent="0.35">
      <c r="A568" s="85">
        <v>44753</v>
      </c>
      <c r="B568">
        <v>888.37</v>
      </c>
      <c r="C568">
        <f t="shared" si="16"/>
        <v>3.8192521949400506E-3</v>
      </c>
      <c r="E568" s="86">
        <v>44753</v>
      </c>
      <c r="F568" s="87">
        <v>16216</v>
      </c>
      <c r="G568" s="88">
        <f t="shared" si="17"/>
        <v>-2.8356592763325282E-4</v>
      </c>
    </row>
    <row r="569" spans="1:7" ht="14.25" customHeight="1" x14ac:dyDescent="0.35">
      <c r="A569" s="85">
        <v>44754</v>
      </c>
      <c r="B569">
        <v>870.87</v>
      </c>
      <c r="C569">
        <f t="shared" si="16"/>
        <v>-1.9698999290836027E-2</v>
      </c>
      <c r="E569" s="86">
        <v>44754</v>
      </c>
      <c r="F569" s="87">
        <v>16058.2998046875</v>
      </c>
      <c r="G569" s="88">
        <f t="shared" si="17"/>
        <v>-9.7249750439380861E-3</v>
      </c>
    </row>
    <row r="570" spans="1:7" ht="14.25" customHeight="1" x14ac:dyDescent="0.35">
      <c r="A570" s="85">
        <v>44755</v>
      </c>
      <c r="B570">
        <v>876.85</v>
      </c>
      <c r="C570">
        <f t="shared" si="16"/>
        <v>6.8666965218689563E-3</v>
      </c>
      <c r="E570" s="86">
        <v>44755</v>
      </c>
      <c r="F570" s="87">
        <v>15966.650390625</v>
      </c>
      <c r="G570" s="88">
        <f t="shared" si="17"/>
        <v>-5.707292501522924E-3</v>
      </c>
    </row>
    <row r="571" spans="1:7" ht="14.25" customHeight="1" x14ac:dyDescent="0.35">
      <c r="A571" s="85">
        <v>44756</v>
      </c>
      <c r="B571">
        <v>882.31</v>
      </c>
      <c r="C571">
        <f t="shared" si="16"/>
        <v>6.2268346923646262E-3</v>
      </c>
      <c r="E571" s="86">
        <v>44756</v>
      </c>
      <c r="F571" s="87">
        <v>15938.650390625</v>
      </c>
      <c r="G571" s="88">
        <f t="shared" si="17"/>
        <v>-1.7536552323109999E-3</v>
      </c>
    </row>
    <row r="572" spans="1:7" ht="14.25" customHeight="1" x14ac:dyDescent="0.35">
      <c r="A572" s="85">
        <v>44757</v>
      </c>
      <c r="B572">
        <v>901.92</v>
      </c>
      <c r="C572">
        <f t="shared" si="16"/>
        <v>2.2225748319751579E-2</v>
      </c>
      <c r="E572" s="86">
        <v>44757</v>
      </c>
      <c r="F572" s="87">
        <v>16049.2001953125</v>
      </c>
      <c r="G572" s="88">
        <f t="shared" si="17"/>
        <v>6.9359576863875878E-3</v>
      </c>
    </row>
    <row r="573" spans="1:7" ht="14.25" customHeight="1" x14ac:dyDescent="0.35">
      <c r="A573" s="85">
        <v>44760</v>
      </c>
      <c r="B573">
        <v>894.9</v>
      </c>
      <c r="C573">
        <f t="shared" si="16"/>
        <v>-7.7833954230973725E-3</v>
      </c>
      <c r="E573" s="86">
        <v>44760</v>
      </c>
      <c r="F573" s="87">
        <v>16278.5</v>
      </c>
      <c r="G573" s="88">
        <f t="shared" si="17"/>
        <v>1.4287304158276481E-2</v>
      </c>
    </row>
    <row r="574" spans="1:7" ht="14.25" customHeight="1" x14ac:dyDescent="0.35">
      <c r="A574" s="85">
        <v>44761</v>
      </c>
      <c r="B574">
        <v>883</v>
      </c>
      <c r="C574">
        <f t="shared" si="16"/>
        <v>-1.3297575148061212E-2</v>
      </c>
      <c r="E574" s="86">
        <v>44761</v>
      </c>
      <c r="F574" s="87">
        <v>16340.5498046875</v>
      </c>
      <c r="G574" s="88">
        <f t="shared" si="17"/>
        <v>3.8117642711244892E-3</v>
      </c>
    </row>
    <row r="575" spans="1:7" ht="14.25" customHeight="1" x14ac:dyDescent="0.35">
      <c r="A575" s="85">
        <v>44762</v>
      </c>
      <c r="B575">
        <v>894.51</v>
      </c>
      <c r="C575">
        <f t="shared" si="16"/>
        <v>1.3035107587768959E-2</v>
      </c>
      <c r="E575" s="86">
        <v>44762</v>
      </c>
      <c r="F575" s="87">
        <v>16520.849609375</v>
      </c>
      <c r="G575" s="88">
        <f t="shared" si="17"/>
        <v>1.1033888506969248E-2</v>
      </c>
    </row>
    <row r="576" spans="1:7" ht="14.25" customHeight="1" x14ac:dyDescent="0.35">
      <c r="A576" s="85">
        <v>44763</v>
      </c>
      <c r="B576">
        <v>905.21</v>
      </c>
      <c r="C576">
        <f t="shared" si="16"/>
        <v>1.1961856211780803E-2</v>
      </c>
      <c r="E576" s="86">
        <v>44763</v>
      </c>
      <c r="F576" s="87">
        <v>16605.25</v>
      </c>
      <c r="G576" s="88">
        <f t="shared" si="17"/>
        <v>5.1087197462959628E-3</v>
      </c>
    </row>
    <row r="577" spans="1:7" ht="14.25" customHeight="1" x14ac:dyDescent="0.35">
      <c r="A577" s="85">
        <v>44764</v>
      </c>
      <c r="B577">
        <v>912.37</v>
      </c>
      <c r="C577">
        <f t="shared" si="16"/>
        <v>7.9097667944454525E-3</v>
      </c>
      <c r="E577" s="86">
        <v>44764</v>
      </c>
      <c r="F577" s="87">
        <v>16719.44921875</v>
      </c>
      <c r="G577" s="88">
        <f t="shared" si="17"/>
        <v>6.8772959606148657E-3</v>
      </c>
    </row>
    <row r="578" spans="1:7" ht="14.25" customHeight="1" x14ac:dyDescent="0.35">
      <c r="A578" s="85">
        <v>44767</v>
      </c>
      <c r="B578">
        <v>901.25</v>
      </c>
      <c r="C578">
        <f t="shared" si="16"/>
        <v>-1.2188037747843534E-2</v>
      </c>
      <c r="E578" s="86">
        <v>44767</v>
      </c>
      <c r="F578" s="87">
        <v>16631</v>
      </c>
      <c r="G578" s="88">
        <f t="shared" si="17"/>
        <v>-5.2901993117577557E-3</v>
      </c>
    </row>
    <row r="579" spans="1:7" ht="14.25" customHeight="1" x14ac:dyDescent="0.35">
      <c r="A579" s="85">
        <v>44768</v>
      </c>
      <c r="B579">
        <v>889.34</v>
      </c>
      <c r="C579">
        <f t="shared" si="16"/>
        <v>-1.3214979195561685E-2</v>
      </c>
      <c r="E579" s="86">
        <v>44768</v>
      </c>
      <c r="F579" s="87">
        <v>16483.849609375</v>
      </c>
      <c r="G579" s="88">
        <f t="shared" si="17"/>
        <v>-8.8479580677650171E-3</v>
      </c>
    </row>
    <row r="580" spans="1:7" ht="14.25" customHeight="1" x14ac:dyDescent="0.35">
      <c r="A580" s="85">
        <v>44769</v>
      </c>
      <c r="B580">
        <v>890.89</v>
      </c>
      <c r="C580">
        <f t="shared" si="16"/>
        <v>1.7428654957608502E-3</v>
      </c>
      <c r="E580" s="86">
        <v>44769</v>
      </c>
      <c r="F580" s="87">
        <v>16641.80078125</v>
      </c>
      <c r="G580" s="88">
        <f t="shared" si="17"/>
        <v>9.5821774414374099E-3</v>
      </c>
    </row>
    <row r="581" spans="1:7" ht="14.25" customHeight="1" x14ac:dyDescent="0.35">
      <c r="A581" s="85">
        <v>44770</v>
      </c>
      <c r="B581">
        <v>918.3</v>
      </c>
      <c r="C581">
        <f t="shared" ref="C581:C644" si="18">(B581-B580)/B580</f>
        <v>3.0766985823165564E-2</v>
      </c>
      <c r="E581" s="86">
        <v>44770</v>
      </c>
      <c r="F581" s="87">
        <v>16929.599609375</v>
      </c>
      <c r="G581" s="88">
        <f t="shared" ref="G581:G644" si="19">(F581-F580)/F580</f>
        <v>1.7293731123692903E-2</v>
      </c>
    </row>
    <row r="582" spans="1:7" ht="14.25" customHeight="1" x14ac:dyDescent="0.35">
      <c r="A582" s="85">
        <v>44771</v>
      </c>
      <c r="B582">
        <v>930.16</v>
      </c>
      <c r="C582">
        <f t="shared" si="18"/>
        <v>1.2915169334640111E-2</v>
      </c>
      <c r="E582" s="86">
        <v>44771</v>
      </c>
      <c r="F582" s="87">
        <v>17158.25</v>
      </c>
      <c r="G582" s="88">
        <f t="shared" si="19"/>
        <v>1.3505953826479256E-2</v>
      </c>
    </row>
    <row r="583" spans="1:7" ht="14.25" customHeight="1" x14ac:dyDescent="0.35">
      <c r="A583" s="85">
        <v>44774</v>
      </c>
      <c r="B583">
        <v>925.16</v>
      </c>
      <c r="C583">
        <f t="shared" si="18"/>
        <v>-5.3754192827040513E-3</v>
      </c>
      <c r="E583" s="86">
        <v>44774</v>
      </c>
      <c r="F583" s="87">
        <v>17340.05078125</v>
      </c>
      <c r="G583" s="88">
        <f t="shared" si="19"/>
        <v>1.059553166843938E-2</v>
      </c>
    </row>
    <row r="584" spans="1:7" ht="14.25" customHeight="1" x14ac:dyDescent="0.35">
      <c r="A584" s="85">
        <v>44775</v>
      </c>
      <c r="B584">
        <v>934.95</v>
      </c>
      <c r="C584">
        <f t="shared" si="18"/>
        <v>1.058195339184582E-2</v>
      </c>
      <c r="E584" s="86">
        <v>44775</v>
      </c>
      <c r="F584" s="87">
        <v>17345.44921875</v>
      </c>
      <c r="G584" s="88">
        <f t="shared" si="19"/>
        <v>3.1132766380577117E-4</v>
      </c>
    </row>
    <row r="585" spans="1:7" ht="14.25" customHeight="1" x14ac:dyDescent="0.35">
      <c r="A585" s="85">
        <v>44776</v>
      </c>
      <c r="B585">
        <v>930.48</v>
      </c>
      <c r="C585">
        <f t="shared" si="18"/>
        <v>-4.7810043317824775E-3</v>
      </c>
      <c r="E585" s="86">
        <v>44776</v>
      </c>
      <c r="F585" s="87">
        <v>17388.150390625</v>
      </c>
      <c r="G585" s="88">
        <f t="shared" si="19"/>
        <v>2.4618083588657416E-3</v>
      </c>
    </row>
    <row r="586" spans="1:7" ht="14.25" customHeight="1" x14ac:dyDescent="0.35">
      <c r="A586" s="85">
        <v>44777</v>
      </c>
      <c r="B586">
        <v>953.74</v>
      </c>
      <c r="C586">
        <f t="shared" si="18"/>
        <v>2.4997850571747905E-2</v>
      </c>
      <c r="E586" s="86">
        <v>44777</v>
      </c>
      <c r="F586" s="87">
        <v>17382</v>
      </c>
      <c r="G586" s="88">
        <f t="shared" si="19"/>
        <v>-3.537116074356043E-4</v>
      </c>
    </row>
    <row r="587" spans="1:7" ht="14.25" customHeight="1" x14ac:dyDescent="0.35">
      <c r="A587" s="85">
        <v>44778</v>
      </c>
      <c r="B587">
        <v>957.18</v>
      </c>
      <c r="C587">
        <f t="shared" si="18"/>
        <v>3.6068530207393427E-3</v>
      </c>
      <c r="E587" s="86">
        <v>44778</v>
      </c>
      <c r="F587" s="87">
        <v>17397.5</v>
      </c>
      <c r="G587" s="88">
        <f t="shared" si="19"/>
        <v>8.9172707398458174E-4</v>
      </c>
    </row>
    <row r="588" spans="1:7" ht="14.25" customHeight="1" x14ac:dyDescent="0.35">
      <c r="A588" s="85">
        <v>44781</v>
      </c>
      <c r="B588">
        <v>944.28</v>
      </c>
      <c r="C588">
        <f t="shared" si="18"/>
        <v>-1.3477088948787038E-2</v>
      </c>
      <c r="E588" s="86">
        <v>44781</v>
      </c>
      <c r="F588" s="87">
        <v>17525.099609375</v>
      </c>
      <c r="G588" s="88">
        <f t="shared" si="19"/>
        <v>7.3343646716482252E-3</v>
      </c>
    </row>
    <row r="589" spans="1:7" ht="14.25" customHeight="1" x14ac:dyDescent="0.35">
      <c r="A589" s="85">
        <v>44783</v>
      </c>
      <c r="B589">
        <v>949.88</v>
      </c>
      <c r="C589">
        <f t="shared" si="18"/>
        <v>5.9304443597238349E-3</v>
      </c>
      <c r="E589" s="86">
        <v>44783</v>
      </c>
      <c r="F589" s="87">
        <v>17534.75</v>
      </c>
      <c r="G589" s="88">
        <f t="shared" si="19"/>
        <v>5.5066109979982946E-4</v>
      </c>
    </row>
    <row r="590" spans="1:7" ht="14.25" customHeight="1" x14ac:dyDescent="0.35">
      <c r="A590" s="85">
        <v>44784</v>
      </c>
      <c r="B590">
        <v>945.56</v>
      </c>
      <c r="C590">
        <f t="shared" si="18"/>
        <v>-4.547942898050333E-3</v>
      </c>
      <c r="E590" s="86">
        <v>44784</v>
      </c>
      <c r="F590" s="87">
        <v>17659</v>
      </c>
      <c r="G590" s="88">
        <f t="shared" si="19"/>
        <v>7.0859293688247619E-3</v>
      </c>
    </row>
    <row r="591" spans="1:7" ht="14.25" customHeight="1" x14ac:dyDescent="0.35">
      <c r="A591" s="85">
        <v>44785</v>
      </c>
      <c r="B591">
        <v>939</v>
      </c>
      <c r="C591">
        <f t="shared" si="18"/>
        <v>-6.93768771944662E-3</v>
      </c>
      <c r="E591" s="86">
        <v>44785</v>
      </c>
      <c r="F591" s="87">
        <v>17698.150390625</v>
      </c>
      <c r="G591" s="88">
        <f t="shared" si="19"/>
        <v>2.2170219505634522E-3</v>
      </c>
    </row>
    <row r="592" spans="1:7" ht="14.25" customHeight="1" x14ac:dyDescent="0.35">
      <c r="A592" s="85">
        <v>44789</v>
      </c>
      <c r="B592">
        <v>945.72</v>
      </c>
      <c r="C592">
        <f t="shared" si="18"/>
        <v>7.156549520766802E-3</v>
      </c>
      <c r="E592" s="86">
        <v>44789</v>
      </c>
      <c r="F592" s="87">
        <v>17825.25</v>
      </c>
      <c r="G592" s="88">
        <f t="shared" si="19"/>
        <v>7.18151934353133E-3</v>
      </c>
    </row>
    <row r="593" spans="1:7" ht="14.25" customHeight="1" x14ac:dyDescent="0.35">
      <c r="A593" s="85">
        <v>44790</v>
      </c>
      <c r="B593">
        <v>948.23</v>
      </c>
      <c r="C593">
        <f t="shared" si="18"/>
        <v>2.654062513217433E-3</v>
      </c>
      <c r="E593" s="86">
        <v>44790</v>
      </c>
      <c r="F593" s="87">
        <v>17944.25</v>
      </c>
      <c r="G593" s="88">
        <f t="shared" si="19"/>
        <v>6.675923198833116E-3</v>
      </c>
    </row>
    <row r="594" spans="1:7" ht="14.25" customHeight="1" x14ac:dyDescent="0.35">
      <c r="A594" s="85">
        <v>44791</v>
      </c>
      <c r="B594">
        <v>939.7</v>
      </c>
      <c r="C594">
        <f t="shared" si="18"/>
        <v>-8.9957077924132049E-3</v>
      </c>
      <c r="E594" s="86">
        <v>44791</v>
      </c>
      <c r="F594" s="87">
        <v>17956.5</v>
      </c>
      <c r="G594" s="88">
        <f t="shared" si="19"/>
        <v>6.8266993605193866E-4</v>
      </c>
    </row>
    <row r="595" spans="1:7" ht="14.25" customHeight="1" x14ac:dyDescent="0.35">
      <c r="A595" s="85">
        <v>44792</v>
      </c>
      <c r="B595">
        <v>934.09</v>
      </c>
      <c r="C595">
        <f t="shared" si="18"/>
        <v>-5.9699904224752723E-3</v>
      </c>
      <c r="E595" s="86">
        <v>44792</v>
      </c>
      <c r="F595" s="87">
        <v>17758.44921875</v>
      </c>
      <c r="G595" s="88">
        <f t="shared" si="19"/>
        <v>-1.1029475746944004E-2</v>
      </c>
    </row>
    <row r="596" spans="1:7" ht="14.25" customHeight="1" x14ac:dyDescent="0.35">
      <c r="A596" s="85">
        <v>44795</v>
      </c>
      <c r="B596">
        <v>934.63</v>
      </c>
      <c r="C596">
        <f t="shared" si="18"/>
        <v>5.7810275241139885E-4</v>
      </c>
      <c r="E596" s="86">
        <v>44795</v>
      </c>
      <c r="F596" s="87">
        <v>17490.69921875</v>
      </c>
      <c r="G596" s="88">
        <f t="shared" si="19"/>
        <v>-1.5077330047338822E-2</v>
      </c>
    </row>
    <row r="597" spans="1:7" ht="14.25" customHeight="1" x14ac:dyDescent="0.35">
      <c r="A597" s="85">
        <v>44796</v>
      </c>
      <c r="B597">
        <v>942.96</v>
      </c>
      <c r="C597">
        <f t="shared" si="18"/>
        <v>8.9126178273755824E-3</v>
      </c>
      <c r="E597" s="86">
        <v>44796</v>
      </c>
      <c r="F597" s="87">
        <v>17577.5</v>
      </c>
      <c r="G597" s="88">
        <f t="shared" si="19"/>
        <v>4.9626821755044369E-3</v>
      </c>
    </row>
    <row r="598" spans="1:7" ht="14.25" customHeight="1" x14ac:dyDescent="0.35">
      <c r="A598" s="85">
        <v>44797</v>
      </c>
      <c r="B598">
        <v>945.15</v>
      </c>
      <c r="C598">
        <f t="shared" si="18"/>
        <v>2.3224739119368167E-3</v>
      </c>
      <c r="E598" s="86">
        <v>44797</v>
      </c>
      <c r="F598" s="87">
        <v>17604.94921875</v>
      </c>
      <c r="G598" s="88">
        <f t="shared" si="19"/>
        <v>1.5616110795050491E-3</v>
      </c>
    </row>
    <row r="599" spans="1:7" ht="14.25" customHeight="1" x14ac:dyDescent="0.35">
      <c r="A599" s="85">
        <v>44798</v>
      </c>
      <c r="B599">
        <v>938.21</v>
      </c>
      <c r="C599">
        <f t="shared" si="18"/>
        <v>-7.3427498280695565E-3</v>
      </c>
      <c r="E599" s="86">
        <v>44798</v>
      </c>
      <c r="F599" s="87">
        <v>17522.44921875</v>
      </c>
      <c r="G599" s="88">
        <f t="shared" si="19"/>
        <v>-4.686182219266732E-3</v>
      </c>
    </row>
    <row r="600" spans="1:7" ht="14.25" customHeight="1" x14ac:dyDescent="0.35">
      <c r="A600" s="85">
        <v>44799</v>
      </c>
      <c r="B600">
        <v>938.28</v>
      </c>
      <c r="C600">
        <f t="shared" si="18"/>
        <v>7.4610161903983471E-5</v>
      </c>
      <c r="E600" s="86">
        <v>44799</v>
      </c>
      <c r="F600" s="87">
        <v>17558.900390625</v>
      </c>
      <c r="G600" s="88">
        <f t="shared" si="19"/>
        <v>2.0802555293466174E-3</v>
      </c>
    </row>
    <row r="601" spans="1:7" ht="14.25" customHeight="1" x14ac:dyDescent="0.35">
      <c r="A601" s="85">
        <v>44802</v>
      </c>
      <c r="B601">
        <v>943.96</v>
      </c>
      <c r="C601">
        <f t="shared" si="18"/>
        <v>6.0536300464680733E-3</v>
      </c>
      <c r="E601" s="86">
        <v>44802</v>
      </c>
      <c r="F601" s="87">
        <v>17312.900390625</v>
      </c>
      <c r="G601" s="88">
        <f t="shared" si="19"/>
        <v>-1.400998892455382E-2</v>
      </c>
    </row>
    <row r="602" spans="1:7" ht="14.25" customHeight="1" x14ac:dyDescent="0.35">
      <c r="A602" s="85">
        <v>44803</v>
      </c>
      <c r="B602">
        <v>957.39</v>
      </c>
      <c r="C602">
        <f t="shared" si="18"/>
        <v>1.4227297766854474E-2</v>
      </c>
      <c r="E602" s="86">
        <v>44803</v>
      </c>
      <c r="F602" s="87">
        <v>17759.30078125</v>
      </c>
      <c r="G602" s="88">
        <f t="shared" si="19"/>
        <v>2.5784263789025638E-2</v>
      </c>
    </row>
    <row r="603" spans="1:7" ht="14.25" customHeight="1" x14ac:dyDescent="0.35">
      <c r="A603" s="85">
        <v>44805</v>
      </c>
      <c r="B603">
        <v>948.12</v>
      </c>
      <c r="C603">
        <f t="shared" si="18"/>
        <v>-9.6825744994202805E-3</v>
      </c>
      <c r="E603" s="86">
        <v>44805</v>
      </c>
      <c r="F603" s="87">
        <v>17542.80078125</v>
      </c>
      <c r="G603" s="88">
        <f t="shared" si="19"/>
        <v>-1.2190795272107639E-2</v>
      </c>
    </row>
    <row r="604" spans="1:7" ht="14.25" customHeight="1" x14ac:dyDescent="0.35">
      <c r="A604" s="85">
        <v>44806</v>
      </c>
      <c r="B604">
        <v>939.9</v>
      </c>
      <c r="C604">
        <f t="shared" si="18"/>
        <v>-8.6697886343501118E-3</v>
      </c>
      <c r="E604" s="86">
        <v>44806</v>
      </c>
      <c r="F604" s="87">
        <v>17539.44921875</v>
      </c>
      <c r="G604" s="88">
        <f t="shared" si="19"/>
        <v>-1.9105059344812252E-4</v>
      </c>
    </row>
    <row r="605" spans="1:7" ht="14.25" customHeight="1" x14ac:dyDescent="0.35">
      <c r="A605" s="85">
        <v>44809</v>
      </c>
      <c r="B605">
        <v>925.38</v>
      </c>
      <c r="C605">
        <f t="shared" si="18"/>
        <v>-1.5448451962974766E-2</v>
      </c>
      <c r="E605" s="86">
        <v>44809</v>
      </c>
      <c r="F605" s="87">
        <v>17665.80078125</v>
      </c>
      <c r="G605" s="88">
        <f t="shared" si="19"/>
        <v>7.2038500710117975E-3</v>
      </c>
    </row>
    <row r="606" spans="1:7" ht="14.25" customHeight="1" x14ac:dyDescent="0.35">
      <c r="A606" s="85">
        <v>44810</v>
      </c>
      <c r="B606">
        <v>914.92</v>
      </c>
      <c r="C606">
        <f t="shared" si="18"/>
        <v>-1.1303464522682613E-2</v>
      </c>
      <c r="E606" s="86">
        <v>44810</v>
      </c>
      <c r="F606" s="87">
        <v>17655.599609375</v>
      </c>
      <c r="G606" s="88">
        <f t="shared" si="19"/>
        <v>-5.7745312546642362E-4</v>
      </c>
    </row>
    <row r="607" spans="1:7" ht="14.25" customHeight="1" x14ac:dyDescent="0.35">
      <c r="A607" s="85">
        <v>44811</v>
      </c>
      <c r="B607">
        <v>921.52</v>
      </c>
      <c r="C607">
        <f t="shared" si="18"/>
        <v>7.2137454640843167E-3</v>
      </c>
      <c r="E607" s="86">
        <v>44811</v>
      </c>
      <c r="F607" s="87">
        <v>17624.400390625</v>
      </c>
      <c r="G607" s="88">
        <f t="shared" si="19"/>
        <v>-1.7671004916442166E-3</v>
      </c>
    </row>
    <row r="608" spans="1:7" ht="14.25" customHeight="1" x14ac:dyDescent="0.35">
      <c r="A608" s="85">
        <v>44812</v>
      </c>
      <c r="B608">
        <v>918.85</v>
      </c>
      <c r="C608">
        <f t="shared" si="18"/>
        <v>-2.8973869259483888E-3</v>
      </c>
      <c r="E608" s="86">
        <v>44812</v>
      </c>
      <c r="F608" s="87">
        <v>17798.75</v>
      </c>
      <c r="G608" s="88">
        <f t="shared" si="19"/>
        <v>9.8925129655895866E-3</v>
      </c>
    </row>
    <row r="609" spans="1:7" ht="14.25" customHeight="1" x14ac:dyDescent="0.35">
      <c r="A609" s="85">
        <v>44813</v>
      </c>
      <c r="B609">
        <v>915.37</v>
      </c>
      <c r="C609">
        <f t="shared" si="18"/>
        <v>-3.7873428742449997E-3</v>
      </c>
      <c r="E609" s="86">
        <v>44813</v>
      </c>
      <c r="F609" s="87">
        <v>17833.349609375</v>
      </c>
      <c r="G609" s="88">
        <f t="shared" si="19"/>
        <v>1.943934791769085E-3</v>
      </c>
    </row>
    <row r="610" spans="1:7" ht="14.25" customHeight="1" x14ac:dyDescent="0.35">
      <c r="A610" s="85">
        <v>44816</v>
      </c>
      <c r="B610">
        <v>911.38</v>
      </c>
      <c r="C610">
        <f t="shared" si="18"/>
        <v>-4.358893125184362E-3</v>
      </c>
      <c r="E610" s="86">
        <v>44816</v>
      </c>
      <c r="F610" s="87">
        <v>17936.349609375</v>
      </c>
      <c r="G610" s="88">
        <f t="shared" si="19"/>
        <v>5.77569566324505E-3</v>
      </c>
    </row>
    <row r="611" spans="1:7" ht="14.25" customHeight="1" x14ac:dyDescent="0.35">
      <c r="A611" s="85">
        <v>44817</v>
      </c>
      <c r="B611">
        <v>915.96</v>
      </c>
      <c r="C611">
        <f t="shared" si="18"/>
        <v>5.0253461783230273E-3</v>
      </c>
      <c r="E611" s="86">
        <v>44817</v>
      </c>
      <c r="F611" s="87">
        <v>18070.05078125</v>
      </c>
      <c r="G611" s="88">
        <f t="shared" si="19"/>
        <v>7.4542019299800475E-3</v>
      </c>
    </row>
    <row r="612" spans="1:7" ht="14.25" customHeight="1" x14ac:dyDescent="0.35">
      <c r="A612" s="85">
        <v>44818</v>
      </c>
      <c r="B612">
        <v>918.13</v>
      </c>
      <c r="C612">
        <f t="shared" si="18"/>
        <v>2.3690990872963437E-3</v>
      </c>
      <c r="E612" s="86">
        <v>44818</v>
      </c>
      <c r="F612" s="87">
        <v>18003.75</v>
      </c>
      <c r="G612" s="88">
        <f t="shared" si="19"/>
        <v>-3.6690976717561625E-3</v>
      </c>
    </row>
    <row r="613" spans="1:7" ht="14.25" customHeight="1" x14ac:dyDescent="0.35">
      <c r="A613" s="85">
        <v>44819</v>
      </c>
      <c r="B613">
        <v>913.34</v>
      </c>
      <c r="C613">
        <f t="shared" si="18"/>
        <v>-5.217126115038136E-3</v>
      </c>
      <c r="E613" s="86">
        <v>44819</v>
      </c>
      <c r="F613" s="87">
        <v>17877.400390625</v>
      </c>
      <c r="G613" s="88">
        <f t="shared" si="19"/>
        <v>-7.0179606679164064E-3</v>
      </c>
    </row>
    <row r="614" spans="1:7" ht="14.25" customHeight="1" x14ac:dyDescent="0.35">
      <c r="A614" s="85">
        <v>44820</v>
      </c>
      <c r="B614">
        <v>884.28</v>
      </c>
      <c r="C614">
        <f t="shared" si="18"/>
        <v>-3.1817286005211706E-2</v>
      </c>
      <c r="E614" s="86">
        <v>44820</v>
      </c>
      <c r="F614" s="87">
        <v>17530.849609375</v>
      </c>
      <c r="G614" s="88">
        <f t="shared" si="19"/>
        <v>-1.9384853148544628E-2</v>
      </c>
    </row>
    <row r="615" spans="1:7" ht="14.25" customHeight="1" x14ac:dyDescent="0.35">
      <c r="A615" s="85">
        <v>44823</v>
      </c>
      <c r="B615">
        <v>901.62</v>
      </c>
      <c r="C615">
        <f t="shared" si="18"/>
        <v>1.9609173564934222E-2</v>
      </c>
      <c r="E615" s="86">
        <v>44823</v>
      </c>
      <c r="F615" s="87">
        <v>17622.25</v>
      </c>
      <c r="G615" s="88">
        <f t="shared" si="19"/>
        <v>5.2136885924867933E-3</v>
      </c>
    </row>
    <row r="616" spans="1:7" ht="14.25" customHeight="1" x14ac:dyDescent="0.35">
      <c r="A616" s="85">
        <v>44824</v>
      </c>
      <c r="B616">
        <v>894.48</v>
      </c>
      <c r="C616">
        <f t="shared" si="18"/>
        <v>-7.919078991149249E-3</v>
      </c>
      <c r="E616" s="86">
        <v>44824</v>
      </c>
      <c r="F616" s="87">
        <v>17816.25</v>
      </c>
      <c r="G616" s="88">
        <f t="shared" si="19"/>
        <v>1.1008809885230319E-2</v>
      </c>
    </row>
    <row r="617" spans="1:7" ht="14.25" customHeight="1" x14ac:dyDescent="0.35">
      <c r="A617" s="85">
        <v>44825</v>
      </c>
      <c r="B617">
        <v>896.08</v>
      </c>
      <c r="C617">
        <f t="shared" si="18"/>
        <v>1.7887487702352458E-3</v>
      </c>
      <c r="E617" s="86">
        <v>44825</v>
      </c>
      <c r="F617" s="87">
        <v>17718.349609375</v>
      </c>
      <c r="G617" s="88">
        <f t="shared" si="19"/>
        <v>-5.4950054374517648E-3</v>
      </c>
    </row>
    <row r="618" spans="1:7" ht="14.25" customHeight="1" x14ac:dyDescent="0.35">
      <c r="A618" s="85">
        <v>44826</v>
      </c>
      <c r="B618">
        <v>895.52</v>
      </c>
      <c r="C618">
        <f t="shared" si="18"/>
        <v>-6.2494420141065432E-4</v>
      </c>
      <c r="E618" s="86">
        <v>44826</v>
      </c>
      <c r="F618" s="87">
        <v>17629.80078125</v>
      </c>
      <c r="G618" s="88">
        <f t="shared" si="19"/>
        <v>-4.9975776569025207E-3</v>
      </c>
    </row>
    <row r="619" spans="1:7" ht="14.25" customHeight="1" x14ac:dyDescent="0.35">
      <c r="A619" s="85">
        <v>44827</v>
      </c>
      <c r="B619">
        <v>888.68</v>
      </c>
      <c r="C619">
        <f t="shared" si="18"/>
        <v>-7.6380203680543506E-3</v>
      </c>
      <c r="E619" s="86">
        <v>44827</v>
      </c>
      <c r="F619" s="87">
        <v>17327.349609375</v>
      </c>
      <c r="G619" s="88">
        <f t="shared" si="19"/>
        <v>-1.7155677232420515E-2</v>
      </c>
    </row>
    <row r="620" spans="1:7" ht="14.25" customHeight="1" x14ac:dyDescent="0.35">
      <c r="A620" s="85">
        <v>44830</v>
      </c>
      <c r="B620">
        <v>886.64</v>
      </c>
      <c r="C620">
        <f t="shared" si="18"/>
        <v>-2.2955394517711254E-3</v>
      </c>
      <c r="E620" s="86">
        <v>44830</v>
      </c>
      <c r="F620" s="87">
        <v>17016.30078125</v>
      </c>
      <c r="G620" s="88">
        <f t="shared" si="19"/>
        <v>-1.7951321762256493E-2</v>
      </c>
    </row>
    <row r="621" spans="1:7" ht="14.25" customHeight="1" x14ac:dyDescent="0.35">
      <c r="A621" s="85">
        <v>44831</v>
      </c>
      <c r="B621">
        <v>897.17</v>
      </c>
      <c r="C621">
        <f t="shared" si="18"/>
        <v>1.1876297031489638E-2</v>
      </c>
      <c r="E621" s="86">
        <v>44831</v>
      </c>
      <c r="F621" s="87">
        <v>17007.400390625</v>
      </c>
      <c r="G621" s="88">
        <f t="shared" si="19"/>
        <v>-5.2305085220444639E-4</v>
      </c>
    </row>
    <row r="622" spans="1:7" ht="14.25" customHeight="1" x14ac:dyDescent="0.35">
      <c r="A622" s="85">
        <v>44832</v>
      </c>
      <c r="B622">
        <v>905.26</v>
      </c>
      <c r="C622">
        <f t="shared" si="18"/>
        <v>9.0172431088868694E-3</v>
      </c>
      <c r="E622" s="86">
        <v>44832</v>
      </c>
      <c r="F622" s="87">
        <v>16858.599609375</v>
      </c>
      <c r="G622" s="88">
        <f t="shared" si="19"/>
        <v>-8.7491784653946029E-3</v>
      </c>
    </row>
    <row r="623" spans="1:7" ht="14.25" customHeight="1" x14ac:dyDescent="0.35">
      <c r="A623" s="85">
        <v>44833</v>
      </c>
      <c r="B623">
        <v>911.9</v>
      </c>
      <c r="C623">
        <f t="shared" si="18"/>
        <v>7.3349093078231521E-3</v>
      </c>
      <c r="E623" s="86">
        <v>44833</v>
      </c>
      <c r="F623" s="87">
        <v>16818.099609375</v>
      </c>
      <c r="G623" s="88">
        <f t="shared" si="19"/>
        <v>-2.4023347691037229E-3</v>
      </c>
    </row>
    <row r="624" spans="1:7" ht="14.25" customHeight="1" x14ac:dyDescent="0.35">
      <c r="A624" s="85">
        <v>44834</v>
      </c>
      <c r="B624">
        <v>919.86</v>
      </c>
      <c r="C624">
        <f t="shared" si="18"/>
        <v>8.729027305625657E-3</v>
      </c>
      <c r="E624" s="86">
        <v>44834</v>
      </c>
      <c r="F624" s="87">
        <v>17094.349609375</v>
      </c>
      <c r="G624" s="88">
        <f t="shared" si="19"/>
        <v>1.6425755966269134E-2</v>
      </c>
    </row>
    <row r="625" spans="1:7" ht="14.25" customHeight="1" x14ac:dyDescent="0.35">
      <c r="A625" s="85">
        <v>44837</v>
      </c>
      <c r="B625">
        <v>912.55</v>
      </c>
      <c r="C625">
        <f t="shared" si="18"/>
        <v>-7.9468614789207689E-3</v>
      </c>
      <c r="E625" s="86">
        <v>44837</v>
      </c>
      <c r="F625" s="87">
        <v>16887.349609375</v>
      </c>
      <c r="G625" s="88">
        <f t="shared" si="19"/>
        <v>-1.2109264448790473E-2</v>
      </c>
    </row>
    <row r="626" spans="1:7" ht="14.25" customHeight="1" x14ac:dyDescent="0.35">
      <c r="A626" s="85">
        <v>44838</v>
      </c>
      <c r="B626">
        <v>925</v>
      </c>
      <c r="C626">
        <f t="shared" si="18"/>
        <v>1.3643088049969915E-2</v>
      </c>
      <c r="E626" s="86">
        <v>44838</v>
      </c>
      <c r="F626" s="87">
        <v>17274.30078125</v>
      </c>
      <c r="G626" s="88">
        <f t="shared" si="19"/>
        <v>2.2913670932719031E-2</v>
      </c>
    </row>
    <row r="627" spans="1:7" ht="14.25" customHeight="1" x14ac:dyDescent="0.35">
      <c r="A627" s="85">
        <v>44840</v>
      </c>
      <c r="B627">
        <v>927.32</v>
      </c>
      <c r="C627">
        <f t="shared" si="18"/>
        <v>2.5081081081081624E-3</v>
      </c>
      <c r="E627" s="86">
        <v>44840</v>
      </c>
      <c r="F627" s="87">
        <v>17331.80078125</v>
      </c>
      <c r="G627" s="88">
        <f t="shared" si="19"/>
        <v>3.3286441360574244E-3</v>
      </c>
    </row>
    <row r="628" spans="1:7" ht="14.25" customHeight="1" x14ac:dyDescent="0.35">
      <c r="A628" s="85">
        <v>44841</v>
      </c>
      <c r="B628">
        <v>928.33</v>
      </c>
      <c r="C628">
        <f t="shared" si="18"/>
        <v>1.089160160462398E-3</v>
      </c>
      <c r="E628" s="86">
        <v>44841</v>
      </c>
      <c r="F628" s="87">
        <v>17314.650390625</v>
      </c>
      <c r="G628" s="88">
        <f t="shared" si="19"/>
        <v>-9.8953310400115763E-4</v>
      </c>
    </row>
    <row r="629" spans="1:7" ht="14.25" customHeight="1" x14ac:dyDescent="0.35">
      <c r="A629" s="85">
        <v>44844</v>
      </c>
      <c r="B629">
        <v>918.62</v>
      </c>
      <c r="C629">
        <f t="shared" si="18"/>
        <v>-1.0459642583994955E-2</v>
      </c>
      <c r="E629" s="86">
        <v>44844</v>
      </c>
      <c r="F629" s="87">
        <v>17241</v>
      </c>
      <c r="G629" s="88">
        <f t="shared" si="19"/>
        <v>-4.253645841147213E-3</v>
      </c>
    </row>
    <row r="630" spans="1:7" ht="14.25" customHeight="1" x14ac:dyDescent="0.35">
      <c r="A630" s="85">
        <v>44845</v>
      </c>
      <c r="B630">
        <v>886.47</v>
      </c>
      <c r="C630">
        <f t="shared" si="18"/>
        <v>-3.4998149398010034E-2</v>
      </c>
      <c r="E630" s="86">
        <v>44845</v>
      </c>
      <c r="F630" s="87">
        <v>16983.55078125</v>
      </c>
      <c r="G630" s="88">
        <f t="shared" si="19"/>
        <v>-1.4932383199930399E-2</v>
      </c>
    </row>
    <row r="631" spans="1:7" ht="14.25" customHeight="1" x14ac:dyDescent="0.35">
      <c r="A631" s="85">
        <v>44846</v>
      </c>
      <c r="B631">
        <v>899.71</v>
      </c>
      <c r="C631">
        <f t="shared" si="18"/>
        <v>1.4935643620201482E-2</v>
      </c>
      <c r="E631" s="86">
        <v>44846</v>
      </c>
      <c r="F631" s="87">
        <v>17123.599609375</v>
      </c>
      <c r="G631" s="88">
        <f t="shared" si="19"/>
        <v>8.2461453396197471E-3</v>
      </c>
    </row>
    <row r="632" spans="1:7" ht="14.25" customHeight="1" x14ac:dyDescent="0.35">
      <c r="A632" s="85">
        <v>44847</v>
      </c>
      <c r="B632">
        <v>901.55</v>
      </c>
      <c r="C632">
        <f t="shared" si="18"/>
        <v>2.0451034222137335E-3</v>
      </c>
      <c r="E632" s="86">
        <v>44847</v>
      </c>
      <c r="F632" s="87">
        <v>17014.349609375</v>
      </c>
      <c r="G632" s="88">
        <f t="shared" si="19"/>
        <v>-6.3800837728176449E-3</v>
      </c>
    </row>
    <row r="633" spans="1:7" ht="14.25" customHeight="1" x14ac:dyDescent="0.35">
      <c r="A633" s="85">
        <v>44848</v>
      </c>
      <c r="B633">
        <v>909.44</v>
      </c>
      <c r="C633">
        <f t="shared" si="18"/>
        <v>8.7515944761800239E-3</v>
      </c>
      <c r="E633" s="86">
        <v>44848</v>
      </c>
      <c r="F633" s="87">
        <v>17185.69921875</v>
      </c>
      <c r="G633" s="88">
        <f t="shared" si="19"/>
        <v>1.0070888003887344E-2</v>
      </c>
    </row>
    <row r="634" spans="1:7" ht="14.25" customHeight="1" x14ac:dyDescent="0.35">
      <c r="A634" s="85">
        <v>44851</v>
      </c>
      <c r="B634">
        <v>909.07</v>
      </c>
      <c r="C634">
        <f t="shared" si="18"/>
        <v>-4.0684377199156024E-4</v>
      </c>
      <c r="E634" s="86">
        <v>44851</v>
      </c>
      <c r="F634" s="87">
        <v>17311.80078125</v>
      </c>
      <c r="G634" s="88">
        <f t="shared" si="19"/>
        <v>7.3375869608156676E-3</v>
      </c>
    </row>
    <row r="635" spans="1:7" ht="14.25" customHeight="1" x14ac:dyDescent="0.35">
      <c r="A635" s="85">
        <v>44852</v>
      </c>
      <c r="B635">
        <v>931.54</v>
      </c>
      <c r="C635">
        <f t="shared" si="18"/>
        <v>2.4717568504075499E-2</v>
      </c>
      <c r="E635" s="86">
        <v>44852</v>
      </c>
      <c r="F635" s="87">
        <v>17486.94921875</v>
      </c>
      <c r="G635" s="88">
        <f t="shared" si="19"/>
        <v>1.0117285874136163E-2</v>
      </c>
    </row>
    <row r="636" spans="1:7" ht="14.25" customHeight="1" x14ac:dyDescent="0.35">
      <c r="A636" s="85">
        <v>44853</v>
      </c>
      <c r="B636">
        <v>948.41</v>
      </c>
      <c r="C636">
        <f t="shared" si="18"/>
        <v>1.8109796680765192E-2</v>
      </c>
      <c r="E636" s="86">
        <v>44853</v>
      </c>
      <c r="F636" s="87">
        <v>17512.25</v>
      </c>
      <c r="G636" s="88">
        <f t="shared" si="19"/>
        <v>1.4468379208691124E-3</v>
      </c>
    </row>
    <row r="637" spans="1:7" ht="14.25" customHeight="1" x14ac:dyDescent="0.35">
      <c r="A637" s="85">
        <v>44854</v>
      </c>
      <c r="B637">
        <v>963.89</v>
      </c>
      <c r="C637">
        <f t="shared" si="18"/>
        <v>1.6322054807519974E-2</v>
      </c>
      <c r="E637" s="86">
        <v>44854</v>
      </c>
      <c r="F637" s="87">
        <v>17563.94921875</v>
      </c>
      <c r="G637" s="88">
        <f t="shared" si="19"/>
        <v>2.9521745492441004E-3</v>
      </c>
    </row>
    <row r="638" spans="1:7" ht="14.25" customHeight="1" x14ac:dyDescent="0.35">
      <c r="A638" s="85">
        <v>44855</v>
      </c>
      <c r="B638">
        <v>975.12</v>
      </c>
      <c r="C638">
        <f t="shared" si="18"/>
        <v>1.1650707030885285E-2</v>
      </c>
      <c r="E638" s="86">
        <v>44855</v>
      </c>
      <c r="F638" s="87">
        <v>17576.30078125</v>
      </c>
      <c r="G638" s="88">
        <f t="shared" si="19"/>
        <v>7.0323378564624668E-4</v>
      </c>
    </row>
    <row r="639" spans="1:7" ht="14.25" customHeight="1" x14ac:dyDescent="0.35">
      <c r="A639" s="85">
        <v>44858</v>
      </c>
      <c r="B639">
        <v>1002.99</v>
      </c>
      <c r="C639">
        <f t="shared" si="18"/>
        <v>2.8581097711050951E-2</v>
      </c>
      <c r="E639" s="86">
        <v>44858</v>
      </c>
      <c r="F639" s="87">
        <v>17730.75</v>
      </c>
      <c r="G639" s="88">
        <f t="shared" si="19"/>
        <v>8.7873563767617655E-3</v>
      </c>
    </row>
    <row r="640" spans="1:7" ht="14.25" customHeight="1" x14ac:dyDescent="0.35">
      <c r="A640" s="85">
        <v>44859</v>
      </c>
      <c r="B640">
        <v>974.52</v>
      </c>
      <c r="C640">
        <f t="shared" si="18"/>
        <v>-2.8385128465887026E-2</v>
      </c>
      <c r="E640" s="86">
        <v>44859</v>
      </c>
      <c r="F640" s="87">
        <v>17656.349609375</v>
      </c>
      <c r="G640" s="88">
        <f t="shared" si="19"/>
        <v>-4.1961220267050185E-3</v>
      </c>
    </row>
    <row r="641" spans="1:7" ht="14.25" customHeight="1" x14ac:dyDescent="0.35">
      <c r="A641" s="85">
        <v>44861</v>
      </c>
      <c r="B641">
        <v>967.35</v>
      </c>
      <c r="C641">
        <f t="shared" si="18"/>
        <v>-7.3574682920822141E-3</v>
      </c>
      <c r="E641" s="86">
        <v>44861</v>
      </c>
      <c r="F641" s="87">
        <v>17736.94921875</v>
      </c>
      <c r="G641" s="88">
        <f t="shared" si="19"/>
        <v>4.5649078749666347E-3</v>
      </c>
    </row>
    <row r="642" spans="1:7" ht="14.25" customHeight="1" x14ac:dyDescent="0.35">
      <c r="A642" s="85">
        <v>44862</v>
      </c>
      <c r="B642">
        <v>974.52</v>
      </c>
      <c r="C642">
        <f t="shared" si="18"/>
        <v>7.4120018607535627E-3</v>
      </c>
      <c r="E642" s="86">
        <v>44862</v>
      </c>
      <c r="F642" s="87">
        <v>17786.80078125</v>
      </c>
      <c r="G642" s="88">
        <f t="shared" si="19"/>
        <v>2.8106052447453111E-3</v>
      </c>
    </row>
    <row r="643" spans="1:7" ht="14.25" customHeight="1" x14ac:dyDescent="0.35">
      <c r="A643" s="85">
        <v>44865</v>
      </c>
      <c r="B643">
        <v>984.23</v>
      </c>
      <c r="C643">
        <f t="shared" si="18"/>
        <v>9.9638796535730777E-3</v>
      </c>
      <c r="E643" s="86">
        <v>44865</v>
      </c>
      <c r="F643" s="87">
        <v>18012.19921875</v>
      </c>
      <c r="G643" s="88">
        <f t="shared" si="19"/>
        <v>1.2672230395564126E-2</v>
      </c>
    </row>
    <row r="644" spans="1:7" ht="14.25" customHeight="1" x14ac:dyDescent="0.35">
      <c r="A644" s="85">
        <v>44866</v>
      </c>
      <c r="B644">
        <v>995.18</v>
      </c>
      <c r="C644">
        <f t="shared" si="18"/>
        <v>1.1125448320006432E-2</v>
      </c>
      <c r="E644" s="86">
        <v>44866</v>
      </c>
      <c r="F644" s="87">
        <v>18145.400390625</v>
      </c>
      <c r="G644" s="88">
        <f t="shared" si="19"/>
        <v>7.3950532223928962E-3</v>
      </c>
    </row>
    <row r="645" spans="1:7" ht="14.25" customHeight="1" x14ac:dyDescent="0.35">
      <c r="A645" s="85">
        <v>44867</v>
      </c>
      <c r="B645">
        <v>985.39</v>
      </c>
      <c r="C645">
        <f t="shared" ref="C645:C708" si="20">(B645-B644)/B644</f>
        <v>-9.8374163467914999E-3</v>
      </c>
      <c r="E645" s="86">
        <v>44867</v>
      </c>
      <c r="F645" s="87">
        <v>18082.849609375</v>
      </c>
      <c r="G645" s="88">
        <f t="shared" ref="G645:G708" si="21">(F645-F644)/F644</f>
        <v>-3.4471976315450983E-3</v>
      </c>
    </row>
    <row r="646" spans="1:7" ht="14.25" customHeight="1" x14ac:dyDescent="0.35">
      <c r="A646" s="85">
        <v>44868</v>
      </c>
      <c r="B646">
        <v>987.14</v>
      </c>
      <c r="C646">
        <f t="shared" si="20"/>
        <v>1.7759465795268879E-3</v>
      </c>
      <c r="E646" s="86">
        <v>44868</v>
      </c>
      <c r="F646" s="87">
        <v>18052.69921875</v>
      </c>
      <c r="G646" s="88">
        <f t="shared" si="21"/>
        <v>-1.6673473084335456E-3</v>
      </c>
    </row>
    <row r="647" spans="1:7" ht="14.25" customHeight="1" x14ac:dyDescent="0.35">
      <c r="A647" s="85">
        <v>44869</v>
      </c>
      <c r="B647">
        <v>987.23</v>
      </c>
      <c r="C647">
        <f t="shared" si="20"/>
        <v>9.1172478067986132E-5</v>
      </c>
      <c r="E647" s="86">
        <v>44869</v>
      </c>
      <c r="F647" s="87">
        <v>18117.150390625</v>
      </c>
      <c r="G647" s="88">
        <f t="shared" si="21"/>
        <v>3.5701681556882833E-3</v>
      </c>
    </row>
    <row r="648" spans="1:7" ht="14.25" customHeight="1" x14ac:dyDescent="0.35">
      <c r="A648" s="85">
        <v>44872</v>
      </c>
      <c r="B648">
        <v>989.88</v>
      </c>
      <c r="C648">
        <f t="shared" si="20"/>
        <v>2.684278233035845E-3</v>
      </c>
      <c r="E648" s="86">
        <v>44872</v>
      </c>
      <c r="F648" s="87">
        <v>18202.80078125</v>
      </c>
      <c r="G648" s="88">
        <f t="shared" si="21"/>
        <v>4.7275862251119315E-3</v>
      </c>
    </row>
    <row r="649" spans="1:7" ht="14.25" customHeight="1" x14ac:dyDescent="0.35">
      <c r="A649" s="85">
        <v>44874</v>
      </c>
      <c r="B649">
        <v>982.13</v>
      </c>
      <c r="C649">
        <f t="shared" si="20"/>
        <v>-7.8292318260799292E-3</v>
      </c>
      <c r="E649" s="86">
        <v>44874</v>
      </c>
      <c r="F649" s="87">
        <v>18157</v>
      </c>
      <c r="G649" s="88">
        <f t="shared" si="21"/>
        <v>-2.5161392359563488E-3</v>
      </c>
    </row>
    <row r="650" spans="1:7" ht="14.25" customHeight="1" x14ac:dyDescent="0.35">
      <c r="A650" s="85">
        <v>44875</v>
      </c>
      <c r="B650">
        <v>975.14</v>
      </c>
      <c r="C650">
        <f t="shared" si="20"/>
        <v>-7.1171840795006868E-3</v>
      </c>
      <c r="E650" s="86">
        <v>44875</v>
      </c>
      <c r="F650" s="87">
        <v>18028.19921875</v>
      </c>
      <c r="G650" s="88">
        <f t="shared" si="21"/>
        <v>-7.093725904609792E-3</v>
      </c>
    </row>
    <row r="651" spans="1:7" ht="14.25" customHeight="1" x14ac:dyDescent="0.35">
      <c r="A651" s="85">
        <v>44876</v>
      </c>
      <c r="B651">
        <v>982.26</v>
      </c>
      <c r="C651">
        <f t="shared" si="20"/>
        <v>7.3015156797998281E-3</v>
      </c>
      <c r="E651" s="86">
        <v>44876</v>
      </c>
      <c r="F651" s="87">
        <v>18349.69921875</v>
      </c>
      <c r="G651" s="88">
        <f t="shared" si="21"/>
        <v>1.7833173247033349E-2</v>
      </c>
    </row>
    <row r="652" spans="1:7" ht="14.25" customHeight="1" x14ac:dyDescent="0.35">
      <c r="A652" s="85">
        <v>44879</v>
      </c>
      <c r="B652">
        <v>969.82</v>
      </c>
      <c r="C652">
        <f t="shared" si="20"/>
        <v>-1.2664671268299576E-2</v>
      </c>
      <c r="E652" s="86">
        <v>44879</v>
      </c>
      <c r="F652" s="87">
        <v>18329.150390625</v>
      </c>
      <c r="G652" s="88">
        <f t="shared" si="21"/>
        <v>-1.1198455015547556E-3</v>
      </c>
    </row>
    <row r="653" spans="1:7" ht="14.25" customHeight="1" x14ac:dyDescent="0.35">
      <c r="A653" s="85">
        <v>44880</v>
      </c>
      <c r="B653">
        <v>969.35</v>
      </c>
      <c r="C653">
        <f t="shared" si="20"/>
        <v>-4.8462601307461929E-4</v>
      </c>
      <c r="E653" s="86">
        <v>44880</v>
      </c>
      <c r="F653" s="87">
        <v>18403.400390625</v>
      </c>
      <c r="G653" s="88">
        <f t="shared" si="21"/>
        <v>4.0509242609508738E-3</v>
      </c>
    </row>
    <row r="654" spans="1:7" ht="14.25" customHeight="1" x14ac:dyDescent="0.35">
      <c r="A654" s="85">
        <v>44881</v>
      </c>
      <c r="B654">
        <v>971.4</v>
      </c>
      <c r="C654">
        <f t="shared" si="20"/>
        <v>2.114819208748083E-3</v>
      </c>
      <c r="E654" s="86">
        <v>44881</v>
      </c>
      <c r="F654" s="87">
        <v>18409.650390625</v>
      </c>
      <c r="G654" s="88">
        <f t="shared" si="21"/>
        <v>3.3961115159912808E-4</v>
      </c>
    </row>
    <row r="655" spans="1:7" ht="14.25" customHeight="1" x14ac:dyDescent="0.35">
      <c r="A655" s="85">
        <v>44882</v>
      </c>
      <c r="B655">
        <v>966.23</v>
      </c>
      <c r="C655">
        <f t="shared" si="20"/>
        <v>-5.322215359275231E-3</v>
      </c>
      <c r="E655" s="86">
        <v>44882</v>
      </c>
      <c r="F655" s="87">
        <v>18343.900390625</v>
      </c>
      <c r="G655" s="88">
        <f t="shared" si="21"/>
        <v>-3.5714963948192506E-3</v>
      </c>
    </row>
    <row r="656" spans="1:7" ht="14.25" customHeight="1" x14ac:dyDescent="0.35">
      <c r="A656" s="85">
        <v>44883</v>
      </c>
      <c r="B656">
        <v>963.05</v>
      </c>
      <c r="C656">
        <f t="shared" si="20"/>
        <v>-3.2911418606336625E-3</v>
      </c>
      <c r="E656" s="86">
        <v>44883</v>
      </c>
      <c r="F656" s="87">
        <v>18307.650390625</v>
      </c>
      <c r="G656" s="88">
        <f t="shared" si="21"/>
        <v>-1.9761337135545203E-3</v>
      </c>
    </row>
    <row r="657" spans="1:7" ht="14.25" customHeight="1" x14ac:dyDescent="0.35">
      <c r="A657" s="85">
        <v>44886</v>
      </c>
      <c r="B657">
        <v>955.15</v>
      </c>
      <c r="C657">
        <f t="shared" si="20"/>
        <v>-8.2031047193811095E-3</v>
      </c>
      <c r="E657" s="86">
        <v>44886</v>
      </c>
      <c r="F657" s="87">
        <v>18159.94921875</v>
      </c>
      <c r="G657" s="88">
        <f t="shared" si="21"/>
        <v>-8.0677295405769262E-3</v>
      </c>
    </row>
    <row r="658" spans="1:7" ht="14.25" customHeight="1" x14ac:dyDescent="0.35">
      <c r="A658" s="85">
        <v>44887</v>
      </c>
      <c r="B658">
        <v>947.99</v>
      </c>
      <c r="C658">
        <f t="shared" si="20"/>
        <v>-7.4962047845887753E-3</v>
      </c>
      <c r="E658" s="86">
        <v>44887</v>
      </c>
      <c r="F658" s="87">
        <v>18244.19921875</v>
      </c>
      <c r="G658" s="88">
        <f t="shared" si="21"/>
        <v>4.6393301536885668E-3</v>
      </c>
    </row>
    <row r="659" spans="1:7" ht="14.25" customHeight="1" x14ac:dyDescent="0.35">
      <c r="A659" s="85">
        <v>44888</v>
      </c>
      <c r="B659">
        <v>945.65</v>
      </c>
      <c r="C659">
        <f t="shared" si="20"/>
        <v>-2.4683804681484315E-3</v>
      </c>
      <c r="E659" s="86">
        <v>44888</v>
      </c>
      <c r="F659" s="87">
        <v>18267.25</v>
      </c>
      <c r="G659" s="88">
        <f t="shared" si="21"/>
        <v>1.2634580983039343E-3</v>
      </c>
    </row>
    <row r="660" spans="1:7" ht="14.25" customHeight="1" x14ac:dyDescent="0.35">
      <c r="A660" s="85">
        <v>44889</v>
      </c>
      <c r="B660">
        <v>953.88</v>
      </c>
      <c r="C660">
        <f t="shared" si="20"/>
        <v>8.7030085126632677E-3</v>
      </c>
      <c r="E660" s="86">
        <v>44889</v>
      </c>
      <c r="F660" s="87">
        <v>18484.099609375</v>
      </c>
      <c r="G660" s="88">
        <f t="shared" si="21"/>
        <v>1.1870949889830161E-2</v>
      </c>
    </row>
    <row r="661" spans="1:7" ht="14.25" customHeight="1" x14ac:dyDescent="0.35">
      <c r="A661" s="85">
        <v>44890</v>
      </c>
      <c r="B661">
        <v>943.92</v>
      </c>
      <c r="C661">
        <f t="shared" si="20"/>
        <v>-1.044156497672667E-2</v>
      </c>
      <c r="E661" s="86">
        <v>44890</v>
      </c>
      <c r="F661" s="87">
        <v>18512.75</v>
      </c>
      <c r="G661" s="88">
        <f t="shared" si="21"/>
        <v>1.5500019600883741E-3</v>
      </c>
    </row>
    <row r="662" spans="1:7" ht="14.25" customHeight="1" x14ac:dyDescent="0.35">
      <c r="A662" s="85">
        <v>44893</v>
      </c>
      <c r="B662">
        <v>957.75</v>
      </c>
      <c r="C662">
        <f t="shared" si="20"/>
        <v>1.4651665395372533E-2</v>
      </c>
      <c r="E662" s="86">
        <v>44893</v>
      </c>
      <c r="F662" s="87">
        <v>18562.75</v>
      </c>
      <c r="G662" s="88">
        <f t="shared" si="21"/>
        <v>2.7008413120687092E-3</v>
      </c>
    </row>
    <row r="663" spans="1:7" ht="14.25" customHeight="1" x14ac:dyDescent="0.35">
      <c r="A663" s="85">
        <v>44894</v>
      </c>
      <c r="B663">
        <v>972.53</v>
      </c>
      <c r="C663">
        <f t="shared" si="20"/>
        <v>1.5432002088227589E-2</v>
      </c>
      <c r="E663" s="86">
        <v>44894</v>
      </c>
      <c r="F663" s="87">
        <v>18618.05078125</v>
      </c>
      <c r="G663" s="88">
        <f t="shared" si="21"/>
        <v>2.9791265437502526E-3</v>
      </c>
    </row>
    <row r="664" spans="1:7" ht="14.25" customHeight="1" x14ac:dyDescent="0.35">
      <c r="A664" s="85">
        <v>44895</v>
      </c>
      <c r="B664">
        <v>975.56</v>
      </c>
      <c r="C664">
        <f t="shared" si="20"/>
        <v>3.1155851233380695E-3</v>
      </c>
      <c r="E664" s="86">
        <v>44895</v>
      </c>
      <c r="F664" s="87">
        <v>18758.349609375</v>
      </c>
      <c r="G664" s="88">
        <f t="shared" si="21"/>
        <v>7.5356346254191742E-3</v>
      </c>
    </row>
    <row r="665" spans="1:7" ht="14.25" customHeight="1" x14ac:dyDescent="0.35">
      <c r="A665" s="85">
        <v>44896</v>
      </c>
      <c r="B665">
        <v>969.06</v>
      </c>
      <c r="C665">
        <f t="shared" si="20"/>
        <v>-6.6628398048300466E-3</v>
      </c>
      <c r="E665" s="86">
        <v>44896</v>
      </c>
      <c r="F665" s="87">
        <v>18812.5</v>
      </c>
      <c r="G665" s="88">
        <f t="shared" si="21"/>
        <v>2.8867353340049093E-3</v>
      </c>
    </row>
    <row r="666" spans="1:7" ht="14.25" customHeight="1" x14ac:dyDescent="0.35">
      <c r="A666" s="85">
        <v>44897</v>
      </c>
      <c r="B666">
        <v>954.64</v>
      </c>
      <c r="C666">
        <f t="shared" si="20"/>
        <v>-1.4880399562462551E-2</v>
      </c>
      <c r="E666" s="86">
        <v>44897</v>
      </c>
      <c r="F666" s="87">
        <v>18696.099609375</v>
      </c>
      <c r="G666" s="88">
        <f t="shared" si="21"/>
        <v>-6.1873961794019936E-3</v>
      </c>
    </row>
    <row r="667" spans="1:7" ht="14.25" customHeight="1" x14ac:dyDescent="0.35">
      <c r="A667" s="85">
        <v>44900</v>
      </c>
      <c r="B667">
        <v>954.69</v>
      </c>
      <c r="C667">
        <f t="shared" si="20"/>
        <v>5.2375764686235874E-5</v>
      </c>
      <c r="E667" s="86">
        <v>44900</v>
      </c>
      <c r="F667" s="87">
        <v>18701.05078125</v>
      </c>
      <c r="G667" s="88">
        <f t="shared" si="21"/>
        <v>2.6482378562624241E-4</v>
      </c>
    </row>
    <row r="668" spans="1:7" ht="14.25" customHeight="1" x14ac:dyDescent="0.35">
      <c r="A668" s="85">
        <v>44901</v>
      </c>
      <c r="B668">
        <v>962.37</v>
      </c>
      <c r="C668">
        <f t="shared" si="20"/>
        <v>8.0444961191590454E-3</v>
      </c>
      <c r="E668" s="86">
        <v>44901</v>
      </c>
      <c r="F668" s="87">
        <v>18642.75</v>
      </c>
      <c r="G668" s="88">
        <f t="shared" si="21"/>
        <v>-3.1175136590962781E-3</v>
      </c>
    </row>
    <row r="669" spans="1:7" ht="14.25" customHeight="1" x14ac:dyDescent="0.35">
      <c r="A669" s="85">
        <v>44902</v>
      </c>
      <c r="B669">
        <v>962.36</v>
      </c>
      <c r="C669">
        <f t="shared" si="20"/>
        <v>-1.0391013851212013E-5</v>
      </c>
      <c r="E669" s="86">
        <v>44902</v>
      </c>
      <c r="F669" s="87">
        <v>18560.5</v>
      </c>
      <c r="G669" s="88">
        <f t="shared" si="21"/>
        <v>-4.4119027503989484E-3</v>
      </c>
    </row>
    <row r="670" spans="1:7" ht="14.25" customHeight="1" x14ac:dyDescent="0.35">
      <c r="A670" s="85">
        <v>44903</v>
      </c>
      <c r="B670">
        <v>957.26</v>
      </c>
      <c r="C670">
        <f t="shared" si="20"/>
        <v>-5.2994721310112873E-3</v>
      </c>
      <c r="E670" s="86">
        <v>44903</v>
      </c>
      <c r="F670" s="87">
        <v>18609.349609375</v>
      </c>
      <c r="G670" s="88">
        <f t="shared" si="21"/>
        <v>2.6319123609277765E-3</v>
      </c>
    </row>
    <row r="671" spans="1:7" ht="14.25" customHeight="1" x14ac:dyDescent="0.35">
      <c r="A671" s="85">
        <v>44904</v>
      </c>
      <c r="B671">
        <v>978.35</v>
      </c>
      <c r="C671">
        <f t="shared" si="20"/>
        <v>2.203163194952263E-2</v>
      </c>
      <c r="E671" s="86">
        <v>44904</v>
      </c>
      <c r="F671" s="87">
        <v>18496.599609375</v>
      </c>
      <c r="G671" s="88">
        <f t="shared" si="21"/>
        <v>-6.058782405979353E-3</v>
      </c>
    </row>
    <row r="672" spans="1:7" ht="14.25" customHeight="1" x14ac:dyDescent="0.35">
      <c r="A672" s="85">
        <v>44907</v>
      </c>
      <c r="B672">
        <v>990.22</v>
      </c>
      <c r="C672">
        <f t="shared" si="20"/>
        <v>1.2132672356518633E-2</v>
      </c>
      <c r="E672" s="86">
        <v>44907</v>
      </c>
      <c r="F672" s="87">
        <v>18497.150390625</v>
      </c>
      <c r="G672" s="88">
        <f t="shared" si="21"/>
        <v>2.9777432697458433E-5</v>
      </c>
    </row>
    <row r="673" spans="1:7" ht="14.25" customHeight="1" x14ac:dyDescent="0.35">
      <c r="A673" s="85">
        <v>44908</v>
      </c>
      <c r="B673">
        <v>985.44</v>
      </c>
      <c r="C673">
        <f t="shared" si="20"/>
        <v>-4.8272101149239282E-3</v>
      </c>
      <c r="E673" s="86">
        <v>44908</v>
      </c>
      <c r="F673" s="87">
        <v>18608</v>
      </c>
      <c r="G673" s="88">
        <f t="shared" si="21"/>
        <v>5.9927938646799584E-3</v>
      </c>
    </row>
    <row r="674" spans="1:7" ht="14.25" customHeight="1" x14ac:dyDescent="0.35">
      <c r="A674" s="85">
        <v>44909</v>
      </c>
      <c r="B674">
        <v>969.74</v>
      </c>
      <c r="C674">
        <f t="shared" si="20"/>
        <v>-1.5931969475564259E-2</v>
      </c>
      <c r="E674" s="86">
        <v>44909</v>
      </c>
      <c r="F674" s="87">
        <v>18660.30078125</v>
      </c>
      <c r="G674" s="88">
        <f t="shared" si="21"/>
        <v>2.8106610731943251E-3</v>
      </c>
    </row>
    <row r="675" spans="1:7" ht="14.25" customHeight="1" x14ac:dyDescent="0.35">
      <c r="A675" s="85">
        <v>44910</v>
      </c>
      <c r="B675">
        <v>954</v>
      </c>
      <c r="C675">
        <f t="shared" si="20"/>
        <v>-1.6231154742508309E-2</v>
      </c>
      <c r="E675" s="86">
        <v>44910</v>
      </c>
      <c r="F675" s="87">
        <v>18414.900390625</v>
      </c>
      <c r="G675" s="88">
        <f t="shared" si="21"/>
        <v>-1.3150934355333651E-2</v>
      </c>
    </row>
    <row r="676" spans="1:7" ht="14.25" customHeight="1" x14ac:dyDescent="0.35">
      <c r="A676" s="85">
        <v>44911</v>
      </c>
      <c r="B676">
        <v>954.04</v>
      </c>
      <c r="C676">
        <f t="shared" si="20"/>
        <v>4.1928721173966061E-5</v>
      </c>
      <c r="E676" s="86">
        <v>44911</v>
      </c>
      <c r="F676" s="87">
        <v>18269</v>
      </c>
      <c r="G676" s="88">
        <f t="shared" si="21"/>
        <v>-7.9229530179418008E-3</v>
      </c>
    </row>
    <row r="677" spans="1:7" ht="14.25" customHeight="1" x14ac:dyDescent="0.35">
      <c r="A677" s="85">
        <v>44914</v>
      </c>
      <c r="B677">
        <v>970.62</v>
      </c>
      <c r="C677">
        <f t="shared" si="20"/>
        <v>1.7378726258857113E-2</v>
      </c>
      <c r="E677" s="86">
        <v>44914</v>
      </c>
      <c r="F677" s="87">
        <v>18420.44921875</v>
      </c>
      <c r="G677" s="88">
        <f t="shared" si="21"/>
        <v>8.2899566889265974E-3</v>
      </c>
    </row>
    <row r="678" spans="1:7" ht="14.25" customHeight="1" x14ac:dyDescent="0.35">
      <c r="A678" s="85">
        <v>44915</v>
      </c>
      <c r="B678">
        <v>973.22</v>
      </c>
      <c r="C678">
        <f t="shared" si="20"/>
        <v>2.6787002122355017E-3</v>
      </c>
      <c r="E678" s="86">
        <v>44915</v>
      </c>
      <c r="F678" s="87">
        <v>18385.30078125</v>
      </c>
      <c r="G678" s="88">
        <f t="shared" si="21"/>
        <v>-1.9081205394395452E-3</v>
      </c>
    </row>
    <row r="679" spans="1:7" ht="14.25" customHeight="1" x14ac:dyDescent="0.35">
      <c r="A679" s="85">
        <v>44916</v>
      </c>
      <c r="B679">
        <v>981.86</v>
      </c>
      <c r="C679">
        <f t="shared" si="20"/>
        <v>8.877746038922326E-3</v>
      </c>
      <c r="E679" s="86">
        <v>44916</v>
      </c>
      <c r="F679" s="87">
        <v>18199.099609375</v>
      </c>
      <c r="G679" s="88">
        <f t="shared" si="21"/>
        <v>-1.012771964355866E-2</v>
      </c>
    </row>
    <row r="680" spans="1:7" ht="14.25" customHeight="1" x14ac:dyDescent="0.35">
      <c r="A680" s="85">
        <v>44917</v>
      </c>
      <c r="B680">
        <v>981.49</v>
      </c>
      <c r="C680">
        <f t="shared" si="20"/>
        <v>-3.7683580143809152E-4</v>
      </c>
      <c r="E680" s="86">
        <v>44917</v>
      </c>
      <c r="F680" s="87">
        <v>18127.349609375</v>
      </c>
      <c r="G680" s="88">
        <f t="shared" si="21"/>
        <v>-3.9425027358517802E-3</v>
      </c>
    </row>
    <row r="681" spans="1:7" ht="14.25" customHeight="1" x14ac:dyDescent="0.35">
      <c r="A681" s="85">
        <v>44918</v>
      </c>
      <c r="B681">
        <v>973.09</v>
      </c>
      <c r="C681">
        <f t="shared" si="20"/>
        <v>-8.5584162854435378E-3</v>
      </c>
      <c r="E681" s="86">
        <v>44918</v>
      </c>
      <c r="F681" s="87">
        <v>17806.80078125</v>
      </c>
      <c r="G681" s="88">
        <f t="shared" si="21"/>
        <v>-1.7683160254117921E-2</v>
      </c>
    </row>
    <row r="682" spans="1:7" ht="14.25" customHeight="1" x14ac:dyDescent="0.35">
      <c r="A682" s="85">
        <v>44921</v>
      </c>
      <c r="B682">
        <v>961.72</v>
      </c>
      <c r="C682">
        <f t="shared" si="20"/>
        <v>-1.1684427956304149E-2</v>
      </c>
      <c r="E682" s="86">
        <v>44921</v>
      </c>
      <c r="F682" s="87">
        <v>18014.599609375</v>
      </c>
      <c r="G682" s="88">
        <f t="shared" si="21"/>
        <v>1.1669632893506936E-2</v>
      </c>
    </row>
    <row r="683" spans="1:7" ht="14.25" customHeight="1" x14ac:dyDescent="0.35">
      <c r="A683" s="85">
        <v>44922</v>
      </c>
      <c r="B683">
        <v>955.84</v>
      </c>
      <c r="C683">
        <f t="shared" si="20"/>
        <v>-6.1140456681778432E-3</v>
      </c>
      <c r="E683" s="86">
        <v>44922</v>
      </c>
      <c r="F683" s="87">
        <v>18132.30078125</v>
      </c>
      <c r="G683" s="88">
        <f t="shared" si="21"/>
        <v>6.533654614990554E-3</v>
      </c>
    </row>
    <row r="684" spans="1:7" ht="14.25" customHeight="1" x14ac:dyDescent="0.35">
      <c r="A684" s="85">
        <v>44923</v>
      </c>
      <c r="B684">
        <v>959.11</v>
      </c>
      <c r="C684">
        <f t="shared" si="20"/>
        <v>3.4210746568463148E-3</v>
      </c>
      <c r="E684" s="86">
        <v>44923</v>
      </c>
      <c r="F684" s="87">
        <v>18122.5</v>
      </c>
      <c r="G684" s="88">
        <f t="shared" si="21"/>
        <v>-5.405150382313676E-4</v>
      </c>
    </row>
    <row r="685" spans="1:7" ht="14.25" customHeight="1" x14ac:dyDescent="0.35">
      <c r="A685" s="85">
        <v>44924</v>
      </c>
      <c r="B685">
        <v>957.39</v>
      </c>
      <c r="C685">
        <f t="shared" si="20"/>
        <v>-1.7933292323091482E-3</v>
      </c>
      <c r="E685" s="86">
        <v>44924</v>
      </c>
      <c r="F685" s="87">
        <v>18191</v>
      </c>
      <c r="G685" s="88">
        <f t="shared" si="21"/>
        <v>3.7798317009242652E-3</v>
      </c>
    </row>
    <row r="686" spans="1:7" ht="14.25" customHeight="1" x14ac:dyDescent="0.35">
      <c r="A686" s="85">
        <v>44925</v>
      </c>
      <c r="B686">
        <v>947.63</v>
      </c>
      <c r="C686">
        <f t="shared" si="20"/>
        <v>-1.0194382644481342E-2</v>
      </c>
      <c r="E686" s="86">
        <v>44925</v>
      </c>
      <c r="F686" s="87">
        <v>18105.30078125</v>
      </c>
      <c r="G686" s="88">
        <f t="shared" si="21"/>
        <v>-4.7110779368918698E-3</v>
      </c>
    </row>
    <row r="687" spans="1:7" ht="14.25" customHeight="1" x14ac:dyDescent="0.35">
      <c r="A687" s="85">
        <v>44928</v>
      </c>
      <c r="B687">
        <v>945.48</v>
      </c>
      <c r="C687">
        <f t="shared" si="20"/>
        <v>-2.2688179985859221E-3</v>
      </c>
      <c r="E687" s="86">
        <v>44928</v>
      </c>
      <c r="F687" s="87">
        <v>18197.44921875</v>
      </c>
      <c r="G687" s="88">
        <f t="shared" si="21"/>
        <v>5.0895833553579895E-3</v>
      </c>
    </row>
    <row r="688" spans="1:7" ht="14.25" customHeight="1" x14ac:dyDescent="0.35">
      <c r="A688" s="85">
        <v>44929</v>
      </c>
      <c r="B688">
        <v>953.49</v>
      </c>
      <c r="C688">
        <f t="shared" si="20"/>
        <v>8.4718872953420381E-3</v>
      </c>
      <c r="E688" s="86">
        <v>44929</v>
      </c>
      <c r="F688" s="87">
        <v>18232.55078125</v>
      </c>
      <c r="G688" s="88">
        <f t="shared" si="21"/>
        <v>1.928927624858137E-3</v>
      </c>
    </row>
    <row r="689" spans="1:7" ht="14.25" customHeight="1" x14ac:dyDescent="0.35">
      <c r="A689" s="85">
        <v>44930</v>
      </c>
      <c r="B689">
        <v>943.46</v>
      </c>
      <c r="C689">
        <f t="shared" si="20"/>
        <v>-1.0519250332987208E-2</v>
      </c>
      <c r="E689" s="86">
        <v>44930</v>
      </c>
      <c r="F689" s="87">
        <v>18042.94921875</v>
      </c>
      <c r="G689" s="88">
        <f t="shared" si="21"/>
        <v>-1.0399069487028801E-2</v>
      </c>
    </row>
    <row r="690" spans="1:7" ht="14.25" customHeight="1" x14ac:dyDescent="0.35">
      <c r="A690" s="85">
        <v>44931</v>
      </c>
      <c r="B690">
        <v>955.84</v>
      </c>
      <c r="C690">
        <f t="shared" si="20"/>
        <v>1.3121912958683988E-2</v>
      </c>
      <c r="E690" s="86">
        <v>44931</v>
      </c>
      <c r="F690" s="87">
        <v>17992.150390625</v>
      </c>
      <c r="G690" s="88">
        <f t="shared" si="21"/>
        <v>-2.8154392892826255E-3</v>
      </c>
    </row>
    <row r="691" spans="1:7" ht="14.25" customHeight="1" x14ac:dyDescent="0.35">
      <c r="A691" s="85">
        <v>44932</v>
      </c>
      <c r="B691">
        <v>961.12</v>
      </c>
      <c r="C691">
        <f t="shared" si="20"/>
        <v>5.5239370605958873E-3</v>
      </c>
      <c r="E691" s="86">
        <v>44932</v>
      </c>
      <c r="F691" s="87">
        <v>17859.44921875</v>
      </c>
      <c r="G691" s="88">
        <f t="shared" si="21"/>
        <v>-7.3755037054462009E-3</v>
      </c>
    </row>
    <row r="692" spans="1:7" ht="14.25" customHeight="1" x14ac:dyDescent="0.35">
      <c r="A692" s="85">
        <v>44935</v>
      </c>
      <c r="B692">
        <v>970.81</v>
      </c>
      <c r="C692">
        <f t="shared" si="20"/>
        <v>1.0081987681038726E-2</v>
      </c>
      <c r="E692" s="86">
        <v>44935</v>
      </c>
      <c r="F692" s="87">
        <v>18101.19921875</v>
      </c>
      <c r="G692" s="88">
        <f t="shared" si="21"/>
        <v>1.3536251708490276E-2</v>
      </c>
    </row>
    <row r="693" spans="1:7" ht="14.25" customHeight="1" x14ac:dyDescent="0.35">
      <c r="A693" s="85">
        <v>44936</v>
      </c>
      <c r="B693">
        <v>967.83</v>
      </c>
      <c r="C693">
        <f t="shared" si="20"/>
        <v>-3.0696016728298066E-3</v>
      </c>
      <c r="E693" s="86">
        <v>44936</v>
      </c>
      <c r="F693" s="87">
        <v>17914.150390625</v>
      </c>
      <c r="G693" s="88">
        <f t="shared" si="21"/>
        <v>-1.0333504750958532E-2</v>
      </c>
    </row>
    <row r="694" spans="1:7" ht="14.25" customHeight="1" x14ac:dyDescent="0.35">
      <c r="A694" s="85">
        <v>44937</v>
      </c>
      <c r="B694">
        <v>954.99</v>
      </c>
      <c r="C694">
        <f t="shared" si="20"/>
        <v>-1.3266792721862344E-2</v>
      </c>
      <c r="E694" s="86">
        <v>44937</v>
      </c>
      <c r="F694" s="87">
        <v>17895.69921875</v>
      </c>
      <c r="G694" s="88">
        <f t="shared" si="21"/>
        <v>-1.0299775022909285E-3</v>
      </c>
    </row>
    <row r="695" spans="1:7" ht="14.25" customHeight="1" x14ac:dyDescent="0.35">
      <c r="A695" s="85">
        <v>44938</v>
      </c>
      <c r="B695">
        <v>960.54</v>
      </c>
      <c r="C695">
        <f t="shared" si="20"/>
        <v>5.8115791788395212E-3</v>
      </c>
      <c r="E695" s="86">
        <v>44938</v>
      </c>
      <c r="F695" s="87">
        <v>17858.19921875</v>
      </c>
      <c r="G695" s="88">
        <f t="shared" si="21"/>
        <v>-2.0954755408891671E-3</v>
      </c>
    </row>
    <row r="696" spans="1:7" ht="14.25" customHeight="1" x14ac:dyDescent="0.35">
      <c r="A696" s="85">
        <v>44939</v>
      </c>
      <c r="B696">
        <v>956.25</v>
      </c>
      <c r="C696">
        <f t="shared" si="20"/>
        <v>-4.4662377412704977E-3</v>
      </c>
      <c r="E696" s="86">
        <v>44939</v>
      </c>
      <c r="F696" s="87">
        <v>17956.599609375</v>
      </c>
      <c r="G696" s="88">
        <f t="shared" si="21"/>
        <v>5.5100959183883276E-3</v>
      </c>
    </row>
    <row r="697" spans="1:7" ht="14.25" customHeight="1" x14ac:dyDescent="0.35">
      <c r="A697" s="85">
        <v>44942</v>
      </c>
      <c r="B697">
        <v>953.89</v>
      </c>
      <c r="C697">
        <f t="shared" si="20"/>
        <v>-2.4679738562091648E-3</v>
      </c>
      <c r="E697" s="86">
        <v>44942</v>
      </c>
      <c r="F697" s="87">
        <v>17894.849609375</v>
      </c>
      <c r="G697" s="88">
        <f t="shared" si="21"/>
        <v>-3.4388470725693972E-3</v>
      </c>
    </row>
    <row r="698" spans="1:7" ht="14.25" customHeight="1" x14ac:dyDescent="0.35">
      <c r="A698" s="85">
        <v>44943</v>
      </c>
      <c r="B698">
        <v>964.05</v>
      </c>
      <c r="C698">
        <f t="shared" si="20"/>
        <v>1.065112329513882E-2</v>
      </c>
      <c r="E698" s="86">
        <v>44943</v>
      </c>
      <c r="F698" s="87">
        <v>18053.30078125</v>
      </c>
      <c r="G698" s="88">
        <f t="shared" si="21"/>
        <v>8.854568511824118E-3</v>
      </c>
    </row>
    <row r="699" spans="1:7" ht="14.25" customHeight="1" x14ac:dyDescent="0.35">
      <c r="A699" s="85">
        <v>44944</v>
      </c>
      <c r="B699">
        <v>958.13</v>
      </c>
      <c r="C699">
        <f t="shared" si="20"/>
        <v>-6.1407603340075303E-3</v>
      </c>
      <c r="E699" s="86">
        <v>44944</v>
      </c>
      <c r="F699" s="87">
        <v>18165.349609375</v>
      </c>
      <c r="G699" s="88">
        <f t="shared" si="21"/>
        <v>6.2065563235601173E-3</v>
      </c>
    </row>
    <row r="700" spans="1:7" ht="14.25" customHeight="1" x14ac:dyDescent="0.35">
      <c r="A700" s="85">
        <v>44945</v>
      </c>
      <c r="B700">
        <v>951.26</v>
      </c>
      <c r="C700">
        <f t="shared" si="20"/>
        <v>-7.1702169851690324E-3</v>
      </c>
      <c r="E700" s="86">
        <v>44945</v>
      </c>
      <c r="F700" s="87">
        <v>18107.849609375</v>
      </c>
      <c r="G700" s="88">
        <f t="shared" si="21"/>
        <v>-3.1653670992560848E-3</v>
      </c>
    </row>
    <row r="701" spans="1:7" ht="14.25" customHeight="1" x14ac:dyDescent="0.35">
      <c r="A701" s="85">
        <v>44946</v>
      </c>
      <c r="B701">
        <v>928.01</v>
      </c>
      <c r="C701">
        <f t="shared" si="20"/>
        <v>-2.4441267371696489E-2</v>
      </c>
      <c r="E701" s="86">
        <v>44946</v>
      </c>
      <c r="F701" s="87">
        <v>18027.650390625</v>
      </c>
      <c r="G701" s="88">
        <f t="shared" si="21"/>
        <v>-4.4289753051891022E-3</v>
      </c>
    </row>
    <row r="702" spans="1:7" ht="14.25" customHeight="1" x14ac:dyDescent="0.35">
      <c r="A702" s="85">
        <v>44949</v>
      </c>
      <c r="B702">
        <v>936.08</v>
      </c>
      <c r="C702">
        <f t="shared" si="20"/>
        <v>8.6960269824679151E-3</v>
      </c>
      <c r="E702" s="86">
        <v>44949</v>
      </c>
      <c r="F702" s="87">
        <v>18118.55078125</v>
      </c>
      <c r="G702" s="88">
        <f t="shared" si="21"/>
        <v>5.042276095628709E-3</v>
      </c>
    </row>
    <row r="703" spans="1:7" ht="14.25" customHeight="1" x14ac:dyDescent="0.35">
      <c r="A703" s="85">
        <v>44950</v>
      </c>
      <c r="B703">
        <v>932.39</v>
      </c>
      <c r="C703">
        <f t="shared" si="20"/>
        <v>-3.9419707717289702E-3</v>
      </c>
      <c r="E703" s="86">
        <v>44950</v>
      </c>
      <c r="F703" s="87">
        <v>18118.30078125</v>
      </c>
      <c r="G703" s="88">
        <f t="shared" si="21"/>
        <v>-1.3798013043003017E-5</v>
      </c>
    </row>
    <row r="704" spans="1:7" ht="14.25" customHeight="1" x14ac:dyDescent="0.35">
      <c r="A704" s="85">
        <v>44951</v>
      </c>
      <c r="B704">
        <v>929.72</v>
      </c>
      <c r="C704">
        <f t="shared" si="20"/>
        <v>-2.8636085758105075E-3</v>
      </c>
      <c r="E704" s="86">
        <v>44951</v>
      </c>
      <c r="F704" s="87">
        <v>17891.94921875</v>
      </c>
      <c r="G704" s="88">
        <f t="shared" si="21"/>
        <v>-1.2492979625012262E-2</v>
      </c>
    </row>
    <row r="705" spans="1:7" ht="14.25" customHeight="1" x14ac:dyDescent="0.35">
      <c r="A705" s="85">
        <v>44953</v>
      </c>
      <c r="B705">
        <v>928.79</v>
      </c>
      <c r="C705">
        <f t="shared" si="20"/>
        <v>-1.0003011659425027E-3</v>
      </c>
      <c r="E705" s="86">
        <v>44953</v>
      </c>
      <c r="F705" s="87">
        <v>17604.349609375</v>
      </c>
      <c r="G705" s="88">
        <f t="shared" si="21"/>
        <v>-1.6074246906178778E-2</v>
      </c>
    </row>
    <row r="706" spans="1:7" ht="14.25" customHeight="1" x14ac:dyDescent="0.35">
      <c r="A706" s="85">
        <v>44956</v>
      </c>
      <c r="B706">
        <v>926.35</v>
      </c>
      <c r="C706">
        <f t="shared" si="20"/>
        <v>-2.6270739349044895E-3</v>
      </c>
      <c r="E706" s="86">
        <v>44956</v>
      </c>
      <c r="F706" s="87">
        <v>17648.94921875</v>
      </c>
      <c r="G706" s="88">
        <f t="shared" si="21"/>
        <v>2.5334426073456854E-3</v>
      </c>
    </row>
    <row r="707" spans="1:7" ht="14.25" customHeight="1" x14ac:dyDescent="0.35">
      <c r="A707" s="85">
        <v>44957</v>
      </c>
      <c r="B707">
        <v>919.19</v>
      </c>
      <c r="C707">
        <f t="shared" si="20"/>
        <v>-7.7292599989204598E-3</v>
      </c>
      <c r="E707" s="86">
        <v>44957</v>
      </c>
      <c r="F707" s="87">
        <v>17662.150390625</v>
      </c>
      <c r="G707" s="88">
        <f t="shared" si="21"/>
        <v>7.4798628016761802E-4</v>
      </c>
    </row>
    <row r="708" spans="1:7" ht="14.25" customHeight="1" x14ac:dyDescent="0.35">
      <c r="A708" s="85">
        <v>44958</v>
      </c>
      <c r="B708">
        <v>922.68</v>
      </c>
      <c r="C708">
        <f t="shared" si="20"/>
        <v>3.7968211142417729E-3</v>
      </c>
      <c r="E708" s="86">
        <v>44958</v>
      </c>
      <c r="F708" s="87">
        <v>17616.30078125</v>
      </c>
      <c r="G708" s="88">
        <f t="shared" si="21"/>
        <v>-2.5959245256645981E-3</v>
      </c>
    </row>
    <row r="709" spans="1:7" ht="14.25" customHeight="1" x14ac:dyDescent="0.35">
      <c r="A709" s="85">
        <v>44959</v>
      </c>
      <c r="B709">
        <v>916.14</v>
      </c>
      <c r="C709">
        <f t="shared" ref="C709:C772" si="22">(B709-B708)/B708</f>
        <v>-7.0880478605800101E-3</v>
      </c>
      <c r="E709" s="86">
        <v>44959</v>
      </c>
      <c r="F709" s="87">
        <v>17610.400390625</v>
      </c>
      <c r="G709" s="88">
        <f t="shared" ref="G709:G772" si="23">(F709-F708)/F708</f>
        <v>-3.3493925304000889E-4</v>
      </c>
    </row>
    <row r="710" spans="1:7" ht="14.25" customHeight="1" x14ac:dyDescent="0.35">
      <c r="A710" s="85">
        <v>44960</v>
      </c>
      <c r="B710">
        <v>918.54</v>
      </c>
      <c r="C710">
        <f t="shared" si="22"/>
        <v>2.6196869474097596E-3</v>
      </c>
      <c r="E710" s="86">
        <v>44960</v>
      </c>
      <c r="F710" s="87">
        <v>17854.05078125</v>
      </c>
      <c r="G710" s="88">
        <f t="shared" si="23"/>
        <v>1.3835596307890234E-2</v>
      </c>
    </row>
    <row r="711" spans="1:7" ht="14.25" customHeight="1" x14ac:dyDescent="0.35">
      <c r="A711" s="85">
        <v>44963</v>
      </c>
      <c r="B711">
        <v>919.38</v>
      </c>
      <c r="C711">
        <f t="shared" si="22"/>
        <v>9.1449474165527015E-4</v>
      </c>
      <c r="E711" s="86">
        <v>44963</v>
      </c>
      <c r="F711" s="87">
        <v>17764.599609375</v>
      </c>
      <c r="G711" s="88">
        <f t="shared" si="23"/>
        <v>-5.0101331608701366E-3</v>
      </c>
    </row>
    <row r="712" spans="1:7" ht="14.25" customHeight="1" x14ac:dyDescent="0.35">
      <c r="A712" s="85">
        <v>44964</v>
      </c>
      <c r="B712">
        <v>917.27</v>
      </c>
      <c r="C712">
        <f t="shared" si="22"/>
        <v>-2.2950249080902494E-3</v>
      </c>
      <c r="E712" s="86">
        <v>44964</v>
      </c>
      <c r="F712" s="87">
        <v>17721.5</v>
      </c>
      <c r="G712" s="88">
        <f t="shared" si="23"/>
        <v>-2.4261514654264895E-3</v>
      </c>
    </row>
    <row r="713" spans="1:7" ht="14.25" customHeight="1" x14ac:dyDescent="0.35">
      <c r="A713" s="85">
        <v>44965</v>
      </c>
      <c r="B713">
        <v>918.09</v>
      </c>
      <c r="C713">
        <f t="shared" si="22"/>
        <v>8.9395706825694731E-4</v>
      </c>
      <c r="E713" s="86">
        <v>44965</v>
      </c>
      <c r="F713" s="87">
        <v>17871.69921875</v>
      </c>
      <c r="G713" s="88">
        <f t="shared" si="23"/>
        <v>8.4755364246818839E-3</v>
      </c>
    </row>
    <row r="714" spans="1:7" ht="14.25" customHeight="1" x14ac:dyDescent="0.35">
      <c r="A714" s="85">
        <v>44966</v>
      </c>
      <c r="B714">
        <v>918.35</v>
      </c>
      <c r="C714">
        <f t="shared" si="22"/>
        <v>2.831966364953228E-4</v>
      </c>
      <c r="E714" s="86">
        <v>44966</v>
      </c>
      <c r="F714" s="87">
        <v>17893.44921875</v>
      </c>
      <c r="G714" s="88">
        <f t="shared" si="23"/>
        <v>1.2170079483645908E-3</v>
      </c>
    </row>
    <row r="715" spans="1:7" ht="14.25" customHeight="1" x14ac:dyDescent="0.35">
      <c r="A715" s="85">
        <v>44967</v>
      </c>
      <c r="B715">
        <v>919.49</v>
      </c>
      <c r="C715">
        <f t="shared" si="22"/>
        <v>1.2413567811836296E-3</v>
      </c>
      <c r="E715" s="86">
        <v>44967</v>
      </c>
      <c r="F715" s="87">
        <v>17856.5</v>
      </c>
      <c r="G715" s="88">
        <f t="shared" si="23"/>
        <v>-2.0649578680046795E-3</v>
      </c>
    </row>
    <row r="716" spans="1:7" ht="14.25" customHeight="1" x14ac:dyDescent="0.35">
      <c r="A716" s="85">
        <v>44970</v>
      </c>
      <c r="B716">
        <v>919.63</v>
      </c>
      <c r="C716">
        <f t="shared" si="22"/>
        <v>1.5225831711055733E-4</v>
      </c>
      <c r="E716" s="86">
        <v>44970</v>
      </c>
      <c r="F716" s="87">
        <v>17770.900390625</v>
      </c>
      <c r="G716" s="88">
        <f t="shared" si="23"/>
        <v>-4.7937507000252013E-3</v>
      </c>
    </row>
    <row r="717" spans="1:7" ht="14.25" customHeight="1" x14ac:dyDescent="0.35">
      <c r="A717" s="85">
        <v>44971</v>
      </c>
      <c r="B717">
        <v>922.34</v>
      </c>
      <c r="C717">
        <f t="shared" si="22"/>
        <v>2.9468373150071622E-3</v>
      </c>
      <c r="E717" s="86">
        <v>44971</v>
      </c>
      <c r="F717" s="87">
        <v>17929.849609375</v>
      </c>
      <c r="G717" s="88">
        <f t="shared" si="23"/>
        <v>8.944353704995911E-3</v>
      </c>
    </row>
    <row r="718" spans="1:7" ht="14.25" customHeight="1" x14ac:dyDescent="0.35">
      <c r="A718" s="85">
        <v>44972</v>
      </c>
      <c r="B718">
        <v>930.95</v>
      </c>
      <c r="C718">
        <f t="shared" si="22"/>
        <v>9.3349524036689443E-3</v>
      </c>
      <c r="E718" s="86">
        <v>44972</v>
      </c>
      <c r="F718" s="87">
        <v>18015.849609375</v>
      </c>
      <c r="G718" s="88">
        <f t="shared" si="23"/>
        <v>4.796470794436172E-3</v>
      </c>
    </row>
    <row r="719" spans="1:7" ht="14.25" customHeight="1" x14ac:dyDescent="0.35">
      <c r="A719" s="85">
        <v>44973</v>
      </c>
      <c r="B719">
        <v>948.73</v>
      </c>
      <c r="C719">
        <f t="shared" si="22"/>
        <v>1.9098770073580719E-2</v>
      </c>
      <c r="E719" s="86">
        <v>44973</v>
      </c>
      <c r="F719" s="87">
        <v>18035.849609375</v>
      </c>
      <c r="G719" s="88">
        <f t="shared" si="23"/>
        <v>1.110133600892877E-3</v>
      </c>
    </row>
    <row r="720" spans="1:7" ht="14.25" customHeight="1" x14ac:dyDescent="0.35">
      <c r="A720" s="85">
        <v>44974</v>
      </c>
      <c r="B720">
        <v>919.37</v>
      </c>
      <c r="C720">
        <f t="shared" si="22"/>
        <v>-3.0946633921136692E-2</v>
      </c>
      <c r="E720" s="86">
        <v>44974</v>
      </c>
      <c r="F720" s="87">
        <v>17944.19921875</v>
      </c>
      <c r="G720" s="88">
        <f t="shared" si="23"/>
        <v>-5.0815676893513411E-3</v>
      </c>
    </row>
    <row r="721" spans="1:7" ht="14.25" customHeight="1" x14ac:dyDescent="0.35">
      <c r="A721" s="85">
        <v>44977</v>
      </c>
      <c r="B721">
        <v>909.78</v>
      </c>
      <c r="C721">
        <f t="shared" si="22"/>
        <v>-1.0431056049251153E-2</v>
      </c>
      <c r="E721" s="86">
        <v>44977</v>
      </c>
      <c r="F721" s="87">
        <v>17844.599609375</v>
      </c>
      <c r="G721" s="88">
        <f t="shared" si="23"/>
        <v>-5.5505184801408012E-3</v>
      </c>
    </row>
    <row r="722" spans="1:7" ht="14.25" customHeight="1" x14ac:dyDescent="0.35">
      <c r="A722" s="85">
        <v>44978</v>
      </c>
      <c r="B722">
        <v>911.02</v>
      </c>
      <c r="C722">
        <f t="shared" si="22"/>
        <v>1.3629668711117075E-3</v>
      </c>
      <c r="E722" s="86">
        <v>44978</v>
      </c>
      <c r="F722" s="87">
        <v>17826.69921875</v>
      </c>
      <c r="G722" s="88">
        <f t="shared" si="23"/>
        <v>-1.0031264929920697E-3</v>
      </c>
    </row>
    <row r="723" spans="1:7" ht="14.25" customHeight="1" x14ac:dyDescent="0.35">
      <c r="A723" s="85">
        <v>44979</v>
      </c>
      <c r="B723">
        <v>902.59</v>
      </c>
      <c r="C723">
        <f t="shared" si="22"/>
        <v>-9.2533643608262717E-3</v>
      </c>
      <c r="E723" s="86">
        <v>44979</v>
      </c>
      <c r="F723" s="87">
        <v>17554.30078125</v>
      </c>
      <c r="G723" s="88">
        <f t="shared" si="23"/>
        <v>-1.5280363131582609E-2</v>
      </c>
    </row>
    <row r="724" spans="1:7" ht="14.25" customHeight="1" x14ac:dyDescent="0.35">
      <c r="A724" s="85">
        <v>44980</v>
      </c>
      <c r="B724">
        <v>901.32</v>
      </c>
      <c r="C724">
        <f t="shared" si="22"/>
        <v>-1.4070618996443365E-3</v>
      </c>
      <c r="E724" s="86">
        <v>44980</v>
      </c>
      <c r="F724" s="87">
        <v>17511.25</v>
      </c>
      <c r="G724" s="88">
        <f t="shared" si="23"/>
        <v>-2.4524349779846064E-3</v>
      </c>
    </row>
    <row r="725" spans="1:7" ht="14.25" customHeight="1" x14ac:dyDescent="0.35">
      <c r="A725" s="85">
        <v>44981</v>
      </c>
      <c r="B725">
        <v>902.91</v>
      </c>
      <c r="C725">
        <f t="shared" si="22"/>
        <v>1.764079350286156E-3</v>
      </c>
      <c r="E725" s="86">
        <v>44981</v>
      </c>
      <c r="F725" s="87">
        <v>17465.80078125</v>
      </c>
      <c r="G725" s="88">
        <f t="shared" si="23"/>
        <v>-2.5954297237490184E-3</v>
      </c>
    </row>
    <row r="726" spans="1:7" ht="14.25" customHeight="1" x14ac:dyDescent="0.35">
      <c r="A726" s="85">
        <v>44984</v>
      </c>
      <c r="B726">
        <v>900.1</v>
      </c>
      <c r="C726">
        <f t="shared" si="22"/>
        <v>-3.1121595729363344E-3</v>
      </c>
      <c r="E726" s="86">
        <v>44984</v>
      </c>
      <c r="F726" s="87">
        <v>17392.69921875</v>
      </c>
      <c r="G726" s="88">
        <f t="shared" si="23"/>
        <v>-4.1854114458053631E-3</v>
      </c>
    </row>
    <row r="727" spans="1:7" ht="14.25" customHeight="1" x14ac:dyDescent="0.35">
      <c r="A727" s="85">
        <v>44985</v>
      </c>
      <c r="B727">
        <v>902.39</v>
      </c>
      <c r="C727">
        <f t="shared" si="22"/>
        <v>2.5441617598044256E-3</v>
      </c>
      <c r="E727" s="86">
        <v>44985</v>
      </c>
      <c r="F727" s="87">
        <v>17303.94921875</v>
      </c>
      <c r="G727" s="88">
        <f t="shared" si="23"/>
        <v>-5.1027157362857215E-3</v>
      </c>
    </row>
    <row r="728" spans="1:7" ht="14.25" customHeight="1" x14ac:dyDescent="0.35">
      <c r="A728" s="85">
        <v>44986</v>
      </c>
      <c r="B728">
        <v>907.65</v>
      </c>
      <c r="C728">
        <f t="shared" si="22"/>
        <v>5.828965303250248E-3</v>
      </c>
      <c r="E728" s="86">
        <v>44986</v>
      </c>
      <c r="F728" s="87">
        <v>17450.900390625</v>
      </c>
      <c r="G728" s="88">
        <f t="shared" si="23"/>
        <v>8.4923487706360379E-3</v>
      </c>
    </row>
    <row r="729" spans="1:7" ht="14.25" customHeight="1" x14ac:dyDescent="0.35">
      <c r="A729" s="85">
        <v>44987</v>
      </c>
      <c r="B729">
        <v>893.29</v>
      </c>
      <c r="C729">
        <f t="shared" si="22"/>
        <v>-1.5821076406103689E-2</v>
      </c>
      <c r="E729" s="86">
        <v>44987</v>
      </c>
      <c r="F729" s="87">
        <v>17321.900390625</v>
      </c>
      <c r="G729" s="88">
        <f t="shared" si="23"/>
        <v>-7.3921687198043708E-3</v>
      </c>
    </row>
    <row r="730" spans="1:7" ht="14.25" customHeight="1" x14ac:dyDescent="0.35">
      <c r="A730" s="85">
        <v>44988</v>
      </c>
      <c r="B730">
        <v>891.75</v>
      </c>
      <c r="C730">
        <f t="shared" si="22"/>
        <v>-1.7239642221450633E-3</v>
      </c>
      <c r="E730" s="86">
        <v>44988</v>
      </c>
      <c r="F730" s="87">
        <v>17594.349609375</v>
      </c>
      <c r="G730" s="88">
        <f t="shared" si="23"/>
        <v>1.5728598629827915E-2</v>
      </c>
    </row>
    <row r="731" spans="1:7" ht="14.25" customHeight="1" x14ac:dyDescent="0.35">
      <c r="A731" s="85">
        <v>44991</v>
      </c>
      <c r="B731">
        <v>894.89</v>
      </c>
      <c r="C731">
        <f t="shared" si="22"/>
        <v>3.521166246145205E-3</v>
      </c>
      <c r="E731" s="86">
        <v>44991</v>
      </c>
      <c r="F731" s="87">
        <v>17711.44921875</v>
      </c>
      <c r="G731" s="88">
        <f t="shared" si="23"/>
        <v>6.6555236183669141E-3</v>
      </c>
    </row>
    <row r="732" spans="1:7" ht="14.25" customHeight="1" x14ac:dyDescent="0.35">
      <c r="A732" s="85">
        <v>44993</v>
      </c>
      <c r="B732">
        <v>895.05</v>
      </c>
      <c r="C732">
        <f t="shared" si="22"/>
        <v>1.7879292426998644E-4</v>
      </c>
      <c r="E732" s="86">
        <v>44993</v>
      </c>
      <c r="F732" s="87">
        <v>17754.400390625</v>
      </c>
      <c r="G732" s="88">
        <f t="shared" si="23"/>
        <v>2.4250512391459354E-3</v>
      </c>
    </row>
    <row r="733" spans="1:7" ht="14.25" customHeight="1" x14ac:dyDescent="0.35">
      <c r="A733" s="85">
        <v>44994</v>
      </c>
      <c r="B733">
        <v>895.89</v>
      </c>
      <c r="C733">
        <f t="shared" si="22"/>
        <v>9.3849505614215063E-4</v>
      </c>
      <c r="E733" s="86">
        <v>44994</v>
      </c>
      <c r="F733" s="87">
        <v>17589.599609375</v>
      </c>
      <c r="G733" s="88">
        <f t="shared" si="23"/>
        <v>-9.2822498999752812E-3</v>
      </c>
    </row>
    <row r="734" spans="1:7" ht="14.25" customHeight="1" x14ac:dyDescent="0.35">
      <c r="A734" s="85">
        <v>44995</v>
      </c>
      <c r="B734">
        <v>893.48</v>
      </c>
      <c r="C734">
        <f t="shared" si="22"/>
        <v>-2.6900623960530515E-3</v>
      </c>
      <c r="E734" s="86">
        <v>44995</v>
      </c>
      <c r="F734" s="87">
        <v>17412.900390625</v>
      </c>
      <c r="G734" s="88">
        <f t="shared" si="23"/>
        <v>-1.0045664635585105E-2</v>
      </c>
    </row>
    <row r="735" spans="1:7" ht="14.25" customHeight="1" x14ac:dyDescent="0.35">
      <c r="A735" s="85">
        <v>44998</v>
      </c>
      <c r="B735">
        <v>885.35</v>
      </c>
      <c r="C735">
        <f t="shared" si="22"/>
        <v>-9.0992523615525765E-3</v>
      </c>
      <c r="E735" s="86">
        <v>44998</v>
      </c>
      <c r="F735" s="87">
        <v>17154.30078125</v>
      </c>
      <c r="G735" s="88">
        <f t="shared" si="23"/>
        <v>-1.4851035931626214E-2</v>
      </c>
    </row>
    <row r="736" spans="1:7" ht="14.25" customHeight="1" x14ac:dyDescent="0.35">
      <c r="A736" s="85">
        <v>44999</v>
      </c>
      <c r="B736">
        <v>882.79</v>
      </c>
      <c r="C736">
        <f t="shared" si="22"/>
        <v>-2.8915118314791427E-3</v>
      </c>
      <c r="E736" s="86">
        <v>44999</v>
      </c>
      <c r="F736" s="87">
        <v>17043.30078125</v>
      </c>
      <c r="G736" s="88">
        <f t="shared" si="23"/>
        <v>-6.470680525861203E-3</v>
      </c>
    </row>
    <row r="737" spans="1:7" ht="14.25" customHeight="1" x14ac:dyDescent="0.35">
      <c r="A737" s="85">
        <v>45000</v>
      </c>
      <c r="B737">
        <v>869.68</v>
      </c>
      <c r="C737">
        <f t="shared" si="22"/>
        <v>-1.4850643981014754E-2</v>
      </c>
      <c r="E737" s="86">
        <v>45000</v>
      </c>
      <c r="F737" s="87">
        <v>16972.150390625</v>
      </c>
      <c r="G737" s="88">
        <f t="shared" si="23"/>
        <v>-4.1746837386848982E-3</v>
      </c>
    </row>
    <row r="738" spans="1:7" ht="14.25" customHeight="1" x14ac:dyDescent="0.35">
      <c r="A738" s="85">
        <v>45001</v>
      </c>
      <c r="B738">
        <v>891.78</v>
      </c>
      <c r="C738">
        <f t="shared" si="22"/>
        <v>2.5411645662772542E-2</v>
      </c>
      <c r="E738" s="86">
        <v>45001</v>
      </c>
      <c r="F738" s="87">
        <v>16985.599609375</v>
      </c>
      <c r="G738" s="88">
        <f t="shared" si="23"/>
        <v>7.9242868113100259E-4</v>
      </c>
    </row>
    <row r="739" spans="1:7" ht="14.25" customHeight="1" x14ac:dyDescent="0.35">
      <c r="A739" s="85">
        <v>45002</v>
      </c>
      <c r="B739">
        <v>911.48</v>
      </c>
      <c r="C739">
        <f t="shared" si="22"/>
        <v>2.2090650160353501E-2</v>
      </c>
      <c r="E739" s="86">
        <v>45002</v>
      </c>
      <c r="F739" s="87">
        <v>17100.05078125</v>
      </c>
      <c r="G739" s="88">
        <f t="shared" si="23"/>
        <v>6.7381296219787279E-3</v>
      </c>
    </row>
    <row r="740" spans="1:7" ht="14.25" customHeight="1" x14ac:dyDescent="0.35">
      <c r="A740" s="85">
        <v>45005</v>
      </c>
      <c r="B740">
        <v>915.33</v>
      </c>
      <c r="C740">
        <f t="shared" si="22"/>
        <v>4.2238995918725836E-3</v>
      </c>
      <c r="E740" s="86">
        <v>45005</v>
      </c>
      <c r="F740" s="87">
        <v>16988.400390625</v>
      </c>
      <c r="G740" s="88">
        <f t="shared" si="23"/>
        <v>-6.5292432199922654E-3</v>
      </c>
    </row>
    <row r="741" spans="1:7" ht="14.25" customHeight="1" x14ac:dyDescent="0.35">
      <c r="A741" s="85">
        <v>45006</v>
      </c>
      <c r="B741">
        <v>914.83</v>
      </c>
      <c r="C741">
        <f t="shared" si="22"/>
        <v>-5.4625107884588066E-4</v>
      </c>
      <c r="E741" s="86">
        <v>45006</v>
      </c>
      <c r="F741" s="87">
        <v>17107.5</v>
      </c>
      <c r="G741" s="88">
        <f t="shared" si="23"/>
        <v>7.0106429467441077E-3</v>
      </c>
    </row>
    <row r="742" spans="1:7" ht="14.25" customHeight="1" x14ac:dyDescent="0.35">
      <c r="A742" s="85">
        <v>45007</v>
      </c>
      <c r="B742">
        <v>909.62</v>
      </c>
      <c r="C742">
        <f t="shared" si="22"/>
        <v>-5.6950471672332957E-3</v>
      </c>
      <c r="E742" s="86">
        <v>45007</v>
      </c>
      <c r="F742" s="87">
        <v>17151.900390625</v>
      </c>
      <c r="G742" s="88">
        <f t="shared" si="23"/>
        <v>2.5953757489405233E-3</v>
      </c>
    </row>
    <row r="743" spans="1:7" ht="14.25" customHeight="1" x14ac:dyDescent="0.35">
      <c r="A743" s="85">
        <v>45008</v>
      </c>
      <c r="B743">
        <v>920.48</v>
      </c>
      <c r="C743">
        <f t="shared" si="22"/>
        <v>1.1939051472043286E-2</v>
      </c>
      <c r="E743" s="86">
        <v>45008</v>
      </c>
      <c r="F743" s="87">
        <v>17076.900390625</v>
      </c>
      <c r="G743" s="88">
        <f t="shared" si="23"/>
        <v>-4.3726933046436068E-3</v>
      </c>
    </row>
    <row r="744" spans="1:7" ht="14.25" customHeight="1" x14ac:dyDescent="0.35">
      <c r="A744" s="85">
        <v>45009</v>
      </c>
      <c r="B744">
        <v>916.07</v>
      </c>
      <c r="C744">
        <f t="shared" si="22"/>
        <v>-4.7909786198504778E-3</v>
      </c>
      <c r="E744" s="86">
        <v>45009</v>
      </c>
      <c r="F744" s="87">
        <v>16945.05078125</v>
      </c>
      <c r="G744" s="88">
        <f t="shared" si="23"/>
        <v>-7.7209333285906939E-3</v>
      </c>
    </row>
    <row r="745" spans="1:7" ht="14.25" customHeight="1" x14ac:dyDescent="0.35">
      <c r="A745" s="85">
        <v>45012</v>
      </c>
      <c r="B745">
        <v>913.07</v>
      </c>
      <c r="C745">
        <f t="shared" si="22"/>
        <v>-3.2748589081620398E-3</v>
      </c>
      <c r="E745" s="86">
        <v>45012</v>
      </c>
      <c r="F745" s="87">
        <v>16985.69921875</v>
      </c>
      <c r="G745" s="88">
        <f t="shared" si="23"/>
        <v>2.3988383407489234E-3</v>
      </c>
    </row>
    <row r="746" spans="1:7" ht="14.25" customHeight="1" x14ac:dyDescent="0.35">
      <c r="A746" s="85">
        <v>45013</v>
      </c>
      <c r="B746">
        <v>915.73</v>
      </c>
      <c r="C746">
        <f t="shared" si="22"/>
        <v>2.9132487103945676E-3</v>
      </c>
      <c r="E746" s="86">
        <v>45013</v>
      </c>
      <c r="F746" s="87">
        <v>16951.69921875</v>
      </c>
      <c r="G746" s="88">
        <f t="shared" si="23"/>
        <v>-2.0016838613548761E-3</v>
      </c>
    </row>
    <row r="747" spans="1:7" ht="14.25" customHeight="1" x14ac:dyDescent="0.35">
      <c r="A747" s="85">
        <v>45014</v>
      </c>
      <c r="B747">
        <v>920.9</v>
      </c>
      <c r="C747">
        <f t="shared" si="22"/>
        <v>5.6457689493627583E-3</v>
      </c>
      <c r="E747" s="86">
        <v>45014</v>
      </c>
      <c r="F747" s="87">
        <v>17080.69921875</v>
      </c>
      <c r="G747" s="88">
        <f t="shared" si="23"/>
        <v>7.6098565893214518E-3</v>
      </c>
    </row>
    <row r="748" spans="1:7" ht="14.25" customHeight="1" x14ac:dyDescent="0.35">
      <c r="A748" s="85">
        <v>45016</v>
      </c>
      <c r="B748">
        <v>952.39</v>
      </c>
      <c r="C748">
        <f t="shared" si="22"/>
        <v>3.419480942556196E-2</v>
      </c>
      <c r="E748" s="86">
        <v>45016</v>
      </c>
      <c r="F748" s="87">
        <v>17359.75</v>
      </c>
      <c r="G748" s="88">
        <f t="shared" si="23"/>
        <v>1.6337198944623856E-2</v>
      </c>
    </row>
    <row r="749" spans="1:7" ht="14.25" customHeight="1" x14ac:dyDescent="0.35">
      <c r="A749" s="85">
        <v>45019</v>
      </c>
      <c r="B749">
        <v>952.43</v>
      </c>
      <c r="C749">
        <f t="shared" si="22"/>
        <v>4.1999601003752267E-5</v>
      </c>
      <c r="E749" s="86">
        <v>45019</v>
      </c>
      <c r="F749" s="87">
        <v>17398.05078125</v>
      </c>
      <c r="G749" s="88">
        <f t="shared" si="23"/>
        <v>2.2062979737611428E-3</v>
      </c>
    </row>
    <row r="750" spans="1:7" ht="14.25" customHeight="1" x14ac:dyDescent="0.35">
      <c r="A750" s="85">
        <v>45021</v>
      </c>
      <c r="B750">
        <v>958.07</v>
      </c>
      <c r="C750">
        <f t="shared" si="22"/>
        <v>5.9216950327059207E-3</v>
      </c>
      <c r="E750" s="86">
        <v>45021</v>
      </c>
      <c r="F750" s="87">
        <v>17557.05078125</v>
      </c>
      <c r="G750" s="88">
        <f t="shared" si="23"/>
        <v>9.1389548173612303E-3</v>
      </c>
    </row>
    <row r="751" spans="1:7" ht="14.25" customHeight="1" x14ac:dyDescent="0.35">
      <c r="A751" s="85">
        <v>45022</v>
      </c>
      <c r="B751">
        <v>952.57</v>
      </c>
      <c r="C751">
        <f t="shared" si="22"/>
        <v>-5.7407078814700387E-3</v>
      </c>
      <c r="E751" s="86">
        <v>45022</v>
      </c>
      <c r="F751" s="87">
        <v>17599.150390625</v>
      </c>
      <c r="G751" s="88">
        <f t="shared" si="23"/>
        <v>2.3978747854372074E-3</v>
      </c>
    </row>
    <row r="752" spans="1:7" ht="14.25" customHeight="1" x14ac:dyDescent="0.35">
      <c r="A752" s="85">
        <v>45026</v>
      </c>
      <c r="B752">
        <v>943.96</v>
      </c>
      <c r="C752">
        <f t="shared" si="22"/>
        <v>-9.0387058168953597E-3</v>
      </c>
      <c r="E752" s="86">
        <v>45026</v>
      </c>
      <c r="F752" s="87">
        <v>17624.05078125</v>
      </c>
      <c r="G752" s="88">
        <f t="shared" si="23"/>
        <v>1.4148632219350965E-3</v>
      </c>
    </row>
    <row r="753" spans="1:7" ht="14.25" customHeight="1" x14ac:dyDescent="0.35">
      <c r="A753" s="85">
        <v>45027</v>
      </c>
      <c r="B753">
        <v>950.94</v>
      </c>
      <c r="C753">
        <f t="shared" si="22"/>
        <v>7.3943811178439952E-3</v>
      </c>
      <c r="E753" s="86">
        <v>45027</v>
      </c>
      <c r="F753" s="87">
        <v>17722.30078125</v>
      </c>
      <c r="G753" s="88">
        <f t="shared" si="23"/>
        <v>5.574768321964148E-3</v>
      </c>
    </row>
    <row r="754" spans="1:7" ht="14.25" customHeight="1" x14ac:dyDescent="0.35">
      <c r="A754" s="85">
        <v>45028</v>
      </c>
      <c r="B754">
        <v>939.62</v>
      </c>
      <c r="C754">
        <f t="shared" si="22"/>
        <v>-1.1904010768292478E-2</v>
      </c>
      <c r="E754" s="86">
        <v>45028</v>
      </c>
      <c r="F754" s="87">
        <v>17812.400390625</v>
      </c>
      <c r="G754" s="88">
        <f t="shared" si="23"/>
        <v>5.0839679614468796E-3</v>
      </c>
    </row>
    <row r="755" spans="1:7" ht="14.25" customHeight="1" x14ac:dyDescent="0.35">
      <c r="A755" s="85">
        <v>45029</v>
      </c>
      <c r="B755">
        <v>940.83</v>
      </c>
      <c r="C755">
        <f t="shared" si="22"/>
        <v>1.2877546242098257E-3</v>
      </c>
      <c r="E755" s="86">
        <v>45029</v>
      </c>
      <c r="F755" s="87">
        <v>17828</v>
      </c>
      <c r="G755" s="88">
        <f t="shared" si="23"/>
        <v>8.7577244127132723E-4</v>
      </c>
    </row>
    <row r="756" spans="1:7" ht="14.25" customHeight="1" x14ac:dyDescent="0.35">
      <c r="A756" s="85">
        <v>45033</v>
      </c>
      <c r="B756">
        <v>978.48</v>
      </c>
      <c r="C756">
        <f t="shared" si="22"/>
        <v>4.0017856573451076E-2</v>
      </c>
      <c r="E756" s="86">
        <v>45033</v>
      </c>
      <c r="F756" s="87">
        <v>17706.849609375</v>
      </c>
      <c r="G756" s="88">
        <f t="shared" si="23"/>
        <v>-6.7955121508301549E-3</v>
      </c>
    </row>
    <row r="757" spans="1:7" ht="14.25" customHeight="1" x14ac:dyDescent="0.35">
      <c r="A757" s="85">
        <v>45034</v>
      </c>
      <c r="B757">
        <v>998.63</v>
      </c>
      <c r="C757">
        <f t="shared" si="22"/>
        <v>2.0593164908838175E-2</v>
      </c>
      <c r="E757" s="86">
        <v>45034</v>
      </c>
      <c r="F757" s="87">
        <v>17660.150390625</v>
      </c>
      <c r="G757" s="88">
        <f t="shared" si="23"/>
        <v>-2.6373533282439362E-3</v>
      </c>
    </row>
    <row r="758" spans="1:7" ht="14.25" customHeight="1" x14ac:dyDescent="0.35">
      <c r="A758" s="85">
        <v>45035</v>
      </c>
      <c r="B758">
        <v>996.57</v>
      </c>
      <c r="C758">
        <f t="shared" si="22"/>
        <v>-2.0628260717181993E-3</v>
      </c>
      <c r="E758" s="86">
        <v>45035</v>
      </c>
      <c r="F758" s="87">
        <v>17618.75</v>
      </c>
      <c r="G758" s="88">
        <f t="shared" si="23"/>
        <v>-2.3442830162407708E-3</v>
      </c>
    </row>
    <row r="759" spans="1:7" ht="14.25" customHeight="1" x14ac:dyDescent="0.35">
      <c r="A759" s="85">
        <v>45036</v>
      </c>
      <c r="B759">
        <v>989.54</v>
      </c>
      <c r="C759">
        <f t="shared" si="22"/>
        <v>-7.0541958919093347E-3</v>
      </c>
      <c r="E759" s="86">
        <v>45036</v>
      </c>
      <c r="F759" s="87">
        <v>17624.44921875</v>
      </c>
      <c r="G759" s="88">
        <f t="shared" si="23"/>
        <v>3.2347463639588507E-4</v>
      </c>
    </row>
    <row r="760" spans="1:7" ht="14.25" customHeight="1" x14ac:dyDescent="0.35">
      <c r="A760" s="85">
        <v>45037</v>
      </c>
      <c r="B760">
        <v>995.64</v>
      </c>
      <c r="C760">
        <f t="shared" si="22"/>
        <v>6.164480465670941E-3</v>
      </c>
      <c r="E760" s="86">
        <v>45037</v>
      </c>
      <c r="F760" s="87">
        <v>17624.05078125</v>
      </c>
      <c r="G760" s="88">
        <f t="shared" si="23"/>
        <v>-2.2607089450268724E-5</v>
      </c>
    </row>
    <row r="761" spans="1:7" ht="14.25" customHeight="1" x14ac:dyDescent="0.35">
      <c r="A761" s="85">
        <v>45040</v>
      </c>
      <c r="B761">
        <v>1004.99</v>
      </c>
      <c r="C761">
        <f t="shared" si="22"/>
        <v>9.3909445180989336E-3</v>
      </c>
      <c r="E761" s="86">
        <v>45040</v>
      </c>
      <c r="F761" s="87">
        <v>17743.400390625</v>
      </c>
      <c r="G761" s="88">
        <f t="shared" si="23"/>
        <v>6.7719737565653465E-3</v>
      </c>
    </row>
    <row r="762" spans="1:7" ht="14.25" customHeight="1" x14ac:dyDescent="0.35">
      <c r="A762" s="85">
        <v>45041</v>
      </c>
      <c r="B762">
        <v>1003.82</v>
      </c>
      <c r="C762">
        <f t="shared" si="22"/>
        <v>-1.1641906884645211E-3</v>
      </c>
      <c r="E762" s="86">
        <v>45041</v>
      </c>
      <c r="F762" s="87">
        <v>17769.25</v>
      </c>
      <c r="G762" s="88">
        <f t="shared" si="23"/>
        <v>1.4568576938982925E-3</v>
      </c>
    </row>
    <row r="763" spans="1:7" ht="14.25" customHeight="1" x14ac:dyDescent="0.35">
      <c r="A763" s="85">
        <v>45042</v>
      </c>
      <c r="B763">
        <v>1021.36</v>
      </c>
      <c r="C763">
        <f t="shared" si="22"/>
        <v>1.7473252176685026E-2</v>
      </c>
      <c r="E763" s="86">
        <v>45042</v>
      </c>
      <c r="F763" s="87">
        <v>17813.599609375</v>
      </c>
      <c r="G763" s="88">
        <f t="shared" si="23"/>
        <v>2.495862761512163E-3</v>
      </c>
    </row>
    <row r="764" spans="1:7" ht="14.25" customHeight="1" x14ac:dyDescent="0.35">
      <c r="A764" s="85">
        <v>45043</v>
      </c>
      <c r="B764">
        <v>1027.24</v>
      </c>
      <c r="C764">
        <f t="shared" si="22"/>
        <v>5.7570298425628531E-3</v>
      </c>
      <c r="E764" s="86">
        <v>45043</v>
      </c>
      <c r="F764" s="87">
        <v>17915.05078125</v>
      </c>
      <c r="G764" s="88">
        <f t="shared" si="23"/>
        <v>5.6951528101938445E-3</v>
      </c>
    </row>
    <row r="765" spans="1:7" ht="14.25" customHeight="1" x14ac:dyDescent="0.35">
      <c r="A765" s="85">
        <v>45044</v>
      </c>
      <c r="B765">
        <v>1057.07</v>
      </c>
      <c r="C765">
        <f t="shared" si="22"/>
        <v>2.9038978232934783E-2</v>
      </c>
      <c r="E765" s="86">
        <v>45044</v>
      </c>
      <c r="F765" s="87">
        <v>18065</v>
      </c>
      <c r="G765" s="88">
        <f t="shared" si="23"/>
        <v>8.3700136036978338E-3</v>
      </c>
    </row>
    <row r="766" spans="1:7" ht="14.25" customHeight="1" x14ac:dyDescent="0.35">
      <c r="A766" s="85">
        <v>45048</v>
      </c>
      <c r="B766">
        <v>1056.32</v>
      </c>
      <c r="C766">
        <f t="shared" si="22"/>
        <v>-7.0950835800845738E-4</v>
      </c>
      <c r="E766" s="86">
        <v>45048</v>
      </c>
      <c r="F766" s="87">
        <v>18147.650390625</v>
      </c>
      <c r="G766" s="88">
        <f t="shared" si="23"/>
        <v>4.5751669319125379E-3</v>
      </c>
    </row>
    <row r="767" spans="1:7" ht="14.25" customHeight="1" x14ac:dyDescent="0.35">
      <c r="A767" s="85">
        <v>45049</v>
      </c>
      <c r="B767">
        <v>1062.6199999999999</v>
      </c>
      <c r="C767">
        <f t="shared" si="22"/>
        <v>5.9641017873371281E-3</v>
      </c>
      <c r="E767" s="86">
        <v>45049</v>
      </c>
      <c r="F767" s="87">
        <v>18089.849609375</v>
      </c>
      <c r="G767" s="88">
        <f t="shared" si="23"/>
        <v>-3.18502836487635E-3</v>
      </c>
    </row>
    <row r="768" spans="1:7" ht="14.25" customHeight="1" x14ac:dyDescent="0.35">
      <c r="A768" s="85">
        <v>45050</v>
      </c>
      <c r="B768">
        <v>1053.78</v>
      </c>
      <c r="C768">
        <f t="shared" si="22"/>
        <v>-8.319060435527206E-3</v>
      </c>
      <c r="E768" s="86">
        <v>45050</v>
      </c>
      <c r="F768" s="87">
        <v>18255.80078125</v>
      </c>
      <c r="G768" s="88">
        <f t="shared" si="23"/>
        <v>9.173717607303733E-3</v>
      </c>
    </row>
    <row r="769" spans="1:7" ht="14.25" customHeight="1" x14ac:dyDescent="0.35">
      <c r="A769" s="85">
        <v>45051</v>
      </c>
      <c r="B769">
        <v>1069.6300000000001</v>
      </c>
      <c r="C769">
        <f t="shared" si="22"/>
        <v>1.5041090170623979E-2</v>
      </c>
      <c r="E769" s="86">
        <v>45051</v>
      </c>
      <c r="F769" s="87">
        <v>18069</v>
      </c>
      <c r="G769" s="88">
        <f t="shared" si="23"/>
        <v>-1.0232406865540384E-2</v>
      </c>
    </row>
    <row r="770" spans="1:7" ht="14.25" customHeight="1" x14ac:dyDescent="0.35">
      <c r="A770" s="85">
        <v>45054</v>
      </c>
      <c r="B770">
        <v>1067.8499999999999</v>
      </c>
      <c r="C770">
        <f t="shared" si="22"/>
        <v>-1.6641268476016941E-3</v>
      </c>
      <c r="E770" s="86">
        <v>45054</v>
      </c>
      <c r="F770" s="87">
        <v>18264.400390625</v>
      </c>
      <c r="G770" s="88">
        <f t="shared" si="23"/>
        <v>1.0814123118324201E-2</v>
      </c>
    </row>
    <row r="771" spans="1:7" ht="14.25" customHeight="1" x14ac:dyDescent="0.35">
      <c r="A771" s="85">
        <v>45055</v>
      </c>
      <c r="B771">
        <v>1067.27</v>
      </c>
      <c r="C771">
        <f t="shared" si="22"/>
        <v>-5.4314744580224495E-4</v>
      </c>
      <c r="E771" s="86">
        <v>45055</v>
      </c>
      <c r="F771" s="87">
        <v>18265.94921875</v>
      </c>
      <c r="G771" s="88">
        <f t="shared" si="23"/>
        <v>8.4800381719347525E-5</v>
      </c>
    </row>
    <row r="772" spans="1:7" ht="14.25" customHeight="1" x14ac:dyDescent="0.35">
      <c r="A772" s="85">
        <v>45056</v>
      </c>
      <c r="B772">
        <v>1071.0899999999999</v>
      </c>
      <c r="C772">
        <f t="shared" si="22"/>
        <v>3.579225500576177E-3</v>
      </c>
      <c r="E772" s="86">
        <v>45056</v>
      </c>
      <c r="F772" s="87">
        <v>18315.099609375</v>
      </c>
      <c r="G772" s="88">
        <f t="shared" si="23"/>
        <v>2.6908205008337105E-3</v>
      </c>
    </row>
    <row r="773" spans="1:7" ht="14.25" customHeight="1" x14ac:dyDescent="0.35">
      <c r="A773" s="85">
        <v>45057</v>
      </c>
      <c r="B773">
        <v>1069.6199999999999</v>
      </c>
      <c r="C773">
        <f t="shared" ref="C773:C836" si="24">(B773-B772)/B772</f>
        <v>-1.372433689045764E-3</v>
      </c>
      <c r="E773" s="86">
        <v>45057</v>
      </c>
      <c r="F773" s="87">
        <v>18297</v>
      </c>
      <c r="G773" s="88">
        <f t="shared" ref="G773:G836" si="25">(F773-F772)/F772</f>
        <v>-9.8823428542727139E-4</v>
      </c>
    </row>
    <row r="774" spans="1:7" ht="14.25" customHeight="1" x14ac:dyDescent="0.35">
      <c r="A774" s="85">
        <v>45058</v>
      </c>
      <c r="B774">
        <v>1058.6600000000001</v>
      </c>
      <c r="C774">
        <f t="shared" si="24"/>
        <v>-1.0246629644172519E-2</v>
      </c>
      <c r="E774" s="86">
        <v>45058</v>
      </c>
      <c r="F774" s="87">
        <v>18314.80078125</v>
      </c>
      <c r="G774" s="88">
        <f t="shared" si="25"/>
        <v>9.7287977537301195E-4</v>
      </c>
    </row>
    <row r="775" spans="1:7" ht="14.25" customHeight="1" x14ac:dyDescent="0.35">
      <c r="A775" s="85">
        <v>45061</v>
      </c>
      <c r="B775">
        <v>1058.29</v>
      </c>
      <c r="C775">
        <f t="shared" si="24"/>
        <v>-3.4949842253425862E-4</v>
      </c>
      <c r="E775" s="86">
        <v>45061</v>
      </c>
      <c r="F775" s="87">
        <v>18398.849609375</v>
      </c>
      <c r="G775" s="88">
        <f t="shared" si="25"/>
        <v>4.589120522186952E-3</v>
      </c>
    </row>
    <row r="776" spans="1:7" ht="14.25" customHeight="1" x14ac:dyDescent="0.35">
      <c r="A776" s="85">
        <v>45062</v>
      </c>
      <c r="B776">
        <v>1057.99</v>
      </c>
      <c r="C776">
        <f t="shared" si="24"/>
        <v>-2.8347617382754682E-4</v>
      </c>
      <c r="E776" s="86">
        <v>45062</v>
      </c>
      <c r="F776" s="87">
        <v>18286.5</v>
      </c>
      <c r="G776" s="88">
        <f t="shared" si="25"/>
        <v>-6.1063388070606911E-3</v>
      </c>
    </row>
    <row r="777" spans="1:7" ht="14.25" customHeight="1" x14ac:dyDescent="0.35">
      <c r="A777" s="85">
        <v>45063</v>
      </c>
      <c r="B777">
        <v>1055.67</v>
      </c>
      <c r="C777">
        <f t="shared" si="24"/>
        <v>-2.1928373614116736E-3</v>
      </c>
      <c r="E777" s="86">
        <v>45063</v>
      </c>
      <c r="F777" s="87">
        <v>18181.75</v>
      </c>
      <c r="G777" s="88">
        <f t="shared" si="25"/>
        <v>-5.7282694884204198E-3</v>
      </c>
    </row>
    <row r="778" spans="1:7" ht="14.25" customHeight="1" x14ac:dyDescent="0.35">
      <c r="A778" s="85">
        <v>45064</v>
      </c>
      <c r="B778">
        <v>1053.0999999999999</v>
      </c>
      <c r="C778">
        <f t="shared" si="24"/>
        <v>-2.4344728939916485E-3</v>
      </c>
      <c r="E778" s="86">
        <v>45064</v>
      </c>
      <c r="F778" s="87">
        <v>18129.94921875</v>
      </c>
      <c r="G778" s="88">
        <f t="shared" si="25"/>
        <v>-2.8490536527011976E-3</v>
      </c>
    </row>
    <row r="779" spans="1:7" ht="14.25" customHeight="1" x14ac:dyDescent="0.35">
      <c r="A779" s="85">
        <v>45065</v>
      </c>
      <c r="B779">
        <v>1053.6099999999999</v>
      </c>
      <c r="C779">
        <f t="shared" si="24"/>
        <v>4.8428449340042823E-4</v>
      </c>
      <c r="E779" s="86">
        <v>45065</v>
      </c>
      <c r="F779" s="87">
        <v>18203.400390625</v>
      </c>
      <c r="G779" s="88">
        <f t="shared" si="25"/>
        <v>4.051372179191587E-3</v>
      </c>
    </row>
    <row r="780" spans="1:7" ht="14.25" customHeight="1" x14ac:dyDescent="0.35">
      <c r="A780" s="85">
        <v>45068</v>
      </c>
      <c r="B780">
        <v>1044.1199999999999</v>
      </c>
      <c r="C780">
        <f t="shared" si="24"/>
        <v>-9.0071278746405303E-3</v>
      </c>
      <c r="E780" s="86">
        <v>45068</v>
      </c>
      <c r="F780" s="87">
        <v>18314.400390625</v>
      </c>
      <c r="G780" s="88">
        <f t="shared" si="25"/>
        <v>6.0977618257062847E-3</v>
      </c>
    </row>
    <row r="781" spans="1:7" ht="14.25" customHeight="1" x14ac:dyDescent="0.35">
      <c r="A781" s="85">
        <v>45069</v>
      </c>
      <c r="B781">
        <v>1039.7</v>
      </c>
      <c r="C781">
        <f t="shared" si="24"/>
        <v>-4.2332298969465637E-3</v>
      </c>
      <c r="E781" s="86">
        <v>45069</v>
      </c>
      <c r="F781" s="87">
        <v>18348</v>
      </c>
      <c r="G781" s="88">
        <f t="shared" si="25"/>
        <v>1.8346005688616145E-3</v>
      </c>
    </row>
    <row r="782" spans="1:7" ht="14.25" customHeight="1" x14ac:dyDescent="0.35">
      <c r="A782" s="85">
        <v>45070</v>
      </c>
      <c r="B782">
        <v>1038.57</v>
      </c>
      <c r="C782">
        <f t="shared" si="24"/>
        <v>-1.0868519765317968E-3</v>
      </c>
      <c r="E782" s="86">
        <v>45070</v>
      </c>
      <c r="F782" s="87">
        <v>18285.400390625</v>
      </c>
      <c r="G782" s="88">
        <f t="shared" si="25"/>
        <v>-3.4117947119577064E-3</v>
      </c>
    </row>
    <row r="783" spans="1:7" ht="14.25" customHeight="1" x14ac:dyDescent="0.35">
      <c r="A783" s="85">
        <v>45071</v>
      </c>
      <c r="B783">
        <v>1043.1500000000001</v>
      </c>
      <c r="C783">
        <f t="shared" si="24"/>
        <v>4.4099097797935189E-3</v>
      </c>
      <c r="E783" s="86">
        <v>45071</v>
      </c>
      <c r="F783" s="87">
        <v>18321.150390625</v>
      </c>
      <c r="G783" s="88">
        <f t="shared" si="25"/>
        <v>1.955111686716424E-3</v>
      </c>
    </row>
    <row r="784" spans="1:7" ht="14.25" customHeight="1" x14ac:dyDescent="0.35">
      <c r="A784" s="85">
        <v>45072</v>
      </c>
      <c r="B784">
        <v>1048.3399999999999</v>
      </c>
      <c r="C784">
        <f t="shared" si="24"/>
        <v>4.9753151512244896E-3</v>
      </c>
      <c r="E784" s="86">
        <v>45072</v>
      </c>
      <c r="F784" s="87">
        <v>18499.349609375</v>
      </c>
      <c r="G784" s="88">
        <f t="shared" si="25"/>
        <v>9.7264208278747162E-3</v>
      </c>
    </row>
    <row r="785" spans="1:7" ht="14.25" customHeight="1" x14ac:dyDescent="0.35">
      <c r="A785" s="85">
        <v>45075</v>
      </c>
      <c r="B785">
        <v>1055.52</v>
      </c>
      <c r="C785">
        <f t="shared" si="24"/>
        <v>6.8489230593128799E-3</v>
      </c>
      <c r="E785" s="86">
        <v>45075</v>
      </c>
      <c r="F785" s="87">
        <v>18598.650390625</v>
      </c>
      <c r="G785" s="88">
        <f t="shared" si="25"/>
        <v>5.3677985089636282E-3</v>
      </c>
    </row>
    <row r="786" spans="1:7" ht="14.25" customHeight="1" x14ac:dyDescent="0.35">
      <c r="A786" s="85">
        <v>45076</v>
      </c>
      <c r="B786">
        <v>1047.99</v>
      </c>
      <c r="C786">
        <f t="shared" si="24"/>
        <v>-7.1339245111414025E-3</v>
      </c>
      <c r="E786" s="86">
        <v>45076</v>
      </c>
      <c r="F786" s="87">
        <v>18633.849609375</v>
      </c>
      <c r="G786" s="88">
        <f t="shared" si="25"/>
        <v>1.892568439683281E-3</v>
      </c>
    </row>
    <row r="787" spans="1:7" ht="14.25" customHeight="1" x14ac:dyDescent="0.35">
      <c r="A787" s="85">
        <v>45077</v>
      </c>
      <c r="B787">
        <v>1052.78</v>
      </c>
      <c r="C787">
        <f t="shared" si="24"/>
        <v>4.570654300136417E-3</v>
      </c>
      <c r="E787" s="86">
        <v>45077</v>
      </c>
      <c r="F787" s="87">
        <v>18534.400390625</v>
      </c>
      <c r="G787" s="88">
        <f t="shared" si="25"/>
        <v>-5.33701950132545E-3</v>
      </c>
    </row>
    <row r="788" spans="1:7" ht="14.25" customHeight="1" x14ac:dyDescent="0.35">
      <c r="A788" s="85">
        <v>45078</v>
      </c>
      <c r="B788">
        <v>1062.55</v>
      </c>
      <c r="C788">
        <f t="shared" si="24"/>
        <v>9.2801914929994695E-3</v>
      </c>
      <c r="E788" s="86">
        <v>45078</v>
      </c>
      <c r="F788" s="87">
        <v>18487.75</v>
      </c>
      <c r="G788" s="88">
        <f t="shared" si="25"/>
        <v>-2.5169624936232909E-3</v>
      </c>
    </row>
    <row r="789" spans="1:7" ht="14.25" customHeight="1" x14ac:dyDescent="0.35">
      <c r="A789" s="85">
        <v>45079</v>
      </c>
      <c r="B789">
        <v>1070.92</v>
      </c>
      <c r="C789">
        <f t="shared" si="24"/>
        <v>7.877276363465361E-3</v>
      </c>
      <c r="E789" s="86">
        <v>45079</v>
      </c>
      <c r="F789" s="87">
        <v>18534.099609375</v>
      </c>
      <c r="G789" s="88">
        <f t="shared" si="25"/>
        <v>2.5070443604548959E-3</v>
      </c>
    </row>
    <row r="790" spans="1:7" ht="14.25" customHeight="1" x14ac:dyDescent="0.35">
      <c r="A790" s="85">
        <v>45082</v>
      </c>
      <c r="B790">
        <v>1060.5999999999999</v>
      </c>
      <c r="C790">
        <f t="shared" si="24"/>
        <v>-9.6365741605350195E-3</v>
      </c>
      <c r="E790" s="86">
        <v>45082</v>
      </c>
      <c r="F790" s="87">
        <v>18593.849609375</v>
      </c>
      <c r="G790" s="88">
        <f t="shared" si="25"/>
        <v>3.2237875731377309E-3</v>
      </c>
    </row>
    <row r="791" spans="1:7" ht="14.25" customHeight="1" x14ac:dyDescent="0.35">
      <c r="A791" s="85">
        <v>45083</v>
      </c>
      <c r="B791">
        <v>1054.3499999999999</v>
      </c>
      <c r="C791">
        <f t="shared" si="24"/>
        <v>-5.8928908165189519E-3</v>
      </c>
      <c r="E791" s="86">
        <v>45083</v>
      </c>
      <c r="F791" s="87">
        <v>18599</v>
      </c>
      <c r="G791" s="88">
        <f t="shared" si="25"/>
        <v>2.7699431442121478E-4</v>
      </c>
    </row>
    <row r="792" spans="1:7" ht="14.25" customHeight="1" x14ac:dyDescent="0.35">
      <c r="A792" s="85">
        <v>45084</v>
      </c>
      <c r="B792">
        <v>1086.52</v>
      </c>
      <c r="C792">
        <f t="shared" si="24"/>
        <v>3.0511689666619317E-2</v>
      </c>
      <c r="E792" s="86">
        <v>45084</v>
      </c>
      <c r="F792" s="87">
        <v>18726.400390625</v>
      </c>
      <c r="G792" s="88">
        <f t="shared" si="25"/>
        <v>6.8498516385289534E-3</v>
      </c>
    </row>
    <row r="793" spans="1:7" ht="14.25" customHeight="1" x14ac:dyDescent="0.35">
      <c r="A793" s="85">
        <v>45085</v>
      </c>
      <c r="B793">
        <v>1075.8900000000001</v>
      </c>
      <c r="C793">
        <f t="shared" si="24"/>
        <v>-9.7835290652725053E-3</v>
      </c>
      <c r="E793" s="86">
        <v>45085</v>
      </c>
      <c r="F793" s="87">
        <v>18634.55078125</v>
      </c>
      <c r="G793" s="88">
        <f t="shared" si="25"/>
        <v>-4.904819263662796E-3</v>
      </c>
    </row>
    <row r="794" spans="1:7" ht="14.25" customHeight="1" x14ac:dyDescent="0.35">
      <c r="A794" s="85">
        <v>45086</v>
      </c>
      <c r="B794">
        <v>1072.23</v>
      </c>
      <c r="C794">
        <f t="shared" si="24"/>
        <v>-3.4018347600591895E-3</v>
      </c>
      <c r="E794" s="86">
        <v>45086</v>
      </c>
      <c r="F794" s="87">
        <v>18563.400390625</v>
      </c>
      <c r="G794" s="88">
        <f t="shared" si="25"/>
        <v>-3.8181972541345725E-3</v>
      </c>
    </row>
    <row r="795" spans="1:7" ht="14.25" customHeight="1" x14ac:dyDescent="0.35">
      <c r="A795" s="85">
        <v>45089</v>
      </c>
      <c r="B795">
        <v>1082.72</v>
      </c>
      <c r="C795">
        <f t="shared" si="24"/>
        <v>9.7833487218227516E-3</v>
      </c>
      <c r="E795" s="86">
        <v>45089</v>
      </c>
      <c r="F795" s="87">
        <v>18601.5</v>
      </c>
      <c r="G795" s="88">
        <f t="shared" si="25"/>
        <v>2.0524046550351462E-3</v>
      </c>
    </row>
    <row r="796" spans="1:7" ht="14.25" customHeight="1" x14ac:dyDescent="0.35">
      <c r="A796" s="85">
        <v>45090</v>
      </c>
      <c r="B796">
        <v>1092.5899999999999</v>
      </c>
      <c r="C796">
        <f t="shared" si="24"/>
        <v>9.1159302497412914E-3</v>
      </c>
      <c r="E796" s="86">
        <v>45090</v>
      </c>
      <c r="F796" s="87">
        <v>18716.150390625</v>
      </c>
      <c r="G796" s="88">
        <f t="shared" si="25"/>
        <v>6.1635024393194094E-3</v>
      </c>
    </row>
    <row r="797" spans="1:7" ht="14.25" customHeight="1" x14ac:dyDescent="0.35">
      <c r="A797" s="85">
        <v>45091</v>
      </c>
      <c r="B797">
        <v>1104.06</v>
      </c>
      <c r="C797">
        <f t="shared" si="24"/>
        <v>1.0497991012182089E-2</v>
      </c>
      <c r="E797" s="86">
        <v>45091</v>
      </c>
      <c r="F797" s="87">
        <v>18755.900390625</v>
      </c>
      <c r="G797" s="88">
        <f t="shared" si="25"/>
        <v>2.1238341844010264E-3</v>
      </c>
    </row>
    <row r="798" spans="1:7" ht="14.25" customHeight="1" x14ac:dyDescent="0.35">
      <c r="A798" s="85">
        <v>45092</v>
      </c>
      <c r="B798">
        <v>1115.5899999999999</v>
      </c>
      <c r="C798">
        <f t="shared" si="24"/>
        <v>1.0443273010524766E-2</v>
      </c>
      <c r="E798" s="86">
        <v>45092</v>
      </c>
      <c r="F798" s="87">
        <v>18688.099609375</v>
      </c>
      <c r="G798" s="88">
        <f t="shared" si="25"/>
        <v>-3.6149041015322157E-3</v>
      </c>
    </row>
    <row r="799" spans="1:7" ht="14.25" customHeight="1" x14ac:dyDescent="0.35">
      <c r="A799" s="85">
        <v>45093</v>
      </c>
      <c r="B799">
        <v>1115.71</v>
      </c>
      <c r="C799">
        <f t="shared" si="24"/>
        <v>1.0756639984234194E-4</v>
      </c>
      <c r="E799" s="86">
        <v>45093</v>
      </c>
      <c r="F799" s="87">
        <v>18826</v>
      </c>
      <c r="G799" s="88">
        <f t="shared" si="25"/>
        <v>7.3790483520229863E-3</v>
      </c>
    </row>
    <row r="800" spans="1:7" ht="14.25" customHeight="1" x14ac:dyDescent="0.35">
      <c r="A800" s="85">
        <v>45096</v>
      </c>
      <c r="B800">
        <v>1107.27</v>
      </c>
      <c r="C800">
        <f t="shared" si="24"/>
        <v>-7.5646897491284063E-3</v>
      </c>
      <c r="E800" s="86">
        <v>45096</v>
      </c>
      <c r="F800" s="87">
        <v>18755.44921875</v>
      </c>
      <c r="G800" s="88">
        <f t="shared" si="25"/>
        <v>-3.7475183921172844E-3</v>
      </c>
    </row>
    <row r="801" spans="1:7" ht="14.25" customHeight="1" x14ac:dyDescent="0.35">
      <c r="A801" s="85">
        <v>45097</v>
      </c>
      <c r="B801">
        <v>1115.08</v>
      </c>
      <c r="C801">
        <f t="shared" si="24"/>
        <v>7.0533835469216589E-3</v>
      </c>
      <c r="E801" s="86">
        <v>45097</v>
      </c>
      <c r="F801" s="87">
        <v>18816.69921875</v>
      </c>
      <c r="G801" s="88">
        <f t="shared" si="25"/>
        <v>3.2657175674986124E-3</v>
      </c>
    </row>
    <row r="802" spans="1:7" ht="14.25" customHeight="1" x14ac:dyDescent="0.35">
      <c r="A802" s="85">
        <v>45098</v>
      </c>
      <c r="B802">
        <v>1111.97</v>
      </c>
      <c r="C802">
        <f t="shared" si="24"/>
        <v>-2.789037557843294E-3</v>
      </c>
      <c r="E802" s="86">
        <v>45098</v>
      </c>
      <c r="F802" s="87">
        <v>18856.849609375</v>
      </c>
      <c r="G802" s="88">
        <f t="shared" si="25"/>
        <v>2.133763746671995E-3</v>
      </c>
    </row>
    <row r="803" spans="1:7" ht="14.25" customHeight="1" x14ac:dyDescent="0.35">
      <c r="A803" s="85">
        <v>45099</v>
      </c>
      <c r="B803">
        <v>1094.55</v>
      </c>
      <c r="C803">
        <f t="shared" si="24"/>
        <v>-1.5665890266823811E-2</v>
      </c>
      <c r="E803" s="86">
        <v>45099</v>
      </c>
      <c r="F803" s="87">
        <v>18771.25</v>
      </c>
      <c r="G803" s="88">
        <f t="shared" si="25"/>
        <v>-4.5394438174042985E-3</v>
      </c>
    </row>
    <row r="804" spans="1:7" ht="14.25" customHeight="1" x14ac:dyDescent="0.35">
      <c r="A804" s="85">
        <v>45100</v>
      </c>
      <c r="B804">
        <v>1094.74</v>
      </c>
      <c r="C804">
        <f t="shared" si="24"/>
        <v>1.7358731898958895E-4</v>
      </c>
      <c r="E804" s="86">
        <v>45100</v>
      </c>
      <c r="F804" s="87">
        <v>18665.5</v>
      </c>
      <c r="G804" s="88">
        <f t="shared" si="25"/>
        <v>-5.6336152360657917E-3</v>
      </c>
    </row>
    <row r="805" spans="1:7" ht="14.25" customHeight="1" x14ac:dyDescent="0.35">
      <c r="A805" s="85">
        <v>45103</v>
      </c>
      <c r="B805">
        <v>1099.3</v>
      </c>
      <c r="C805">
        <f t="shared" si="24"/>
        <v>4.1653725998866816E-3</v>
      </c>
      <c r="E805" s="86">
        <v>45103</v>
      </c>
      <c r="F805" s="87">
        <v>18691.19921875</v>
      </c>
      <c r="G805" s="88">
        <f t="shared" si="25"/>
        <v>1.3768299134767352E-3</v>
      </c>
    </row>
    <row r="806" spans="1:7" ht="14.25" customHeight="1" x14ac:dyDescent="0.35">
      <c r="A806" s="85">
        <v>45104</v>
      </c>
      <c r="B806">
        <v>1099.6199999999999</v>
      </c>
      <c r="C806">
        <f t="shared" si="24"/>
        <v>2.9109433275715125E-4</v>
      </c>
      <c r="E806" s="86">
        <v>45104</v>
      </c>
      <c r="F806" s="87">
        <v>18817.400390625</v>
      </c>
      <c r="G806" s="88">
        <f t="shared" si="25"/>
        <v>6.7519034171120394E-3</v>
      </c>
    </row>
    <row r="807" spans="1:7" ht="14.25" customHeight="1" x14ac:dyDescent="0.35">
      <c r="A807" s="85">
        <v>45105</v>
      </c>
      <c r="B807">
        <v>1104.81</v>
      </c>
      <c r="C807">
        <f t="shared" si="24"/>
        <v>4.7198122987941789E-3</v>
      </c>
      <c r="E807" s="86">
        <v>45105</v>
      </c>
      <c r="F807" s="87">
        <v>18972.099609375</v>
      </c>
      <c r="G807" s="88">
        <f t="shared" si="25"/>
        <v>8.2210728123249463E-3</v>
      </c>
    </row>
    <row r="808" spans="1:7" ht="14.25" customHeight="1" x14ac:dyDescent="0.35">
      <c r="A808" s="85">
        <v>45107</v>
      </c>
      <c r="B808">
        <v>1112.0999999999999</v>
      </c>
      <c r="C808">
        <f t="shared" si="24"/>
        <v>6.5984196377657373E-3</v>
      </c>
      <c r="E808" s="86">
        <v>45107</v>
      </c>
      <c r="F808" s="87">
        <v>19189.05078125</v>
      </c>
      <c r="G808" s="88">
        <f t="shared" si="25"/>
        <v>1.143527476356883E-2</v>
      </c>
    </row>
    <row r="809" spans="1:7" ht="14.25" customHeight="1" x14ac:dyDescent="0.35">
      <c r="A809" s="85">
        <v>45110</v>
      </c>
      <c r="B809">
        <v>1099.3900000000001</v>
      </c>
      <c r="C809">
        <f t="shared" si="24"/>
        <v>-1.142882834277476E-2</v>
      </c>
      <c r="E809" s="86">
        <v>45110</v>
      </c>
      <c r="F809" s="87">
        <v>19322.55078125</v>
      </c>
      <c r="G809" s="88">
        <f t="shared" si="25"/>
        <v>6.9570924336937751E-3</v>
      </c>
    </row>
    <row r="810" spans="1:7" ht="14.25" customHeight="1" x14ac:dyDescent="0.35">
      <c r="A810" s="85">
        <v>45111</v>
      </c>
      <c r="B810">
        <v>1098.97</v>
      </c>
      <c r="C810">
        <f t="shared" si="24"/>
        <v>-3.8203003483756697E-4</v>
      </c>
      <c r="E810" s="86">
        <v>45111</v>
      </c>
      <c r="F810" s="87">
        <v>19389</v>
      </c>
      <c r="G810" s="88">
        <f t="shared" si="25"/>
        <v>3.4389465191355714E-3</v>
      </c>
    </row>
    <row r="811" spans="1:7" ht="14.25" customHeight="1" x14ac:dyDescent="0.35">
      <c r="A811" s="85">
        <v>45112</v>
      </c>
      <c r="B811">
        <v>1112.3699999999999</v>
      </c>
      <c r="C811">
        <f t="shared" si="24"/>
        <v>1.219323548413502E-2</v>
      </c>
      <c r="E811" s="86">
        <v>45112</v>
      </c>
      <c r="F811" s="87">
        <v>19398.5</v>
      </c>
      <c r="G811" s="88">
        <f t="shared" si="25"/>
        <v>4.8996853886224153E-4</v>
      </c>
    </row>
    <row r="812" spans="1:7" ht="14.25" customHeight="1" x14ac:dyDescent="0.35">
      <c r="A812" s="85">
        <v>45113</v>
      </c>
      <c r="B812">
        <v>1122.07</v>
      </c>
      <c r="C812">
        <f t="shared" si="24"/>
        <v>8.7201201039222975E-3</v>
      </c>
      <c r="E812" s="86">
        <v>45113</v>
      </c>
      <c r="F812" s="87">
        <v>19497.30078125</v>
      </c>
      <c r="G812" s="88">
        <f t="shared" si="25"/>
        <v>5.0932175812562824E-3</v>
      </c>
    </row>
    <row r="813" spans="1:7" ht="14.25" customHeight="1" x14ac:dyDescent="0.35">
      <c r="A813" s="85">
        <v>45114</v>
      </c>
      <c r="B813">
        <v>1112.68</v>
      </c>
      <c r="C813">
        <f t="shared" si="24"/>
        <v>-8.3684618606681156E-3</v>
      </c>
      <c r="E813" s="86">
        <v>45114</v>
      </c>
      <c r="F813" s="87">
        <v>19331.80078125</v>
      </c>
      <c r="G813" s="88">
        <f t="shared" si="25"/>
        <v>-8.4883544577184066E-3</v>
      </c>
    </row>
    <row r="814" spans="1:7" ht="14.25" customHeight="1" x14ac:dyDescent="0.35">
      <c r="A814" s="85">
        <v>45117</v>
      </c>
      <c r="B814">
        <v>1096.8499999999999</v>
      </c>
      <c r="C814">
        <f t="shared" si="24"/>
        <v>-1.4226911600819781E-2</v>
      </c>
      <c r="E814" s="86">
        <v>45117</v>
      </c>
      <c r="F814" s="87">
        <v>19355.900390625</v>
      </c>
      <c r="G814" s="88">
        <f t="shared" si="25"/>
        <v>1.2466303397029789E-3</v>
      </c>
    </row>
    <row r="815" spans="1:7" ht="14.25" customHeight="1" x14ac:dyDescent="0.35">
      <c r="A815" s="85">
        <v>45118</v>
      </c>
      <c r="B815">
        <v>1110.06</v>
      </c>
      <c r="C815">
        <f t="shared" si="24"/>
        <v>1.2043579340839711E-2</v>
      </c>
      <c r="E815" s="86">
        <v>45118</v>
      </c>
      <c r="F815" s="87">
        <v>19439.400390625</v>
      </c>
      <c r="G815" s="88">
        <f t="shared" si="25"/>
        <v>4.3139300324382271E-3</v>
      </c>
    </row>
    <row r="816" spans="1:7" ht="14.25" customHeight="1" x14ac:dyDescent="0.35">
      <c r="A816" s="85">
        <v>45119</v>
      </c>
      <c r="B816">
        <v>1120.1500000000001</v>
      </c>
      <c r="C816">
        <f t="shared" si="24"/>
        <v>9.0895987604274961E-3</v>
      </c>
      <c r="E816" s="86">
        <v>45119</v>
      </c>
      <c r="F816" s="87">
        <v>19384.30078125</v>
      </c>
      <c r="G816" s="88">
        <f t="shared" si="25"/>
        <v>-2.8344294714755078E-3</v>
      </c>
    </row>
    <row r="817" spans="1:7" ht="14.25" customHeight="1" x14ac:dyDescent="0.35">
      <c r="A817" s="85">
        <v>45120</v>
      </c>
      <c r="B817">
        <v>1108.53</v>
      </c>
      <c r="C817">
        <f t="shared" si="24"/>
        <v>-1.0373610677141558E-2</v>
      </c>
      <c r="E817" s="86">
        <v>45120</v>
      </c>
      <c r="F817" s="87">
        <v>19413.75</v>
      </c>
      <c r="G817" s="88">
        <f t="shared" si="25"/>
        <v>1.5192303855749891E-3</v>
      </c>
    </row>
    <row r="818" spans="1:7" ht="14.25" customHeight="1" x14ac:dyDescent="0.35">
      <c r="A818" s="85">
        <v>45121</v>
      </c>
      <c r="B818">
        <v>1123.94</v>
      </c>
      <c r="C818">
        <f t="shared" si="24"/>
        <v>1.3901292702949024E-2</v>
      </c>
      <c r="E818" s="86">
        <v>45121</v>
      </c>
      <c r="F818" s="87">
        <v>19564.5</v>
      </c>
      <c r="G818" s="88">
        <f t="shared" si="25"/>
        <v>7.7651149314274673E-3</v>
      </c>
    </row>
    <row r="819" spans="1:7" ht="14.25" customHeight="1" x14ac:dyDescent="0.35">
      <c r="A819" s="85">
        <v>45124</v>
      </c>
      <c r="B819">
        <v>1120.67</v>
      </c>
      <c r="C819">
        <f t="shared" si="24"/>
        <v>-2.9094079755146909E-3</v>
      </c>
      <c r="E819" s="86">
        <v>45124</v>
      </c>
      <c r="F819" s="87">
        <v>19711.44921875</v>
      </c>
      <c r="G819" s="88">
        <f t="shared" si="25"/>
        <v>7.5110132510414268E-3</v>
      </c>
    </row>
    <row r="820" spans="1:7" ht="14.25" customHeight="1" x14ac:dyDescent="0.35">
      <c r="A820" s="85">
        <v>45125</v>
      </c>
      <c r="B820">
        <v>1116.1300000000001</v>
      </c>
      <c r="C820">
        <f t="shared" si="24"/>
        <v>-4.0511479739798184E-3</v>
      </c>
      <c r="E820" s="86">
        <v>45125</v>
      </c>
      <c r="F820" s="87">
        <v>19749.25</v>
      </c>
      <c r="G820" s="88">
        <f t="shared" si="25"/>
        <v>1.917706853032551E-3</v>
      </c>
    </row>
    <row r="821" spans="1:7" ht="14.25" customHeight="1" x14ac:dyDescent="0.35">
      <c r="A821" s="85">
        <v>45126</v>
      </c>
      <c r="B821">
        <v>1114.3699999999999</v>
      </c>
      <c r="C821">
        <f t="shared" si="24"/>
        <v>-1.5768772454823525E-3</v>
      </c>
      <c r="E821" s="86">
        <v>45126</v>
      </c>
      <c r="F821" s="87">
        <v>19833.150390625</v>
      </c>
      <c r="G821" s="88">
        <f t="shared" si="25"/>
        <v>4.248282371482461E-3</v>
      </c>
    </row>
    <row r="822" spans="1:7" ht="14.25" customHeight="1" x14ac:dyDescent="0.35">
      <c r="A822" s="85">
        <v>45127</v>
      </c>
      <c r="B822">
        <v>1117.6199999999999</v>
      </c>
      <c r="C822">
        <f t="shared" si="24"/>
        <v>2.9164460636951824E-3</v>
      </c>
      <c r="E822" s="86">
        <v>45127</v>
      </c>
      <c r="F822" s="87">
        <v>19979.150390625</v>
      </c>
      <c r="G822" s="88">
        <f t="shared" si="25"/>
        <v>7.3614124394989332E-3</v>
      </c>
    </row>
    <row r="823" spans="1:7" ht="14.25" customHeight="1" x14ac:dyDescent="0.35">
      <c r="A823" s="85">
        <v>45128</v>
      </c>
      <c r="B823">
        <v>1116.3900000000001</v>
      </c>
      <c r="C823">
        <f t="shared" si="24"/>
        <v>-1.1005529607557049E-3</v>
      </c>
      <c r="E823" s="86">
        <v>45128</v>
      </c>
      <c r="F823" s="87">
        <v>19745</v>
      </c>
      <c r="G823" s="88">
        <f t="shared" si="25"/>
        <v>-1.1719737128305142E-2</v>
      </c>
    </row>
    <row r="824" spans="1:7" ht="14.25" customHeight="1" x14ac:dyDescent="0.35">
      <c r="A824" s="85">
        <v>45131</v>
      </c>
      <c r="B824">
        <v>1108.5</v>
      </c>
      <c r="C824">
        <f t="shared" si="24"/>
        <v>-7.0674226748717733E-3</v>
      </c>
      <c r="E824" s="86">
        <v>45131</v>
      </c>
      <c r="F824" s="87">
        <v>19672.349609375</v>
      </c>
      <c r="G824" s="88">
        <f t="shared" si="25"/>
        <v>-3.6794322929855658E-3</v>
      </c>
    </row>
    <row r="825" spans="1:7" ht="14.25" customHeight="1" x14ac:dyDescent="0.35">
      <c r="A825" s="85">
        <v>45132</v>
      </c>
      <c r="B825">
        <v>1106.2</v>
      </c>
      <c r="C825">
        <f t="shared" si="24"/>
        <v>-2.0748759585024396E-3</v>
      </c>
      <c r="E825" s="86">
        <v>45132</v>
      </c>
      <c r="F825" s="87">
        <v>19680.599609375</v>
      </c>
      <c r="G825" s="88">
        <f t="shared" si="25"/>
        <v>4.193703428322768E-4</v>
      </c>
    </row>
    <row r="826" spans="1:7" ht="14.25" customHeight="1" x14ac:dyDescent="0.35">
      <c r="A826" s="85">
        <v>45133</v>
      </c>
      <c r="B826">
        <v>1107.52</v>
      </c>
      <c r="C826">
        <f t="shared" si="24"/>
        <v>1.1932742722834354E-3</v>
      </c>
      <c r="E826" s="86">
        <v>45133</v>
      </c>
      <c r="F826" s="87">
        <v>19778.30078125</v>
      </c>
      <c r="G826" s="88">
        <f t="shared" si="25"/>
        <v>4.9643391875346787E-3</v>
      </c>
    </row>
    <row r="827" spans="1:7" ht="14.25" customHeight="1" x14ac:dyDescent="0.35">
      <c r="A827" s="85">
        <v>45134</v>
      </c>
      <c r="B827">
        <v>1084.46</v>
      </c>
      <c r="C827">
        <f t="shared" si="24"/>
        <v>-2.0821294423576952E-2</v>
      </c>
      <c r="E827" s="86">
        <v>45134</v>
      </c>
      <c r="F827" s="87">
        <v>19659.900390625</v>
      </c>
      <c r="G827" s="88">
        <f t="shared" si="25"/>
        <v>-5.9863783008722669E-3</v>
      </c>
    </row>
    <row r="828" spans="1:7" ht="14.25" customHeight="1" x14ac:dyDescent="0.35">
      <c r="A828" s="85">
        <v>45135</v>
      </c>
      <c r="B828">
        <v>1092.02</v>
      </c>
      <c r="C828">
        <f t="shared" si="24"/>
        <v>6.9712114785238227E-3</v>
      </c>
      <c r="E828" s="86">
        <v>45135</v>
      </c>
      <c r="F828" s="87">
        <v>19646.05078125</v>
      </c>
      <c r="G828" s="88">
        <f t="shared" si="25"/>
        <v>-7.0445979378432207E-4</v>
      </c>
    </row>
    <row r="829" spans="1:7" ht="14.25" customHeight="1" x14ac:dyDescent="0.35">
      <c r="A829" s="85">
        <v>45138</v>
      </c>
      <c r="B829">
        <v>1095.54</v>
      </c>
      <c r="C829">
        <f t="shared" si="24"/>
        <v>3.2233841871027835E-3</v>
      </c>
      <c r="E829" s="86">
        <v>45138</v>
      </c>
      <c r="F829" s="87">
        <v>19753.80078125</v>
      </c>
      <c r="G829" s="88">
        <f t="shared" si="25"/>
        <v>5.4845628365592716E-3</v>
      </c>
    </row>
    <row r="830" spans="1:7" ht="14.25" customHeight="1" x14ac:dyDescent="0.35">
      <c r="A830" s="85">
        <v>45139</v>
      </c>
      <c r="B830">
        <v>1097.5</v>
      </c>
      <c r="C830">
        <f t="shared" si="24"/>
        <v>1.7890720557898721E-3</v>
      </c>
      <c r="E830" s="86">
        <v>45139</v>
      </c>
      <c r="F830" s="87">
        <v>19733.55078125</v>
      </c>
      <c r="G830" s="88">
        <f t="shared" si="25"/>
        <v>-1.0251191770254656E-3</v>
      </c>
    </row>
    <row r="831" spans="1:7" ht="14.25" customHeight="1" x14ac:dyDescent="0.35">
      <c r="A831" s="85">
        <v>45140</v>
      </c>
      <c r="B831">
        <v>1111.52</v>
      </c>
      <c r="C831">
        <f t="shared" si="24"/>
        <v>1.2774487471526179E-2</v>
      </c>
      <c r="E831" s="86">
        <v>45140</v>
      </c>
      <c r="F831" s="87">
        <v>19526.55078125</v>
      </c>
      <c r="G831" s="88">
        <f t="shared" si="25"/>
        <v>-1.0489749274959822E-2</v>
      </c>
    </row>
    <row r="832" spans="1:7" ht="14.25" customHeight="1" x14ac:dyDescent="0.35">
      <c r="A832" s="85">
        <v>45141</v>
      </c>
      <c r="B832">
        <v>1091.77</v>
      </c>
      <c r="C832">
        <f t="shared" si="24"/>
        <v>-1.7768461206276089E-2</v>
      </c>
      <c r="E832" s="86">
        <v>45141</v>
      </c>
      <c r="F832" s="87">
        <v>19381.650390625</v>
      </c>
      <c r="G832" s="88">
        <f t="shared" si="25"/>
        <v>-7.4206854169113091E-3</v>
      </c>
    </row>
    <row r="833" spans="1:7" ht="14.25" customHeight="1" x14ac:dyDescent="0.35">
      <c r="A833" s="85">
        <v>45142</v>
      </c>
      <c r="B833">
        <v>1090.74</v>
      </c>
      <c r="C833">
        <f t="shared" si="24"/>
        <v>-9.434221493537766E-4</v>
      </c>
      <c r="E833" s="86">
        <v>45142</v>
      </c>
      <c r="F833" s="87">
        <v>19517</v>
      </c>
      <c r="G833" s="88">
        <f t="shared" si="25"/>
        <v>6.9833892701144417E-3</v>
      </c>
    </row>
    <row r="834" spans="1:7" ht="14.25" customHeight="1" x14ac:dyDescent="0.35">
      <c r="A834" s="85">
        <v>45145</v>
      </c>
      <c r="B834">
        <v>1090.97</v>
      </c>
      <c r="C834">
        <f t="shared" si="24"/>
        <v>2.1086601756607274E-4</v>
      </c>
      <c r="E834" s="86">
        <v>45145</v>
      </c>
      <c r="F834" s="87">
        <v>19597.30078125</v>
      </c>
      <c r="G834" s="88">
        <f t="shared" si="25"/>
        <v>4.1144018676026028E-3</v>
      </c>
    </row>
    <row r="835" spans="1:7" ht="14.25" customHeight="1" x14ac:dyDescent="0.35">
      <c r="A835" s="85">
        <v>45146</v>
      </c>
      <c r="B835">
        <v>1079.8</v>
      </c>
      <c r="C835">
        <f t="shared" si="24"/>
        <v>-1.0238595011778576E-2</v>
      </c>
      <c r="E835" s="86">
        <v>45146</v>
      </c>
      <c r="F835" s="87">
        <v>19570.849609375</v>
      </c>
      <c r="G835" s="88">
        <f t="shared" si="25"/>
        <v>-1.349735464605796E-3</v>
      </c>
    </row>
    <row r="836" spans="1:7" ht="14.25" customHeight="1" x14ac:dyDescent="0.35">
      <c r="A836" s="85">
        <v>45147</v>
      </c>
      <c r="B836">
        <v>1079.27</v>
      </c>
      <c r="C836">
        <f t="shared" si="24"/>
        <v>-4.9083163548802814E-4</v>
      </c>
      <c r="E836" s="86">
        <v>45147</v>
      </c>
      <c r="F836" s="87">
        <v>19632.55078125</v>
      </c>
      <c r="G836" s="88">
        <f t="shared" si="25"/>
        <v>3.1527078847636415E-3</v>
      </c>
    </row>
    <row r="837" spans="1:7" ht="14.25" customHeight="1" x14ac:dyDescent="0.35">
      <c r="A837" s="85">
        <v>45148</v>
      </c>
      <c r="B837">
        <v>1068.1600000000001</v>
      </c>
      <c r="C837">
        <f t="shared" ref="C837:C900" si="26">(B837-B836)/B836</f>
        <v>-1.0293995015149037E-2</v>
      </c>
      <c r="E837" s="86">
        <v>45148</v>
      </c>
      <c r="F837" s="87">
        <v>19543.099609375</v>
      </c>
      <c r="G837" s="88">
        <f t="shared" ref="G837:G900" si="27">(F837-F836)/F836</f>
        <v>-4.5562684580156563E-3</v>
      </c>
    </row>
    <row r="838" spans="1:7" ht="14.25" customHeight="1" x14ac:dyDescent="0.35">
      <c r="A838" s="85">
        <v>45149</v>
      </c>
      <c r="B838">
        <v>1061.01</v>
      </c>
      <c r="C838">
        <f t="shared" si="26"/>
        <v>-6.6937537447574243E-3</v>
      </c>
      <c r="E838" s="86">
        <v>45149</v>
      </c>
      <c r="F838" s="87">
        <v>19428.30078125</v>
      </c>
      <c r="G838" s="88">
        <f t="shared" si="27"/>
        <v>-5.8741361615907628E-3</v>
      </c>
    </row>
    <row r="839" spans="1:7" ht="14.25" customHeight="1" x14ac:dyDescent="0.35">
      <c r="A839" s="85">
        <v>45152</v>
      </c>
      <c r="B839">
        <v>1063.78</v>
      </c>
      <c r="C839">
        <f t="shared" si="26"/>
        <v>2.6107199743640322E-3</v>
      </c>
      <c r="E839" s="86">
        <v>45152</v>
      </c>
      <c r="F839" s="87">
        <v>19434.55078125</v>
      </c>
      <c r="G839" s="88">
        <f t="shared" si="27"/>
        <v>3.2169565781232879E-4</v>
      </c>
    </row>
    <row r="840" spans="1:7" ht="14.25" customHeight="1" x14ac:dyDescent="0.35">
      <c r="A840" s="85">
        <v>45154</v>
      </c>
      <c r="B840">
        <v>1066.1300000000001</v>
      </c>
      <c r="C840">
        <f t="shared" si="26"/>
        <v>2.2091033860385948E-3</v>
      </c>
      <c r="E840" s="86">
        <v>45154</v>
      </c>
      <c r="F840" s="87">
        <v>19465</v>
      </c>
      <c r="G840" s="88">
        <f t="shared" si="27"/>
        <v>1.5667570139761961E-3</v>
      </c>
    </row>
    <row r="841" spans="1:7" ht="14.25" customHeight="1" x14ac:dyDescent="0.35">
      <c r="A841" s="85">
        <v>45155</v>
      </c>
      <c r="B841">
        <v>1052.51</v>
      </c>
      <c r="C841">
        <f t="shared" si="26"/>
        <v>-1.2775177511185424E-2</v>
      </c>
      <c r="E841" s="86">
        <v>45155</v>
      </c>
      <c r="F841" s="87">
        <v>19365.25</v>
      </c>
      <c r="G841" s="88">
        <f t="shared" si="27"/>
        <v>-5.124582584125353E-3</v>
      </c>
    </row>
    <row r="842" spans="1:7" ht="14.25" customHeight="1" x14ac:dyDescent="0.35">
      <c r="A842" s="85">
        <v>45156</v>
      </c>
      <c r="B842">
        <v>1060.4000000000001</v>
      </c>
      <c r="C842">
        <f t="shared" si="26"/>
        <v>7.4963658302534897E-3</v>
      </c>
      <c r="E842" s="86">
        <v>45156</v>
      </c>
      <c r="F842" s="87">
        <v>19310.150390625</v>
      </c>
      <c r="G842" s="88">
        <f t="shared" si="27"/>
        <v>-2.8452826260957128E-3</v>
      </c>
    </row>
    <row r="843" spans="1:7" ht="14.25" customHeight="1" x14ac:dyDescent="0.35">
      <c r="A843" s="85">
        <v>45159</v>
      </c>
      <c r="B843">
        <v>1070.33</v>
      </c>
      <c r="C843">
        <f t="shared" si="26"/>
        <v>9.3643907959259105E-3</v>
      </c>
      <c r="E843" s="86">
        <v>45159</v>
      </c>
      <c r="F843" s="87">
        <v>19393.599609375</v>
      </c>
      <c r="G843" s="88">
        <f t="shared" si="27"/>
        <v>4.3215209131936255E-3</v>
      </c>
    </row>
    <row r="844" spans="1:7" ht="14.25" customHeight="1" x14ac:dyDescent="0.35">
      <c r="A844" s="85">
        <v>45160</v>
      </c>
      <c r="B844">
        <v>1069.92</v>
      </c>
      <c r="C844">
        <f t="shared" si="26"/>
        <v>-3.8305943026903339E-4</v>
      </c>
      <c r="E844" s="86">
        <v>45160</v>
      </c>
      <c r="F844" s="87">
        <v>19396.44921875</v>
      </c>
      <c r="G844" s="88">
        <f t="shared" si="27"/>
        <v>1.4693555773021523E-4</v>
      </c>
    </row>
    <row r="845" spans="1:7" ht="14.25" customHeight="1" x14ac:dyDescent="0.35">
      <c r="A845" s="85">
        <v>45161</v>
      </c>
      <c r="B845">
        <v>1077.56</v>
      </c>
      <c r="C845">
        <f t="shared" si="26"/>
        <v>7.1407208015551371E-3</v>
      </c>
      <c r="E845" s="86">
        <v>45161</v>
      </c>
      <c r="F845" s="87">
        <v>19444</v>
      </c>
      <c r="G845" s="88">
        <f t="shared" si="27"/>
        <v>2.4515199000461384E-3</v>
      </c>
    </row>
    <row r="846" spans="1:7" ht="14.25" customHeight="1" x14ac:dyDescent="0.35">
      <c r="A846" s="85">
        <v>45162</v>
      </c>
      <c r="B846">
        <v>1080.56</v>
      </c>
      <c r="C846">
        <f t="shared" si="26"/>
        <v>2.7840677085266717E-3</v>
      </c>
      <c r="E846" s="86">
        <v>45162</v>
      </c>
      <c r="F846" s="87">
        <v>19386.69921875</v>
      </c>
      <c r="G846" s="88">
        <f t="shared" si="27"/>
        <v>-2.9469646806212714E-3</v>
      </c>
    </row>
    <row r="847" spans="1:7" ht="14.25" customHeight="1" x14ac:dyDescent="0.35">
      <c r="A847" s="85">
        <v>45163</v>
      </c>
      <c r="B847">
        <v>1077.82</v>
      </c>
      <c r="C847">
        <f t="shared" si="26"/>
        <v>-2.5357222181091373E-3</v>
      </c>
      <c r="E847" s="86">
        <v>45163</v>
      </c>
      <c r="F847" s="87">
        <v>19265.80078125</v>
      </c>
      <c r="G847" s="88">
        <f t="shared" si="27"/>
        <v>-6.2361537740819812E-3</v>
      </c>
    </row>
    <row r="848" spans="1:7" ht="14.25" customHeight="1" x14ac:dyDescent="0.35">
      <c r="A848" s="85">
        <v>45166</v>
      </c>
      <c r="B848">
        <v>1070.33</v>
      </c>
      <c r="C848">
        <f t="shared" si="26"/>
        <v>-6.9492122988996392E-3</v>
      </c>
      <c r="E848" s="86">
        <v>45166</v>
      </c>
      <c r="F848" s="87">
        <v>19306.05078125</v>
      </c>
      <c r="G848" s="88">
        <f t="shared" si="27"/>
        <v>2.089194238900902E-3</v>
      </c>
    </row>
    <row r="849" spans="1:7" ht="14.25" customHeight="1" x14ac:dyDescent="0.35">
      <c r="A849" s="85">
        <v>45167</v>
      </c>
      <c r="B849">
        <v>1071.72</v>
      </c>
      <c r="C849">
        <f t="shared" si="26"/>
        <v>1.2986648977419116E-3</v>
      </c>
      <c r="E849" s="86">
        <v>45167</v>
      </c>
      <c r="F849" s="87">
        <v>19342.650390625</v>
      </c>
      <c r="G849" s="88">
        <f t="shared" si="27"/>
        <v>1.8957584743610782E-3</v>
      </c>
    </row>
    <row r="850" spans="1:7" ht="14.25" customHeight="1" x14ac:dyDescent="0.35">
      <c r="A850" s="85">
        <v>45168</v>
      </c>
      <c r="B850">
        <v>1078.3</v>
      </c>
      <c r="C850">
        <f t="shared" si="26"/>
        <v>6.1396633449034514E-3</v>
      </c>
      <c r="E850" s="86">
        <v>45168</v>
      </c>
      <c r="F850" s="87">
        <v>19347.44921875</v>
      </c>
      <c r="G850" s="88">
        <f t="shared" si="27"/>
        <v>2.4809568637635602E-4</v>
      </c>
    </row>
    <row r="851" spans="1:7" ht="14.25" customHeight="1" x14ac:dyDescent="0.35">
      <c r="A851" s="85">
        <v>45169</v>
      </c>
      <c r="B851">
        <v>1068</v>
      </c>
      <c r="C851">
        <f t="shared" si="26"/>
        <v>-9.5520727070388164E-3</v>
      </c>
      <c r="E851" s="86">
        <v>45169</v>
      </c>
      <c r="F851" s="87">
        <v>19253.80078125</v>
      </c>
      <c r="G851" s="88">
        <f t="shared" si="27"/>
        <v>-4.8403506033882458E-3</v>
      </c>
    </row>
    <row r="852" spans="1:7" ht="14.25" customHeight="1" x14ac:dyDescent="0.35">
      <c r="A852" s="85">
        <v>45170</v>
      </c>
      <c r="B852">
        <v>1064.56</v>
      </c>
      <c r="C852">
        <f t="shared" si="26"/>
        <v>-3.2209737827715865E-3</v>
      </c>
      <c r="E852" s="86">
        <v>45170</v>
      </c>
      <c r="F852" s="87">
        <v>19435.30078125</v>
      </c>
      <c r="G852" s="88">
        <f t="shared" si="27"/>
        <v>9.4267101889176502E-3</v>
      </c>
    </row>
    <row r="853" spans="1:7" ht="14.25" customHeight="1" x14ac:dyDescent="0.35">
      <c r="A853" s="85">
        <v>45173</v>
      </c>
      <c r="B853">
        <v>1055.94</v>
      </c>
      <c r="C853">
        <f t="shared" si="26"/>
        <v>-8.0972420530546815E-3</v>
      </c>
      <c r="E853" s="86">
        <v>45173</v>
      </c>
      <c r="F853" s="87">
        <v>19528.80078125</v>
      </c>
      <c r="G853" s="88">
        <f t="shared" si="27"/>
        <v>4.8108337016426897E-3</v>
      </c>
    </row>
    <row r="854" spans="1:7" ht="14.25" customHeight="1" x14ac:dyDescent="0.35">
      <c r="A854" s="85">
        <v>45174</v>
      </c>
      <c r="B854">
        <v>1066.45</v>
      </c>
      <c r="C854">
        <f t="shared" si="26"/>
        <v>9.9532170388468948E-3</v>
      </c>
      <c r="E854" s="86">
        <v>45174</v>
      </c>
      <c r="F854" s="87">
        <v>19574.900390625</v>
      </c>
      <c r="G854" s="88">
        <f t="shared" si="27"/>
        <v>2.3605960187407502E-3</v>
      </c>
    </row>
    <row r="855" spans="1:7" ht="14.25" customHeight="1" x14ac:dyDescent="0.35">
      <c r="A855" s="85">
        <v>45175</v>
      </c>
      <c r="B855">
        <v>1068.8599999999999</v>
      </c>
      <c r="C855">
        <f t="shared" si="26"/>
        <v>2.2598340287869607E-3</v>
      </c>
      <c r="E855" s="86">
        <v>45175</v>
      </c>
      <c r="F855" s="87">
        <v>19611.05078125</v>
      </c>
      <c r="G855" s="88">
        <f t="shared" si="27"/>
        <v>1.8467726478094107E-3</v>
      </c>
    </row>
    <row r="856" spans="1:7" ht="14.25" customHeight="1" x14ac:dyDescent="0.35">
      <c r="A856" s="85">
        <v>45176</v>
      </c>
      <c r="B856">
        <v>1063.6199999999999</v>
      </c>
      <c r="C856">
        <f t="shared" si="26"/>
        <v>-4.9024194001085356E-3</v>
      </c>
      <c r="E856" s="86">
        <v>45176</v>
      </c>
      <c r="F856" s="87">
        <v>19727.05078125</v>
      </c>
      <c r="G856" s="88">
        <f t="shared" si="27"/>
        <v>5.9150323607803238E-3</v>
      </c>
    </row>
    <row r="857" spans="1:7" ht="14.25" customHeight="1" x14ac:dyDescent="0.35">
      <c r="A857" s="85">
        <v>45177</v>
      </c>
      <c r="B857">
        <v>1062.99</v>
      </c>
      <c r="C857">
        <f t="shared" si="26"/>
        <v>-5.9231680487381003E-4</v>
      </c>
      <c r="E857" s="86">
        <v>45177</v>
      </c>
      <c r="F857" s="87">
        <v>19819.94921875</v>
      </c>
      <c r="G857" s="88">
        <f t="shared" si="27"/>
        <v>4.7091903665750848E-3</v>
      </c>
    </row>
    <row r="858" spans="1:7" ht="14.25" customHeight="1" x14ac:dyDescent="0.35">
      <c r="A858" s="85">
        <v>45180</v>
      </c>
      <c r="B858">
        <v>1074.83</v>
      </c>
      <c r="C858">
        <f t="shared" si="26"/>
        <v>1.1138392647155588E-2</v>
      </c>
      <c r="E858" s="86">
        <v>45180</v>
      </c>
      <c r="F858" s="87">
        <v>19996.349609375</v>
      </c>
      <c r="G858" s="88">
        <f t="shared" si="27"/>
        <v>8.9001434200508597E-3</v>
      </c>
    </row>
    <row r="859" spans="1:7" ht="14.25" customHeight="1" x14ac:dyDescent="0.35">
      <c r="A859" s="85">
        <v>45181</v>
      </c>
      <c r="B859">
        <v>1084.0999999999999</v>
      </c>
      <c r="C859">
        <f t="shared" si="26"/>
        <v>8.6246197073025343E-3</v>
      </c>
      <c r="E859" s="86">
        <v>45181</v>
      </c>
      <c r="F859" s="87">
        <v>19993.19921875</v>
      </c>
      <c r="G859" s="88">
        <f t="shared" si="27"/>
        <v>-1.5754828688947231E-4</v>
      </c>
    </row>
    <row r="860" spans="1:7" ht="14.25" customHeight="1" x14ac:dyDescent="0.35">
      <c r="A860" s="85">
        <v>45182</v>
      </c>
      <c r="B860">
        <v>1077.3900000000001</v>
      </c>
      <c r="C860">
        <f t="shared" si="26"/>
        <v>-6.189465916428198E-3</v>
      </c>
      <c r="E860" s="86">
        <v>45182</v>
      </c>
      <c r="F860" s="87">
        <v>20070</v>
      </c>
      <c r="G860" s="88">
        <f t="shared" si="27"/>
        <v>3.8413452699443307E-3</v>
      </c>
    </row>
    <row r="861" spans="1:7" ht="14.25" customHeight="1" x14ac:dyDescent="0.35">
      <c r="A861" s="85">
        <v>45183</v>
      </c>
      <c r="B861">
        <v>1091.8699999999999</v>
      </c>
      <c r="C861">
        <f t="shared" si="26"/>
        <v>1.3439887134649282E-2</v>
      </c>
      <c r="E861" s="86">
        <v>45183</v>
      </c>
      <c r="F861" s="87">
        <v>20103.099609375</v>
      </c>
      <c r="G861" s="88">
        <f t="shared" si="27"/>
        <v>1.6492082399103139E-3</v>
      </c>
    </row>
    <row r="862" spans="1:7" ht="14.25" customHeight="1" x14ac:dyDescent="0.35">
      <c r="A862" s="85">
        <v>45184</v>
      </c>
      <c r="B862">
        <v>1098.8900000000001</v>
      </c>
      <c r="C862">
        <f t="shared" si="26"/>
        <v>6.4293368258127887E-3</v>
      </c>
      <c r="E862" s="86">
        <v>45184</v>
      </c>
      <c r="F862" s="87">
        <v>20192.349609375</v>
      </c>
      <c r="G862" s="88">
        <f t="shared" si="27"/>
        <v>4.439613877174375E-3</v>
      </c>
    </row>
    <row r="863" spans="1:7" ht="14.25" customHeight="1" x14ac:dyDescent="0.35">
      <c r="A863" s="85">
        <v>45187</v>
      </c>
      <c r="B863">
        <v>1108.46</v>
      </c>
      <c r="C863">
        <f t="shared" si="26"/>
        <v>8.7087879587583253E-3</v>
      </c>
      <c r="E863" s="86">
        <v>45187</v>
      </c>
      <c r="F863" s="87">
        <v>20133.30078125</v>
      </c>
      <c r="G863" s="88">
        <f t="shared" si="27"/>
        <v>-2.9243168460982138E-3</v>
      </c>
    </row>
    <row r="864" spans="1:7" ht="14.25" customHeight="1" x14ac:dyDescent="0.35">
      <c r="A864" s="85">
        <v>45189</v>
      </c>
      <c r="B864">
        <v>1101.7</v>
      </c>
      <c r="C864">
        <f t="shared" si="26"/>
        <v>-6.0985511430272548E-3</v>
      </c>
      <c r="E864" s="86">
        <v>45189</v>
      </c>
      <c r="F864" s="87">
        <v>19901.400390625</v>
      </c>
      <c r="G864" s="88">
        <f t="shared" si="27"/>
        <v>-1.1518249945432057E-2</v>
      </c>
    </row>
    <row r="865" spans="1:7" ht="14.25" customHeight="1" x14ac:dyDescent="0.35">
      <c r="A865" s="85">
        <v>45190</v>
      </c>
      <c r="B865">
        <v>1094.58</v>
      </c>
      <c r="C865">
        <f t="shared" si="26"/>
        <v>-6.462739402741325E-3</v>
      </c>
      <c r="E865" s="86">
        <v>45190</v>
      </c>
      <c r="F865" s="87">
        <v>19742.349609375</v>
      </c>
      <c r="G865" s="88">
        <f t="shared" si="27"/>
        <v>-7.9919391664982752E-3</v>
      </c>
    </row>
    <row r="866" spans="1:7" ht="14.25" customHeight="1" x14ac:dyDescent="0.35">
      <c r="A866" s="85">
        <v>45191</v>
      </c>
      <c r="B866">
        <v>1094.53</v>
      </c>
      <c r="C866">
        <f t="shared" si="26"/>
        <v>-4.5679621407256232E-5</v>
      </c>
      <c r="E866" s="86">
        <v>45191</v>
      </c>
      <c r="F866" s="87">
        <v>19674.25</v>
      </c>
      <c r="G866" s="88">
        <f t="shared" si="27"/>
        <v>-3.4494176591149876E-3</v>
      </c>
    </row>
    <row r="867" spans="1:7" ht="14.25" customHeight="1" x14ac:dyDescent="0.35">
      <c r="A867" s="85">
        <v>45194</v>
      </c>
      <c r="B867">
        <v>1099.69</v>
      </c>
      <c r="C867">
        <f t="shared" si="26"/>
        <v>4.7143522790604932E-3</v>
      </c>
      <c r="E867" s="86">
        <v>45194</v>
      </c>
      <c r="F867" s="87">
        <v>19674.55078125</v>
      </c>
      <c r="G867" s="88">
        <f t="shared" si="27"/>
        <v>1.5288066889462116E-5</v>
      </c>
    </row>
    <row r="868" spans="1:7" ht="14.25" customHeight="1" x14ac:dyDescent="0.35">
      <c r="A868" s="85">
        <v>45195</v>
      </c>
      <c r="B868">
        <v>1117.51</v>
      </c>
      <c r="C868">
        <f t="shared" si="26"/>
        <v>1.6204566741536194E-2</v>
      </c>
      <c r="E868" s="86">
        <v>45195</v>
      </c>
      <c r="F868" s="87">
        <v>19664.69921875</v>
      </c>
      <c r="G868" s="88">
        <f t="shared" si="27"/>
        <v>-5.0072617207548218E-4</v>
      </c>
    </row>
    <row r="869" spans="1:7" ht="14.25" customHeight="1" x14ac:dyDescent="0.35">
      <c r="A869" s="85">
        <v>45196</v>
      </c>
      <c r="B869">
        <v>1111.07</v>
      </c>
      <c r="C869">
        <f t="shared" si="26"/>
        <v>-5.7628119658884973E-3</v>
      </c>
      <c r="E869" s="86">
        <v>45196</v>
      </c>
      <c r="F869" s="87">
        <v>19716.44921875</v>
      </c>
      <c r="G869" s="88">
        <f t="shared" si="27"/>
        <v>2.6316191986632139E-3</v>
      </c>
    </row>
    <row r="870" spans="1:7" ht="14.25" customHeight="1" x14ac:dyDescent="0.35">
      <c r="A870" s="85">
        <v>45197</v>
      </c>
      <c r="B870">
        <v>1094.82</v>
      </c>
      <c r="C870">
        <f t="shared" si="26"/>
        <v>-1.4625541145022366E-2</v>
      </c>
      <c r="E870" s="86">
        <v>45197</v>
      </c>
      <c r="F870" s="87">
        <v>19523.55078125</v>
      </c>
      <c r="G870" s="88">
        <f t="shared" si="27"/>
        <v>-9.7836296667737181E-3</v>
      </c>
    </row>
    <row r="871" spans="1:7" ht="14.25" customHeight="1" x14ac:dyDescent="0.35">
      <c r="A871" s="85">
        <v>45198</v>
      </c>
      <c r="B871">
        <v>1093.28</v>
      </c>
      <c r="C871">
        <f t="shared" si="26"/>
        <v>-1.4066239199137427E-3</v>
      </c>
      <c r="E871" s="86">
        <v>45198</v>
      </c>
      <c r="F871" s="87">
        <v>19638.30078125</v>
      </c>
      <c r="G871" s="88">
        <f t="shared" si="27"/>
        <v>5.8775169171687482E-3</v>
      </c>
    </row>
    <row r="872" spans="1:7" ht="14.25" customHeight="1" x14ac:dyDescent="0.35">
      <c r="A872" s="85">
        <v>45202</v>
      </c>
      <c r="B872">
        <v>1083.97</v>
      </c>
      <c r="C872">
        <f t="shared" si="26"/>
        <v>-8.5156593004536308E-3</v>
      </c>
      <c r="E872" s="86">
        <v>45202</v>
      </c>
      <c r="F872" s="87">
        <v>19528.75</v>
      </c>
      <c r="G872" s="88">
        <f t="shared" si="27"/>
        <v>-5.5784246544688561E-3</v>
      </c>
    </row>
    <row r="873" spans="1:7" ht="14.25" customHeight="1" x14ac:dyDescent="0.35">
      <c r="A873" s="85">
        <v>45203</v>
      </c>
      <c r="B873">
        <v>1116.57</v>
      </c>
      <c r="C873">
        <f t="shared" si="26"/>
        <v>3.0074633061800519E-2</v>
      </c>
      <c r="E873" s="86">
        <v>45203</v>
      </c>
      <c r="F873" s="87">
        <v>19436.099609375</v>
      </c>
      <c r="G873" s="88">
        <f t="shared" si="27"/>
        <v>-4.7443072713307301E-3</v>
      </c>
    </row>
    <row r="874" spans="1:7" ht="14.25" customHeight="1" x14ac:dyDescent="0.35">
      <c r="A874" s="85">
        <v>45204</v>
      </c>
      <c r="B874">
        <v>1113.29</v>
      </c>
      <c r="C874">
        <f t="shared" si="26"/>
        <v>-2.9375677297437445E-3</v>
      </c>
      <c r="E874" s="86">
        <v>45204</v>
      </c>
      <c r="F874" s="87">
        <v>19545.75</v>
      </c>
      <c r="G874" s="88">
        <f t="shared" si="27"/>
        <v>5.6415841052857201E-3</v>
      </c>
    </row>
    <row r="875" spans="1:7" ht="14.25" customHeight="1" x14ac:dyDescent="0.35">
      <c r="A875" s="85">
        <v>45205</v>
      </c>
      <c r="B875">
        <v>1112.97</v>
      </c>
      <c r="C875">
        <f t="shared" si="26"/>
        <v>-2.8743633734241422E-4</v>
      </c>
      <c r="E875" s="86">
        <v>45205</v>
      </c>
      <c r="F875" s="87">
        <v>19653.5</v>
      </c>
      <c r="G875" s="88">
        <f t="shared" si="27"/>
        <v>5.512707366051443E-3</v>
      </c>
    </row>
    <row r="876" spans="1:7" ht="14.25" customHeight="1" x14ac:dyDescent="0.35">
      <c r="A876" s="85">
        <v>45208</v>
      </c>
      <c r="B876">
        <v>1111.5</v>
      </c>
      <c r="C876">
        <f t="shared" si="26"/>
        <v>-1.3207903177983478E-3</v>
      </c>
      <c r="E876" s="86">
        <v>45208</v>
      </c>
      <c r="F876" s="87">
        <v>19512.349609375</v>
      </c>
      <c r="G876" s="88">
        <f t="shared" si="27"/>
        <v>-7.181946758847025E-3</v>
      </c>
    </row>
    <row r="877" spans="1:7" ht="14.25" customHeight="1" x14ac:dyDescent="0.35">
      <c r="A877" s="85">
        <v>45209</v>
      </c>
      <c r="B877">
        <v>1115.68</v>
      </c>
      <c r="C877">
        <f t="shared" si="26"/>
        <v>3.7606837606838179E-3</v>
      </c>
      <c r="E877" s="86">
        <v>45209</v>
      </c>
      <c r="F877" s="87">
        <v>19689.849609375</v>
      </c>
      <c r="G877" s="88">
        <f t="shared" si="27"/>
        <v>9.0968029762401072E-3</v>
      </c>
    </row>
    <row r="878" spans="1:7" ht="14.25" customHeight="1" x14ac:dyDescent="0.35">
      <c r="A878" s="85">
        <v>45210</v>
      </c>
      <c r="B878">
        <v>1127.05</v>
      </c>
      <c r="C878">
        <f t="shared" si="26"/>
        <v>1.0191094220564937E-2</v>
      </c>
      <c r="E878" s="86">
        <v>45210</v>
      </c>
      <c r="F878" s="87">
        <v>19811.349609375</v>
      </c>
      <c r="G878" s="88">
        <f t="shared" si="27"/>
        <v>6.1706921287072586E-3</v>
      </c>
    </row>
    <row r="879" spans="1:7" ht="14.25" customHeight="1" x14ac:dyDescent="0.35">
      <c r="A879" s="85">
        <v>45211</v>
      </c>
      <c r="B879">
        <v>1120.8900000000001</v>
      </c>
      <c r="C879">
        <f t="shared" si="26"/>
        <v>-5.4655960250209442E-3</v>
      </c>
      <c r="E879" s="86">
        <v>45211</v>
      </c>
      <c r="F879" s="87">
        <v>19794</v>
      </c>
      <c r="G879" s="88">
        <f t="shared" si="27"/>
        <v>-8.7574091200681898E-4</v>
      </c>
    </row>
    <row r="880" spans="1:7" ht="14.25" customHeight="1" x14ac:dyDescent="0.35">
      <c r="A880" s="85">
        <v>45212</v>
      </c>
      <c r="B880">
        <v>1144.1600000000001</v>
      </c>
      <c r="C880">
        <f t="shared" si="26"/>
        <v>2.0760288699158688E-2</v>
      </c>
      <c r="E880" s="86">
        <v>45212</v>
      </c>
      <c r="F880" s="87">
        <v>19751.05078125</v>
      </c>
      <c r="G880" s="88">
        <f t="shared" si="27"/>
        <v>-2.1698099802970596E-3</v>
      </c>
    </row>
    <row r="881" spans="1:7" ht="14.25" customHeight="1" x14ac:dyDescent="0.35">
      <c r="A881" s="85">
        <v>45215</v>
      </c>
      <c r="B881">
        <v>1122.51</v>
      </c>
      <c r="C881">
        <f t="shared" si="26"/>
        <v>-1.8922178716263539E-2</v>
      </c>
      <c r="E881" s="86">
        <v>45215</v>
      </c>
      <c r="F881" s="87">
        <v>19731.75</v>
      </c>
      <c r="G881" s="88">
        <f t="shared" si="27"/>
        <v>-9.7720275562870559E-4</v>
      </c>
    </row>
    <row r="882" spans="1:7" ht="14.25" customHeight="1" x14ac:dyDescent="0.35">
      <c r="A882" s="85">
        <v>45216</v>
      </c>
      <c r="B882">
        <v>1133.04</v>
      </c>
      <c r="C882">
        <f t="shared" si="26"/>
        <v>9.3807627548974822E-3</v>
      </c>
      <c r="E882" s="86">
        <v>45216</v>
      </c>
      <c r="F882" s="87">
        <v>19811.5</v>
      </c>
      <c r="G882" s="88">
        <f t="shared" si="27"/>
        <v>4.0417094276990126E-3</v>
      </c>
    </row>
    <row r="883" spans="1:7" ht="14.25" customHeight="1" x14ac:dyDescent="0.35">
      <c r="A883" s="85">
        <v>45217</v>
      </c>
      <c r="B883">
        <v>1130.01</v>
      </c>
      <c r="C883">
        <f t="shared" si="26"/>
        <v>-2.6742215632281057E-3</v>
      </c>
      <c r="E883" s="86">
        <v>45217</v>
      </c>
      <c r="F883" s="87">
        <v>19671.099609375</v>
      </c>
      <c r="G883" s="88">
        <f t="shared" si="27"/>
        <v>-7.0868127413371024E-3</v>
      </c>
    </row>
    <row r="884" spans="1:7" ht="14.25" customHeight="1" x14ac:dyDescent="0.35">
      <c r="A884" s="85">
        <v>45218</v>
      </c>
      <c r="B884">
        <v>1172.24</v>
      </c>
      <c r="C884">
        <f t="shared" si="26"/>
        <v>3.7371350696011559E-2</v>
      </c>
      <c r="E884" s="86">
        <v>45218</v>
      </c>
      <c r="F884" s="87">
        <v>19624.69921875</v>
      </c>
      <c r="G884" s="88">
        <f t="shared" si="27"/>
        <v>-2.3588102112444267E-3</v>
      </c>
    </row>
    <row r="885" spans="1:7" ht="14.25" customHeight="1" x14ac:dyDescent="0.35">
      <c r="A885" s="85">
        <v>45219</v>
      </c>
      <c r="B885">
        <v>1179.4000000000001</v>
      </c>
      <c r="C885">
        <f t="shared" si="26"/>
        <v>6.1079642394049694E-3</v>
      </c>
      <c r="E885" s="86">
        <v>45219</v>
      </c>
      <c r="F885" s="87">
        <v>19542.650390625</v>
      </c>
      <c r="G885" s="88">
        <f t="shared" si="27"/>
        <v>-4.1808960845936532E-3</v>
      </c>
    </row>
    <row r="886" spans="1:7" ht="14.25" customHeight="1" x14ac:dyDescent="0.35">
      <c r="A886" s="85">
        <v>45222</v>
      </c>
      <c r="B886">
        <v>1175.42</v>
      </c>
      <c r="C886">
        <f t="shared" si="26"/>
        <v>-3.3745972528404426E-3</v>
      </c>
      <c r="E886" s="86">
        <v>45222</v>
      </c>
      <c r="F886" s="87">
        <v>19281.75</v>
      </c>
      <c r="G886" s="88">
        <f t="shared" si="27"/>
        <v>-1.3350307425555702E-2</v>
      </c>
    </row>
    <row r="887" spans="1:7" ht="14.25" customHeight="1" x14ac:dyDescent="0.35">
      <c r="A887" s="85">
        <v>45224</v>
      </c>
      <c r="B887">
        <v>1178.57</v>
      </c>
      <c r="C887">
        <f t="shared" si="26"/>
        <v>2.679893144577992E-3</v>
      </c>
      <c r="E887" s="86">
        <v>45224</v>
      </c>
      <c r="F887" s="87">
        <v>19122.150390625</v>
      </c>
      <c r="G887" s="88">
        <f t="shared" si="27"/>
        <v>-8.2772367329210263E-3</v>
      </c>
    </row>
    <row r="888" spans="1:7" ht="14.25" customHeight="1" x14ac:dyDescent="0.35">
      <c r="A888" s="85">
        <v>45225</v>
      </c>
      <c r="B888">
        <v>1143.74</v>
      </c>
      <c r="C888">
        <f t="shared" si="26"/>
        <v>-2.9552763094258236E-2</v>
      </c>
      <c r="E888" s="86">
        <v>45225</v>
      </c>
      <c r="F888" s="87">
        <v>18857.25</v>
      </c>
      <c r="G888" s="88">
        <f t="shared" si="27"/>
        <v>-1.385306491234754E-2</v>
      </c>
    </row>
    <row r="889" spans="1:7" ht="14.25" customHeight="1" x14ac:dyDescent="0.35">
      <c r="A889" s="85">
        <v>45226</v>
      </c>
      <c r="B889">
        <v>1168.58</v>
      </c>
      <c r="C889">
        <f t="shared" si="26"/>
        <v>2.1718222672985048E-2</v>
      </c>
      <c r="E889" s="86">
        <v>45226</v>
      </c>
      <c r="F889" s="87">
        <v>19047.25</v>
      </c>
      <c r="G889" s="88">
        <f t="shared" si="27"/>
        <v>1.007570032746026E-2</v>
      </c>
    </row>
    <row r="890" spans="1:7" ht="14.25" customHeight="1" x14ac:dyDescent="0.35">
      <c r="A890" s="85">
        <v>45229</v>
      </c>
      <c r="B890">
        <v>1174.1500000000001</v>
      </c>
      <c r="C890">
        <f t="shared" si="26"/>
        <v>4.7664687056086568E-3</v>
      </c>
      <c r="E890" s="86">
        <v>45229</v>
      </c>
      <c r="F890" s="87">
        <v>19140.900390625</v>
      </c>
      <c r="G890" s="88">
        <f t="shared" si="27"/>
        <v>4.9167407696649118E-3</v>
      </c>
    </row>
    <row r="891" spans="1:7" ht="14.25" customHeight="1" x14ac:dyDescent="0.35">
      <c r="A891" s="85">
        <v>45230</v>
      </c>
      <c r="B891">
        <v>1177.22</v>
      </c>
      <c r="C891">
        <f t="shared" si="26"/>
        <v>2.6146574117446118E-3</v>
      </c>
      <c r="E891" s="86">
        <v>45230</v>
      </c>
      <c r="F891" s="87">
        <v>19079.599609375</v>
      </c>
      <c r="G891" s="88">
        <f t="shared" si="27"/>
        <v>-3.2026069828995319E-3</v>
      </c>
    </row>
    <row r="892" spans="1:7" ht="14.25" customHeight="1" x14ac:dyDescent="0.35">
      <c r="A892" s="85">
        <v>45231</v>
      </c>
      <c r="B892">
        <v>1166.3699999999999</v>
      </c>
      <c r="C892">
        <f t="shared" si="26"/>
        <v>-9.2166290073224522E-3</v>
      </c>
      <c r="E892" s="86">
        <v>45231</v>
      </c>
      <c r="F892" s="87">
        <v>18989.150390625</v>
      </c>
      <c r="G892" s="88">
        <f t="shared" si="27"/>
        <v>-4.7406245729368791E-3</v>
      </c>
    </row>
    <row r="893" spans="1:7" ht="14.25" customHeight="1" x14ac:dyDescent="0.35">
      <c r="A893" s="85">
        <v>45232</v>
      </c>
      <c r="B893">
        <v>1178.05</v>
      </c>
      <c r="C893">
        <f t="shared" si="26"/>
        <v>1.0013974982209817E-2</v>
      </c>
      <c r="E893" s="86">
        <v>45232</v>
      </c>
      <c r="F893" s="87">
        <v>19133.25</v>
      </c>
      <c r="G893" s="88">
        <f t="shared" si="27"/>
        <v>7.5885232572670764E-3</v>
      </c>
    </row>
    <row r="894" spans="1:7" ht="14.25" customHeight="1" x14ac:dyDescent="0.35">
      <c r="A894" s="85">
        <v>45233</v>
      </c>
      <c r="B894">
        <v>1172.54</v>
      </c>
      <c r="C894">
        <f t="shared" si="26"/>
        <v>-4.6772208310343292E-3</v>
      </c>
      <c r="E894" s="86">
        <v>45233</v>
      </c>
      <c r="F894" s="87">
        <v>19230.599609375</v>
      </c>
      <c r="G894" s="88">
        <f t="shared" si="27"/>
        <v>5.0879808383311777E-3</v>
      </c>
    </row>
    <row r="895" spans="1:7" ht="14.25" customHeight="1" x14ac:dyDescent="0.35">
      <c r="A895" s="85">
        <v>45236</v>
      </c>
      <c r="B895">
        <v>1186.73</v>
      </c>
      <c r="C895">
        <f t="shared" si="26"/>
        <v>1.2101932556671887E-2</v>
      </c>
      <c r="E895" s="86">
        <v>45236</v>
      </c>
      <c r="F895" s="87">
        <v>19411.75</v>
      </c>
      <c r="G895" s="88">
        <f t="shared" si="27"/>
        <v>9.4199033989916994E-3</v>
      </c>
    </row>
    <row r="896" spans="1:7" ht="14.25" customHeight="1" x14ac:dyDescent="0.35">
      <c r="A896" s="85">
        <v>45237</v>
      </c>
      <c r="B896">
        <v>1190.6400000000001</v>
      </c>
      <c r="C896">
        <f t="shared" si="26"/>
        <v>3.2947679758665257E-3</v>
      </c>
      <c r="E896" s="86">
        <v>45237</v>
      </c>
      <c r="F896" s="87">
        <v>19406.69921875</v>
      </c>
      <c r="G896" s="88">
        <f t="shared" si="27"/>
        <v>-2.6019195847875644E-4</v>
      </c>
    </row>
    <row r="897" spans="1:7" ht="14.25" customHeight="1" x14ac:dyDescent="0.35">
      <c r="A897" s="85">
        <v>45238</v>
      </c>
      <c r="B897">
        <v>1186.3399999999999</v>
      </c>
      <c r="C897">
        <f t="shared" si="26"/>
        <v>-3.6115030571794845E-3</v>
      </c>
      <c r="E897" s="86">
        <v>45238</v>
      </c>
      <c r="F897" s="87">
        <v>19443.5</v>
      </c>
      <c r="G897" s="88">
        <f t="shared" si="27"/>
        <v>1.8962926582818634E-3</v>
      </c>
    </row>
    <row r="898" spans="1:7" ht="14.25" customHeight="1" x14ac:dyDescent="0.35">
      <c r="A898" s="85">
        <v>45239</v>
      </c>
      <c r="B898">
        <v>1183.6600000000001</v>
      </c>
      <c r="C898">
        <f t="shared" si="26"/>
        <v>-2.2590488392870817E-3</v>
      </c>
      <c r="E898" s="86">
        <v>45239</v>
      </c>
      <c r="F898" s="87">
        <v>19395.30078125</v>
      </c>
      <c r="G898" s="88">
        <f t="shared" si="27"/>
        <v>-2.4789373698151053E-3</v>
      </c>
    </row>
    <row r="899" spans="1:7" ht="14.25" customHeight="1" x14ac:dyDescent="0.35">
      <c r="A899" s="85">
        <v>45240</v>
      </c>
      <c r="B899">
        <v>1179.29</v>
      </c>
      <c r="C899">
        <f t="shared" si="26"/>
        <v>-3.6919385634389249E-3</v>
      </c>
      <c r="E899" s="86">
        <v>45240</v>
      </c>
      <c r="F899" s="87">
        <v>19425.349609375</v>
      </c>
      <c r="G899" s="88">
        <f t="shared" si="27"/>
        <v>1.5492839458333678E-3</v>
      </c>
    </row>
    <row r="900" spans="1:7" ht="14.25" customHeight="1" x14ac:dyDescent="0.35">
      <c r="A900" s="85">
        <v>45243</v>
      </c>
      <c r="B900">
        <v>1176.78</v>
      </c>
      <c r="C900">
        <f t="shared" si="26"/>
        <v>-2.1283992910988737E-3</v>
      </c>
      <c r="E900" s="86">
        <v>45243</v>
      </c>
      <c r="F900" s="87">
        <v>19443.55078125</v>
      </c>
      <c r="G900" s="88">
        <f t="shared" si="27"/>
        <v>9.3698040143461864E-4</v>
      </c>
    </row>
    <row r="901" spans="1:7" ht="14.25" customHeight="1" x14ac:dyDescent="0.35">
      <c r="A901" s="85">
        <v>45245</v>
      </c>
      <c r="B901">
        <v>1181.0899999999999</v>
      </c>
      <c r="C901">
        <f t="shared" ref="C901:C964" si="28">(B901-B900)/B900</f>
        <v>3.6625367528339585E-3</v>
      </c>
      <c r="E901" s="86">
        <v>45245</v>
      </c>
      <c r="F901" s="87">
        <v>19675.44921875</v>
      </c>
      <c r="G901" s="88">
        <f t="shared" ref="G901:G964" si="29">(F901-F900)/F900</f>
        <v>1.1926753508604336E-2</v>
      </c>
    </row>
    <row r="902" spans="1:7" ht="14.25" customHeight="1" x14ac:dyDescent="0.35">
      <c r="A902" s="85">
        <v>45246</v>
      </c>
      <c r="B902">
        <v>1176.6400000000001</v>
      </c>
      <c r="C902">
        <f t="shared" si="28"/>
        <v>-3.7677061019903806E-3</v>
      </c>
      <c r="E902" s="86">
        <v>45246</v>
      </c>
      <c r="F902" s="87">
        <v>19765.19921875</v>
      </c>
      <c r="G902" s="88">
        <f t="shared" si="29"/>
        <v>4.5615222809993819E-3</v>
      </c>
    </row>
    <row r="903" spans="1:7" ht="14.25" customHeight="1" x14ac:dyDescent="0.35">
      <c r="A903" s="85">
        <v>45247</v>
      </c>
      <c r="B903">
        <v>1190.81</v>
      </c>
      <c r="C903">
        <f t="shared" si="28"/>
        <v>1.204276584171866E-2</v>
      </c>
      <c r="E903" s="86">
        <v>45247</v>
      </c>
      <c r="F903" s="87">
        <v>19731.80078125</v>
      </c>
      <c r="G903" s="88">
        <f t="shared" si="29"/>
        <v>-1.6897597201204532E-3</v>
      </c>
    </row>
    <row r="904" spans="1:7" ht="14.25" customHeight="1" x14ac:dyDescent="0.35">
      <c r="A904" s="85">
        <v>45250</v>
      </c>
      <c r="B904">
        <v>1187.3699999999999</v>
      </c>
      <c r="C904">
        <f t="shared" si="28"/>
        <v>-2.8887899832887318E-3</v>
      </c>
      <c r="E904" s="86">
        <v>45250</v>
      </c>
      <c r="F904" s="87">
        <v>19694</v>
      </c>
      <c r="G904" s="88">
        <f t="shared" si="29"/>
        <v>-1.9157289123818803E-3</v>
      </c>
    </row>
    <row r="905" spans="1:7" ht="14.25" customHeight="1" x14ac:dyDescent="0.35">
      <c r="A905" s="85">
        <v>45251</v>
      </c>
      <c r="B905">
        <v>1190.83</v>
      </c>
      <c r="C905">
        <f t="shared" si="28"/>
        <v>2.9140032171943342E-3</v>
      </c>
      <c r="E905" s="86">
        <v>45251</v>
      </c>
      <c r="F905" s="87">
        <v>19783.400390625</v>
      </c>
      <c r="G905" s="88">
        <f t="shared" si="29"/>
        <v>4.5394734754239871E-3</v>
      </c>
    </row>
    <row r="906" spans="1:7" ht="14.25" customHeight="1" x14ac:dyDescent="0.35">
      <c r="A906" s="85">
        <v>45252</v>
      </c>
      <c r="B906">
        <v>1189.73</v>
      </c>
      <c r="C906">
        <f t="shared" si="28"/>
        <v>-9.2372546879059914E-4</v>
      </c>
      <c r="E906" s="86">
        <v>45252</v>
      </c>
      <c r="F906" s="87">
        <v>19811.849609375</v>
      </c>
      <c r="G906" s="88">
        <f t="shared" si="29"/>
        <v>1.438034826585301E-3</v>
      </c>
    </row>
    <row r="907" spans="1:7" ht="14.25" customHeight="1" x14ac:dyDescent="0.35">
      <c r="A907" s="85">
        <v>45253</v>
      </c>
      <c r="B907">
        <v>1191.8</v>
      </c>
      <c r="C907">
        <f t="shared" si="28"/>
        <v>1.7398905634050889E-3</v>
      </c>
      <c r="E907" s="86">
        <v>45253</v>
      </c>
      <c r="F907" s="87">
        <v>19802</v>
      </c>
      <c r="G907" s="88">
        <f t="shared" si="29"/>
        <v>-4.9715748752398909E-4</v>
      </c>
    </row>
    <row r="908" spans="1:7" ht="14.25" customHeight="1" x14ac:dyDescent="0.35">
      <c r="A908" s="85">
        <v>45254</v>
      </c>
      <c r="B908">
        <v>1179.3699999999999</v>
      </c>
      <c r="C908">
        <f t="shared" si="28"/>
        <v>-1.0429602282262179E-2</v>
      </c>
      <c r="E908" s="86">
        <v>45254</v>
      </c>
      <c r="F908" s="87">
        <v>19794.69921875</v>
      </c>
      <c r="G908" s="88">
        <f t="shared" si="29"/>
        <v>-3.6868908443591557E-4</v>
      </c>
    </row>
    <row r="909" spans="1:7" ht="14.25" customHeight="1" x14ac:dyDescent="0.35">
      <c r="A909" s="85">
        <v>45258</v>
      </c>
      <c r="B909">
        <v>1183.27</v>
      </c>
      <c r="C909">
        <f t="shared" si="28"/>
        <v>3.3068502675157848E-3</v>
      </c>
      <c r="E909" s="86">
        <v>45258</v>
      </c>
      <c r="F909" s="87">
        <v>19889.69921875</v>
      </c>
      <c r="G909" s="88">
        <f t="shared" si="29"/>
        <v>4.7992646389905125E-3</v>
      </c>
    </row>
    <row r="910" spans="1:7" ht="14.25" customHeight="1" x14ac:dyDescent="0.35">
      <c r="A910" s="85">
        <v>45259</v>
      </c>
      <c r="B910">
        <v>1175.8800000000001</v>
      </c>
      <c r="C910">
        <f t="shared" si="28"/>
        <v>-6.2454046836308477E-3</v>
      </c>
      <c r="E910" s="86">
        <v>45259</v>
      </c>
      <c r="F910" s="87">
        <v>20096.599609375</v>
      </c>
      <c r="G910" s="88">
        <f t="shared" si="29"/>
        <v>1.0402389113554579E-2</v>
      </c>
    </row>
    <row r="911" spans="1:7" ht="14.25" customHeight="1" x14ac:dyDescent="0.35">
      <c r="A911" s="85">
        <v>45260</v>
      </c>
      <c r="B911">
        <v>1184.1199999999999</v>
      </c>
      <c r="C911">
        <f t="shared" si="28"/>
        <v>7.0075177739223225E-3</v>
      </c>
      <c r="E911" s="86">
        <v>45260</v>
      </c>
      <c r="F911" s="87">
        <v>20133.150390625</v>
      </c>
      <c r="G911" s="88">
        <f t="shared" si="29"/>
        <v>1.8187545137212753E-3</v>
      </c>
    </row>
    <row r="912" spans="1:7" ht="14.25" customHeight="1" x14ac:dyDescent="0.35">
      <c r="A912" s="85">
        <v>45261</v>
      </c>
      <c r="B912">
        <v>1189.1300000000001</v>
      </c>
      <c r="C912">
        <f t="shared" si="28"/>
        <v>4.2309901023546755E-3</v>
      </c>
      <c r="E912" s="86">
        <v>45261</v>
      </c>
      <c r="F912" s="87">
        <v>20267.900390625</v>
      </c>
      <c r="G912" s="88">
        <f t="shared" si="29"/>
        <v>6.6929416105065368E-3</v>
      </c>
    </row>
    <row r="913" spans="1:7" ht="14.25" customHeight="1" x14ac:dyDescent="0.35">
      <c r="A913" s="85">
        <v>45264</v>
      </c>
      <c r="B913">
        <v>1192.27</v>
      </c>
      <c r="C913">
        <f t="shared" si="28"/>
        <v>2.6405859746199932E-3</v>
      </c>
      <c r="E913" s="86">
        <v>45264</v>
      </c>
      <c r="F913" s="87">
        <v>20686.80078125</v>
      </c>
      <c r="G913" s="88">
        <f t="shared" si="29"/>
        <v>2.0668169003769332E-2</v>
      </c>
    </row>
    <row r="914" spans="1:7" ht="14.25" customHeight="1" x14ac:dyDescent="0.35">
      <c r="A914" s="85">
        <v>45265</v>
      </c>
      <c r="B914">
        <v>1202.3399999999999</v>
      </c>
      <c r="C914">
        <f t="shared" si="28"/>
        <v>8.4460734565156691E-3</v>
      </c>
      <c r="E914" s="86">
        <v>45265</v>
      </c>
      <c r="F914" s="87">
        <v>20855.099609375</v>
      </c>
      <c r="G914" s="88">
        <f t="shared" si="29"/>
        <v>8.1355657602475619E-3</v>
      </c>
    </row>
    <row r="915" spans="1:7" ht="14.25" customHeight="1" x14ac:dyDescent="0.35">
      <c r="A915" s="85">
        <v>45266</v>
      </c>
      <c r="B915">
        <v>1219.9000000000001</v>
      </c>
      <c r="C915">
        <f t="shared" si="28"/>
        <v>1.4604853868290312E-2</v>
      </c>
      <c r="E915" s="86">
        <v>45266</v>
      </c>
      <c r="F915" s="87">
        <v>20937.69921875</v>
      </c>
      <c r="G915" s="88">
        <f t="shared" si="29"/>
        <v>3.9606432442005199E-3</v>
      </c>
    </row>
    <row r="916" spans="1:7" ht="14.25" customHeight="1" x14ac:dyDescent="0.35">
      <c r="A916" s="85">
        <v>45267</v>
      </c>
      <c r="B916">
        <v>1220.23</v>
      </c>
      <c r="C916">
        <f t="shared" si="28"/>
        <v>2.7051397655539569E-4</v>
      </c>
      <c r="E916" s="86">
        <v>45267</v>
      </c>
      <c r="F916" s="87">
        <v>20901.150390625</v>
      </c>
      <c r="G916" s="88">
        <f t="shared" si="29"/>
        <v>-1.7455990623969808E-3</v>
      </c>
    </row>
    <row r="917" spans="1:7" ht="14.25" customHeight="1" x14ac:dyDescent="0.35">
      <c r="A917" s="85">
        <v>45268</v>
      </c>
      <c r="B917">
        <v>1211.1600000000001</v>
      </c>
      <c r="C917">
        <f t="shared" si="28"/>
        <v>-7.4330249215311343E-3</v>
      </c>
      <c r="E917" s="86">
        <v>45268</v>
      </c>
      <c r="F917" s="87">
        <v>20969.400390625</v>
      </c>
      <c r="G917" s="88">
        <f t="shared" si="29"/>
        <v>3.2653705047073797E-3</v>
      </c>
    </row>
    <row r="918" spans="1:7" ht="14.25" customHeight="1" x14ac:dyDescent="0.35">
      <c r="A918" s="85">
        <v>45271</v>
      </c>
      <c r="B918">
        <v>1223.57</v>
      </c>
      <c r="C918">
        <f t="shared" si="28"/>
        <v>1.0246375375672788E-2</v>
      </c>
      <c r="E918" s="86">
        <v>45271</v>
      </c>
      <c r="F918" s="87">
        <v>20997.099609375</v>
      </c>
      <c r="G918" s="88">
        <f t="shared" si="29"/>
        <v>1.3209351833628857E-3</v>
      </c>
    </row>
    <row r="919" spans="1:7" ht="14.25" customHeight="1" x14ac:dyDescent="0.35">
      <c r="A919" s="85">
        <v>45272</v>
      </c>
      <c r="B919">
        <v>1218.8599999999999</v>
      </c>
      <c r="C919">
        <f t="shared" si="28"/>
        <v>-3.8493915346077762E-3</v>
      </c>
      <c r="E919" s="86">
        <v>45272</v>
      </c>
      <c r="F919" s="87">
        <v>20906.400390625</v>
      </c>
      <c r="G919" s="88">
        <f t="shared" si="29"/>
        <v>-4.3196070141755995E-3</v>
      </c>
    </row>
    <row r="920" spans="1:7" ht="14.25" customHeight="1" x14ac:dyDescent="0.35">
      <c r="A920" s="85">
        <v>45273</v>
      </c>
      <c r="B920">
        <v>1223.6099999999999</v>
      </c>
      <c r="C920">
        <f t="shared" si="28"/>
        <v>3.897084160609094E-3</v>
      </c>
      <c r="E920" s="86">
        <v>45273</v>
      </c>
      <c r="F920" s="87">
        <v>20926.349609375</v>
      </c>
      <c r="G920" s="88">
        <f t="shared" si="29"/>
        <v>9.5421585625738684E-4</v>
      </c>
    </row>
    <row r="921" spans="1:7" ht="14.25" customHeight="1" x14ac:dyDescent="0.35">
      <c r="A921" s="85">
        <v>45274</v>
      </c>
      <c r="B921">
        <v>1211.3399999999999</v>
      </c>
      <c r="C921">
        <f t="shared" si="28"/>
        <v>-1.0027704905974929E-2</v>
      </c>
      <c r="E921" s="86">
        <v>45274</v>
      </c>
      <c r="F921" s="87">
        <v>21182.69921875</v>
      </c>
      <c r="G921" s="88">
        <f t="shared" si="29"/>
        <v>1.2250087289956937E-2</v>
      </c>
    </row>
    <row r="922" spans="1:7" ht="14.25" customHeight="1" x14ac:dyDescent="0.35">
      <c r="A922" s="85">
        <v>45275</v>
      </c>
      <c r="B922">
        <v>1190.49</v>
      </c>
      <c r="C922">
        <f t="shared" si="28"/>
        <v>-1.7212343355292412E-2</v>
      </c>
      <c r="E922" s="86">
        <v>45275</v>
      </c>
      <c r="F922" s="87">
        <v>21456.650390625</v>
      </c>
      <c r="G922" s="88">
        <f t="shared" si="29"/>
        <v>1.2932779200891942E-2</v>
      </c>
    </row>
    <row r="923" spans="1:7" ht="14.25" customHeight="1" x14ac:dyDescent="0.35">
      <c r="A923" s="85">
        <v>45278</v>
      </c>
      <c r="B923">
        <v>1189.8900000000001</v>
      </c>
      <c r="C923">
        <f t="shared" si="28"/>
        <v>-5.0399415366774109E-4</v>
      </c>
      <c r="E923" s="86">
        <v>45278</v>
      </c>
      <c r="F923" s="87">
        <v>21418.650390625</v>
      </c>
      <c r="G923" s="88">
        <f t="shared" si="29"/>
        <v>-1.7710126840955215E-3</v>
      </c>
    </row>
    <row r="924" spans="1:7" ht="14.25" customHeight="1" x14ac:dyDescent="0.35">
      <c r="A924" s="85">
        <v>45279</v>
      </c>
      <c r="B924">
        <v>1245.3699999999999</v>
      </c>
      <c r="C924">
        <f t="shared" si="28"/>
        <v>4.6626158720553819E-2</v>
      </c>
      <c r="E924" s="86">
        <v>45279</v>
      </c>
      <c r="F924" s="87">
        <v>21453.099609375</v>
      </c>
      <c r="G924" s="88">
        <f t="shared" si="29"/>
        <v>1.6083748565725931E-3</v>
      </c>
    </row>
    <row r="925" spans="1:7" ht="14.25" customHeight="1" x14ac:dyDescent="0.35">
      <c r="A925" s="85">
        <v>45280</v>
      </c>
      <c r="B925">
        <v>1226.22</v>
      </c>
      <c r="C925">
        <f t="shared" si="28"/>
        <v>-1.5376956245934836E-2</v>
      </c>
      <c r="E925" s="86">
        <v>45280</v>
      </c>
      <c r="F925" s="87">
        <v>21150.150390625</v>
      </c>
      <c r="G925" s="88">
        <f t="shared" si="29"/>
        <v>-1.412146609423336E-2</v>
      </c>
    </row>
    <row r="926" spans="1:7" ht="14.25" customHeight="1" x14ac:dyDescent="0.35">
      <c r="A926" s="85">
        <v>45281</v>
      </c>
      <c r="B926">
        <v>1227.0999999999999</v>
      </c>
      <c r="C926">
        <f t="shared" si="28"/>
        <v>7.1765262350955111E-4</v>
      </c>
      <c r="E926" s="86">
        <v>45281</v>
      </c>
      <c r="F926" s="87">
        <v>21255.05078125</v>
      </c>
      <c r="G926" s="88">
        <f t="shared" si="29"/>
        <v>4.9597940765233554E-3</v>
      </c>
    </row>
    <row r="927" spans="1:7" ht="14.25" customHeight="1" x14ac:dyDescent="0.35">
      <c r="A927" s="85">
        <v>45282</v>
      </c>
      <c r="B927">
        <v>1239.45</v>
      </c>
      <c r="C927">
        <f t="shared" si="28"/>
        <v>1.0064379431179315E-2</v>
      </c>
      <c r="E927" s="86">
        <v>45282</v>
      </c>
      <c r="F927" s="87">
        <v>21349.400390625</v>
      </c>
      <c r="G927" s="88">
        <f t="shared" si="29"/>
        <v>4.4389265566107177E-3</v>
      </c>
    </row>
    <row r="928" spans="1:7" ht="14.25" customHeight="1" x14ac:dyDescent="0.35">
      <c r="A928" s="85">
        <v>45286</v>
      </c>
      <c r="B928">
        <v>1248.9000000000001</v>
      </c>
      <c r="C928">
        <f t="shared" si="28"/>
        <v>7.6243495098632826E-3</v>
      </c>
      <c r="E928" s="86">
        <v>45286</v>
      </c>
      <c r="F928" s="87">
        <v>21441.349609375</v>
      </c>
      <c r="G928" s="88">
        <f t="shared" si="29"/>
        <v>4.3068759341071223E-3</v>
      </c>
    </row>
    <row r="929" spans="1:7" ht="14.25" customHeight="1" x14ac:dyDescent="0.35">
      <c r="A929" s="85">
        <v>45287</v>
      </c>
      <c r="B929">
        <v>1256.6400000000001</v>
      </c>
      <c r="C929">
        <f t="shared" si="28"/>
        <v>6.1974537593081983E-3</v>
      </c>
      <c r="E929" s="86">
        <v>45287</v>
      </c>
      <c r="F929" s="87">
        <v>21654.75</v>
      </c>
      <c r="G929" s="88">
        <f t="shared" si="29"/>
        <v>9.9527499207276091E-3</v>
      </c>
    </row>
    <row r="930" spans="1:7" ht="14.25" customHeight="1" x14ac:dyDescent="0.35">
      <c r="A930" s="85">
        <v>45288</v>
      </c>
      <c r="B930">
        <v>1282.51</v>
      </c>
      <c r="C930">
        <f t="shared" si="28"/>
        <v>2.0586643748408365E-2</v>
      </c>
      <c r="E930" s="86">
        <v>45288</v>
      </c>
      <c r="F930" s="87">
        <v>21778.69921875</v>
      </c>
      <c r="G930" s="88">
        <f t="shared" si="29"/>
        <v>5.7238813077962114E-3</v>
      </c>
    </row>
    <row r="931" spans="1:7" ht="14.25" customHeight="1" x14ac:dyDescent="0.35">
      <c r="A931" s="85">
        <v>45289</v>
      </c>
      <c r="B931">
        <v>1298.6500000000001</v>
      </c>
      <c r="C931">
        <f t="shared" si="28"/>
        <v>1.2584697195343584E-2</v>
      </c>
      <c r="E931" s="86">
        <v>45289</v>
      </c>
      <c r="F931" s="87">
        <v>21731.400390625</v>
      </c>
      <c r="G931" s="88">
        <f t="shared" si="29"/>
        <v>-2.171793074045436E-3</v>
      </c>
    </row>
    <row r="932" spans="1:7" ht="14.25" customHeight="1" x14ac:dyDescent="0.35">
      <c r="A932" s="85">
        <v>45292</v>
      </c>
      <c r="B932">
        <v>1337.35</v>
      </c>
      <c r="C932">
        <f t="shared" si="28"/>
        <v>2.9800177106995583E-2</v>
      </c>
      <c r="E932" s="86">
        <v>45292</v>
      </c>
      <c r="F932" s="87">
        <v>21741.900390625</v>
      </c>
      <c r="G932" s="88">
        <f t="shared" si="29"/>
        <v>4.8317180721265139E-4</v>
      </c>
    </row>
    <row r="933" spans="1:7" ht="14.25" customHeight="1" x14ac:dyDescent="0.35">
      <c r="A933" s="85">
        <v>45293</v>
      </c>
      <c r="B933">
        <v>1330.06</v>
      </c>
      <c r="C933">
        <f t="shared" si="28"/>
        <v>-5.4510786256402322E-3</v>
      </c>
      <c r="E933" s="86">
        <v>45293</v>
      </c>
      <c r="F933" s="87">
        <v>21665.80078125</v>
      </c>
      <c r="G933" s="88">
        <f t="shared" si="29"/>
        <v>-3.5001360510240297E-3</v>
      </c>
    </row>
    <row r="934" spans="1:7" ht="14.25" customHeight="1" x14ac:dyDescent="0.35">
      <c r="A934" s="85">
        <v>45294</v>
      </c>
      <c r="B934">
        <v>1301.3399999999999</v>
      </c>
      <c r="C934">
        <f t="shared" si="28"/>
        <v>-2.1593010841616189E-2</v>
      </c>
      <c r="E934" s="86">
        <v>45294</v>
      </c>
      <c r="F934" s="87">
        <v>21517.349609375</v>
      </c>
      <c r="G934" s="88">
        <f t="shared" si="29"/>
        <v>-6.8518663756694607E-3</v>
      </c>
    </row>
    <row r="935" spans="1:7" ht="14.25" customHeight="1" x14ac:dyDescent="0.35">
      <c r="A935" s="85">
        <v>45295</v>
      </c>
      <c r="B935">
        <v>1324.85</v>
      </c>
      <c r="C935">
        <f t="shared" si="28"/>
        <v>1.8065993514377481E-2</v>
      </c>
      <c r="E935" s="86">
        <v>45295</v>
      </c>
      <c r="F935" s="87">
        <v>21658.599609375</v>
      </c>
      <c r="G935" s="88">
        <f t="shared" si="29"/>
        <v>6.5644701863494422E-3</v>
      </c>
    </row>
    <row r="936" spans="1:7" ht="14.25" customHeight="1" x14ac:dyDescent="0.35">
      <c r="A936" s="85">
        <v>45296</v>
      </c>
      <c r="B936">
        <v>1302.74</v>
      </c>
      <c r="C936">
        <f t="shared" si="28"/>
        <v>-1.6688681737555121E-2</v>
      </c>
      <c r="E936" s="86">
        <v>45296</v>
      </c>
      <c r="F936" s="87">
        <v>21710.80078125</v>
      </c>
      <c r="G936" s="88">
        <f t="shared" si="29"/>
        <v>2.4101822286056087E-3</v>
      </c>
    </row>
    <row r="937" spans="1:7" ht="14.25" customHeight="1" x14ac:dyDescent="0.35">
      <c r="A937" s="85">
        <v>45299</v>
      </c>
      <c r="B937">
        <v>1279.73</v>
      </c>
      <c r="C937">
        <f t="shared" si="28"/>
        <v>-1.7662772310668276E-2</v>
      </c>
      <c r="E937" s="86">
        <v>45299</v>
      </c>
      <c r="F937" s="87">
        <v>21513</v>
      </c>
      <c r="G937" s="88">
        <f t="shared" si="29"/>
        <v>-9.1107086856430358E-3</v>
      </c>
    </row>
    <row r="938" spans="1:7" ht="14.25" customHeight="1" x14ac:dyDescent="0.35">
      <c r="A938" s="85">
        <v>45300</v>
      </c>
      <c r="B938">
        <v>1266.69</v>
      </c>
      <c r="C938">
        <f t="shared" si="28"/>
        <v>-1.018964937916589E-2</v>
      </c>
      <c r="E938" s="86">
        <v>45300</v>
      </c>
      <c r="F938" s="87">
        <v>21544.849609375</v>
      </c>
      <c r="G938" s="88">
        <f t="shared" si="29"/>
        <v>1.4804820050667038E-3</v>
      </c>
    </row>
    <row r="939" spans="1:7" ht="14.25" customHeight="1" x14ac:dyDescent="0.35">
      <c r="A939" s="85">
        <v>45301</v>
      </c>
      <c r="B939">
        <v>1259.5999999999999</v>
      </c>
      <c r="C939">
        <f t="shared" si="28"/>
        <v>-5.5972653135338123E-3</v>
      </c>
      <c r="E939" s="86">
        <v>45301</v>
      </c>
      <c r="F939" s="87">
        <v>21618.69921875</v>
      </c>
      <c r="G939" s="88">
        <f t="shared" si="29"/>
        <v>3.4277152411806657E-3</v>
      </c>
    </row>
    <row r="940" spans="1:7" ht="14.25" customHeight="1" x14ac:dyDescent="0.35">
      <c r="A940" s="85">
        <v>45302</v>
      </c>
      <c r="B940">
        <v>1249.3900000000001</v>
      </c>
      <c r="C940">
        <f t="shared" si="28"/>
        <v>-8.1057478564622188E-3</v>
      </c>
      <c r="E940" s="86">
        <v>45302</v>
      </c>
      <c r="F940" s="87">
        <v>21647.19921875</v>
      </c>
      <c r="G940" s="88">
        <f t="shared" si="29"/>
        <v>1.3183031833516521E-3</v>
      </c>
    </row>
    <row r="941" spans="1:7" ht="14.25" customHeight="1" x14ac:dyDescent="0.35">
      <c r="A941" s="85">
        <v>45303</v>
      </c>
      <c r="B941">
        <v>1245.68</v>
      </c>
      <c r="C941">
        <f t="shared" si="28"/>
        <v>-2.9694490911565132E-3</v>
      </c>
      <c r="E941" s="86">
        <v>45303</v>
      </c>
      <c r="F941" s="87">
        <v>21894.55078125</v>
      </c>
      <c r="G941" s="88">
        <f t="shared" si="29"/>
        <v>1.1426492637705911E-2</v>
      </c>
    </row>
    <row r="942" spans="1:7" ht="14.25" customHeight="1" x14ac:dyDescent="0.35">
      <c r="A942" s="85">
        <v>45306</v>
      </c>
      <c r="B942">
        <v>1244.68</v>
      </c>
      <c r="C942">
        <f t="shared" si="28"/>
        <v>-8.0277438828591614E-4</v>
      </c>
      <c r="E942" s="86">
        <v>45306</v>
      </c>
      <c r="F942" s="87">
        <v>22097.44921875</v>
      </c>
      <c r="G942" s="88">
        <f t="shared" si="29"/>
        <v>9.2670746948486215E-3</v>
      </c>
    </row>
    <row r="943" spans="1:7" ht="14.25" customHeight="1" x14ac:dyDescent="0.35">
      <c r="A943" s="85">
        <v>45307</v>
      </c>
      <c r="B943">
        <v>1241.99</v>
      </c>
      <c r="C943">
        <f t="shared" si="28"/>
        <v>-2.1611980589388876E-3</v>
      </c>
      <c r="E943" s="86">
        <v>45307</v>
      </c>
      <c r="F943" s="87">
        <v>22032.30078125</v>
      </c>
      <c r="G943" s="88">
        <f t="shared" si="29"/>
        <v>-2.9482333845447023E-3</v>
      </c>
    </row>
    <row r="944" spans="1:7" ht="14.25" customHeight="1" x14ac:dyDescent="0.35">
      <c r="A944" s="85">
        <v>45308</v>
      </c>
      <c r="B944">
        <v>1242.5</v>
      </c>
      <c r="C944">
        <f t="shared" si="28"/>
        <v>4.1063132553401468E-4</v>
      </c>
      <c r="E944" s="86">
        <v>45308</v>
      </c>
      <c r="F944" s="87">
        <v>21571.94921875</v>
      </c>
      <c r="G944" s="88">
        <f t="shared" si="29"/>
        <v>-2.0894393512082492E-2</v>
      </c>
    </row>
    <row r="945" spans="1:7" ht="14.25" customHeight="1" x14ac:dyDescent="0.35">
      <c r="A945" s="85">
        <v>45309</v>
      </c>
      <c r="B945">
        <v>1222.42</v>
      </c>
      <c r="C945">
        <f t="shared" si="28"/>
        <v>-1.6160965794768552E-2</v>
      </c>
      <c r="E945" s="86">
        <v>45309</v>
      </c>
      <c r="F945" s="87">
        <v>21462.25</v>
      </c>
      <c r="G945" s="88">
        <f t="shared" si="29"/>
        <v>-5.0852715087355742E-3</v>
      </c>
    </row>
    <row r="946" spans="1:7" ht="14.25" customHeight="1" x14ac:dyDescent="0.35">
      <c r="A946" s="85">
        <v>45310</v>
      </c>
      <c r="B946">
        <v>1228.3599999999999</v>
      </c>
      <c r="C946">
        <f t="shared" si="28"/>
        <v>4.8592136908753346E-3</v>
      </c>
      <c r="E946" s="86">
        <v>45310</v>
      </c>
      <c r="F946" s="87">
        <v>21622.400390625</v>
      </c>
      <c r="G946" s="88">
        <f t="shared" si="29"/>
        <v>7.4619571864552878E-3</v>
      </c>
    </row>
    <row r="947" spans="1:7" ht="14.25" customHeight="1" x14ac:dyDescent="0.35">
      <c r="A947" s="85">
        <v>45314</v>
      </c>
      <c r="B947">
        <v>1203.32</v>
      </c>
      <c r="C947">
        <f t="shared" si="28"/>
        <v>-2.0384903448500413E-2</v>
      </c>
      <c r="E947" s="86">
        <v>45314</v>
      </c>
      <c r="F947" s="87">
        <v>21238.80078125</v>
      </c>
      <c r="G947" s="88">
        <f t="shared" si="29"/>
        <v>-1.7740842942734536E-2</v>
      </c>
    </row>
    <row r="948" spans="1:7" ht="14.25" customHeight="1" x14ac:dyDescent="0.35">
      <c r="A948" s="85">
        <v>45315</v>
      </c>
      <c r="B948">
        <v>1228.26</v>
      </c>
      <c r="C948">
        <f t="shared" si="28"/>
        <v>2.0725991423727733E-2</v>
      </c>
      <c r="E948" s="86">
        <v>45315</v>
      </c>
      <c r="F948" s="87">
        <v>21453.94921875</v>
      </c>
      <c r="G948" s="88">
        <f t="shared" si="29"/>
        <v>1.0129971071150917E-2</v>
      </c>
    </row>
    <row r="949" spans="1:7" ht="14.25" customHeight="1" x14ac:dyDescent="0.35">
      <c r="A949" s="85">
        <v>45316</v>
      </c>
      <c r="B949">
        <v>1212.72</v>
      </c>
      <c r="C949">
        <f t="shared" si="28"/>
        <v>-1.2652044355429602E-2</v>
      </c>
      <c r="E949" s="86">
        <v>45316</v>
      </c>
      <c r="F949" s="87">
        <v>21352.599609375</v>
      </c>
      <c r="G949" s="88">
        <f t="shared" si="29"/>
        <v>-4.7240537554001476E-3</v>
      </c>
    </row>
    <row r="950" spans="1:7" ht="14.25" customHeight="1" x14ac:dyDescent="0.35">
      <c r="A950" s="85">
        <v>45320</v>
      </c>
      <c r="B950">
        <v>1220.73</v>
      </c>
      <c r="C950">
        <f t="shared" si="28"/>
        <v>6.604987136354633E-3</v>
      </c>
      <c r="E950" s="86">
        <v>45320</v>
      </c>
      <c r="F950" s="87">
        <v>21737.599609375</v>
      </c>
      <c r="G950" s="88">
        <f t="shared" si="29"/>
        <v>1.8030591452244681E-2</v>
      </c>
    </row>
    <row r="951" spans="1:7" ht="14.25" customHeight="1" x14ac:dyDescent="0.35">
      <c r="A951" s="85">
        <v>45321</v>
      </c>
      <c r="B951">
        <v>1217.56</v>
      </c>
      <c r="C951">
        <f t="shared" si="28"/>
        <v>-2.5968068287009188E-3</v>
      </c>
      <c r="E951" s="86">
        <v>45321</v>
      </c>
      <c r="F951" s="87">
        <v>21522.099609375</v>
      </c>
      <c r="G951" s="88">
        <f t="shared" si="29"/>
        <v>-9.9136981024831768E-3</v>
      </c>
    </row>
    <row r="952" spans="1:7" ht="14.25" customHeight="1" x14ac:dyDescent="0.35">
      <c r="A952" s="85">
        <v>45322</v>
      </c>
      <c r="B952">
        <v>1224.3699999999999</v>
      </c>
      <c r="C952">
        <f t="shared" si="28"/>
        <v>5.5931535201550198E-3</v>
      </c>
      <c r="E952" s="86">
        <v>45322</v>
      </c>
      <c r="F952" s="87">
        <v>21725.69921875</v>
      </c>
      <c r="G952" s="88">
        <f t="shared" si="29"/>
        <v>9.4600254190029057E-3</v>
      </c>
    </row>
    <row r="953" spans="1:7" ht="14.25" customHeight="1" x14ac:dyDescent="0.35">
      <c r="A953" s="85">
        <v>45323</v>
      </c>
      <c r="B953">
        <v>1205.71</v>
      </c>
      <c r="C953">
        <f t="shared" si="28"/>
        <v>-1.5240491028038792E-2</v>
      </c>
      <c r="E953" s="86">
        <v>45323</v>
      </c>
      <c r="F953" s="87">
        <v>21697.44921875</v>
      </c>
      <c r="G953" s="88">
        <f t="shared" si="29"/>
        <v>-1.3003033741542051E-3</v>
      </c>
    </row>
    <row r="954" spans="1:7" ht="14.25" customHeight="1" x14ac:dyDescent="0.35">
      <c r="A954" s="85">
        <v>45324</v>
      </c>
      <c r="B954">
        <v>1212.3599999999999</v>
      </c>
      <c r="C954">
        <f t="shared" si="28"/>
        <v>5.5154224481839438E-3</v>
      </c>
      <c r="E954" s="86">
        <v>45324</v>
      </c>
      <c r="F954" s="87">
        <v>21853.80078125</v>
      </c>
      <c r="G954" s="88">
        <f t="shared" si="29"/>
        <v>7.2059881750933062E-3</v>
      </c>
    </row>
    <row r="955" spans="1:7" ht="14.25" customHeight="1" x14ac:dyDescent="0.35">
      <c r="A955" s="85">
        <v>45327</v>
      </c>
      <c r="B955">
        <v>1203.22</v>
      </c>
      <c r="C955">
        <f t="shared" si="28"/>
        <v>-7.5390148140815219E-3</v>
      </c>
      <c r="E955" s="86">
        <v>45327</v>
      </c>
      <c r="F955" s="87">
        <v>21771.69921875</v>
      </c>
      <c r="G955" s="88">
        <f t="shared" si="29"/>
        <v>-3.7568550808077758E-3</v>
      </c>
    </row>
    <row r="956" spans="1:7" ht="14.25" customHeight="1" x14ac:dyDescent="0.35">
      <c r="A956" s="85">
        <v>45328</v>
      </c>
      <c r="B956">
        <v>1200.26</v>
      </c>
      <c r="C956">
        <f t="shared" si="28"/>
        <v>-2.4600654909326942E-3</v>
      </c>
      <c r="E956" s="86">
        <v>45328</v>
      </c>
      <c r="F956" s="87">
        <v>21929.400390625</v>
      </c>
      <c r="G956" s="88">
        <f t="shared" si="29"/>
        <v>7.243402101531249E-3</v>
      </c>
    </row>
    <row r="957" spans="1:7" ht="14.25" customHeight="1" x14ac:dyDescent="0.35">
      <c r="A957" s="85">
        <v>45329</v>
      </c>
      <c r="B957">
        <v>1221.25</v>
      </c>
      <c r="C957">
        <f t="shared" si="28"/>
        <v>1.7487877626514263E-2</v>
      </c>
      <c r="E957" s="86">
        <v>45329</v>
      </c>
      <c r="F957" s="87">
        <v>21930.5</v>
      </c>
      <c r="G957" s="88">
        <f t="shared" si="29"/>
        <v>5.0143157378351857E-5</v>
      </c>
    </row>
    <row r="958" spans="1:7" ht="14.25" customHeight="1" x14ac:dyDescent="0.35">
      <c r="A958" s="85">
        <v>45330</v>
      </c>
      <c r="B958">
        <v>1183.8499999999999</v>
      </c>
      <c r="C958">
        <f t="shared" si="28"/>
        <v>-3.0624360286591681E-2</v>
      </c>
      <c r="E958" s="86">
        <v>45330</v>
      </c>
      <c r="F958" s="87">
        <v>21717.94921875</v>
      </c>
      <c r="G958" s="88">
        <f t="shared" si="29"/>
        <v>-9.6920171108729851E-3</v>
      </c>
    </row>
    <row r="959" spans="1:7" ht="14.25" customHeight="1" x14ac:dyDescent="0.35">
      <c r="A959" s="85">
        <v>45331</v>
      </c>
      <c r="B959">
        <v>1197.06</v>
      </c>
      <c r="C959">
        <f t="shared" si="28"/>
        <v>1.1158508256958261E-2</v>
      </c>
      <c r="E959" s="86">
        <v>45331</v>
      </c>
      <c r="F959" s="87">
        <v>21782.5</v>
      </c>
      <c r="G959" s="88">
        <f t="shared" si="29"/>
        <v>2.9722318898448593E-3</v>
      </c>
    </row>
    <row r="960" spans="1:7" ht="14.25" customHeight="1" x14ac:dyDescent="0.35">
      <c r="A960" s="85">
        <v>45334</v>
      </c>
      <c r="B960">
        <v>1201.44</v>
      </c>
      <c r="C960">
        <f t="shared" si="28"/>
        <v>3.6589644629342801E-3</v>
      </c>
      <c r="E960" s="86">
        <v>45334</v>
      </c>
      <c r="F960" s="87">
        <v>21616.05078125</v>
      </c>
      <c r="G960" s="88">
        <f t="shared" si="29"/>
        <v>-7.6414194307356824E-3</v>
      </c>
    </row>
    <row r="961" spans="1:7" ht="14.25" customHeight="1" x14ac:dyDescent="0.35">
      <c r="A961" s="85">
        <v>45335</v>
      </c>
      <c r="B961">
        <v>1200.6099999999999</v>
      </c>
      <c r="C961">
        <f t="shared" si="28"/>
        <v>-6.9083766147302785E-4</v>
      </c>
      <c r="E961" s="86">
        <v>45335</v>
      </c>
      <c r="F961" s="87">
        <v>21743.25</v>
      </c>
      <c r="G961" s="88">
        <f t="shared" si="29"/>
        <v>5.8844800115076526E-3</v>
      </c>
    </row>
    <row r="962" spans="1:7" ht="14.25" customHeight="1" x14ac:dyDescent="0.35">
      <c r="A962" s="85">
        <v>45336</v>
      </c>
      <c r="B962">
        <v>1215.0899999999999</v>
      </c>
      <c r="C962">
        <f t="shared" si="28"/>
        <v>1.2060535894253771E-2</v>
      </c>
      <c r="E962" s="86">
        <v>45336</v>
      </c>
      <c r="F962" s="87">
        <v>21840.05078125</v>
      </c>
      <c r="G962" s="88">
        <f t="shared" si="29"/>
        <v>4.4519922849619994E-3</v>
      </c>
    </row>
    <row r="963" spans="1:7" ht="14.25" customHeight="1" x14ac:dyDescent="0.35">
      <c r="A963" s="85">
        <v>45337</v>
      </c>
      <c r="B963">
        <v>1202.1300000000001</v>
      </c>
      <c r="C963">
        <f t="shared" si="28"/>
        <v>-1.0665876601733048E-2</v>
      </c>
      <c r="E963" s="86">
        <v>45337</v>
      </c>
      <c r="F963" s="87">
        <v>21910.75</v>
      </c>
      <c r="G963" s="88">
        <f t="shared" si="29"/>
        <v>3.2371361888359849E-3</v>
      </c>
    </row>
    <row r="964" spans="1:7" ht="14.25" customHeight="1" x14ac:dyDescent="0.35">
      <c r="A964" s="85">
        <v>45338</v>
      </c>
      <c r="B964">
        <v>1218.8399999999999</v>
      </c>
      <c r="C964">
        <f t="shared" si="28"/>
        <v>1.3900326919717342E-2</v>
      </c>
      <c r="E964" s="86">
        <v>45338</v>
      </c>
      <c r="F964" s="87">
        <v>22040.69921875</v>
      </c>
      <c r="G964" s="88">
        <f t="shared" si="29"/>
        <v>5.9308430222607626E-3</v>
      </c>
    </row>
    <row r="965" spans="1:7" ht="14.25" customHeight="1" x14ac:dyDescent="0.35">
      <c r="A965" s="85">
        <v>45341</v>
      </c>
      <c r="B965">
        <v>1231.3800000000001</v>
      </c>
      <c r="C965">
        <f t="shared" ref="C965:C1028" si="30">(B965-B964)/B964</f>
        <v>1.0288471005218234E-2</v>
      </c>
      <c r="E965" s="86">
        <v>45341</v>
      </c>
      <c r="F965" s="87">
        <v>22122.25</v>
      </c>
      <c r="G965" s="88">
        <f t="shared" ref="G965:G1028" si="31">(F965-F964)/F964</f>
        <v>3.7000088082788604E-3</v>
      </c>
    </row>
    <row r="966" spans="1:7" ht="14.25" customHeight="1" x14ac:dyDescent="0.35">
      <c r="A966" s="85">
        <v>45342</v>
      </c>
      <c r="B966">
        <v>1244.2</v>
      </c>
      <c r="C966">
        <f t="shared" si="30"/>
        <v>1.0411083499813165E-2</v>
      </c>
      <c r="E966" s="86">
        <v>45342</v>
      </c>
      <c r="F966" s="87">
        <v>22196.94921875</v>
      </c>
      <c r="G966" s="88">
        <f t="shared" si="31"/>
        <v>3.3766555730090748E-3</v>
      </c>
    </row>
    <row r="967" spans="1:7" ht="14.25" customHeight="1" x14ac:dyDescent="0.35">
      <c r="A967" s="85">
        <v>45343</v>
      </c>
      <c r="B967">
        <v>1246.25</v>
      </c>
      <c r="C967">
        <f t="shared" si="30"/>
        <v>1.64764507313933E-3</v>
      </c>
      <c r="E967" s="86">
        <v>45343</v>
      </c>
      <c r="F967" s="87">
        <v>22055.05078125</v>
      </c>
      <c r="G967" s="88">
        <f t="shared" si="31"/>
        <v>-6.3927000103301077E-3</v>
      </c>
    </row>
    <row r="968" spans="1:7" ht="14.25" customHeight="1" x14ac:dyDescent="0.35">
      <c r="A968" s="85">
        <v>45344</v>
      </c>
      <c r="B968">
        <v>1255.83</v>
      </c>
      <c r="C968">
        <f t="shared" si="30"/>
        <v>7.6870611835505934E-3</v>
      </c>
      <c r="E968" s="86">
        <v>45344</v>
      </c>
      <c r="F968" s="87">
        <v>22217.44921875</v>
      </c>
      <c r="G968" s="88">
        <f t="shared" si="31"/>
        <v>7.3633218581415499E-3</v>
      </c>
    </row>
    <row r="969" spans="1:7" ht="14.25" customHeight="1" x14ac:dyDescent="0.35">
      <c r="A969" s="85">
        <v>45345</v>
      </c>
      <c r="B969">
        <v>1263.5999999999999</v>
      </c>
      <c r="C969">
        <f t="shared" si="30"/>
        <v>6.1871431642817757E-3</v>
      </c>
      <c r="E969" s="86">
        <v>45345</v>
      </c>
      <c r="F969" s="87">
        <v>22212.69921875</v>
      </c>
      <c r="G969" s="88">
        <f t="shared" si="31"/>
        <v>-2.1379592019012364E-4</v>
      </c>
    </row>
    <row r="970" spans="1:7" ht="14.25" customHeight="1" x14ac:dyDescent="0.35">
      <c r="A970" s="85">
        <v>45348</v>
      </c>
      <c r="B970">
        <v>1266</v>
      </c>
      <c r="C970">
        <f t="shared" si="30"/>
        <v>1.8993352326686381E-3</v>
      </c>
      <c r="E970" s="86">
        <v>45348</v>
      </c>
      <c r="F970" s="87">
        <v>22122.05078125</v>
      </c>
      <c r="G970" s="88">
        <f t="shared" si="31"/>
        <v>-4.0809285088361791E-3</v>
      </c>
    </row>
    <row r="971" spans="1:7" ht="14.25" customHeight="1" x14ac:dyDescent="0.35">
      <c r="A971" s="85">
        <v>45349</v>
      </c>
      <c r="B971">
        <v>1273.25</v>
      </c>
      <c r="C971">
        <f t="shared" si="30"/>
        <v>5.7266982622432858E-3</v>
      </c>
      <c r="E971" s="86">
        <v>45349</v>
      </c>
      <c r="F971" s="87">
        <v>22198.349609375</v>
      </c>
      <c r="G971" s="88">
        <f t="shared" si="31"/>
        <v>3.4489943486464033E-3</v>
      </c>
    </row>
    <row r="972" spans="1:7" ht="14.25" customHeight="1" x14ac:dyDescent="0.35">
      <c r="A972" s="85">
        <v>45350</v>
      </c>
      <c r="B972">
        <v>1259.6300000000001</v>
      </c>
      <c r="C972">
        <f t="shared" si="30"/>
        <v>-1.0697035146279121E-2</v>
      </c>
      <c r="E972" s="86">
        <v>45350</v>
      </c>
      <c r="F972" s="87">
        <v>21951.150390625</v>
      </c>
      <c r="G972" s="88">
        <f t="shared" si="31"/>
        <v>-1.1135927809948569E-2</v>
      </c>
    </row>
    <row r="973" spans="1:7" ht="14.25" customHeight="1" x14ac:dyDescent="0.35">
      <c r="A973" s="85">
        <v>45351</v>
      </c>
      <c r="B973">
        <v>1272.02</v>
      </c>
      <c r="C973">
        <f t="shared" si="30"/>
        <v>9.8362217476559554E-3</v>
      </c>
      <c r="E973" s="86">
        <v>45351</v>
      </c>
      <c r="F973" s="87">
        <v>21982.80078125</v>
      </c>
      <c r="G973" s="88">
        <f t="shared" si="31"/>
        <v>1.4418556686904846E-3</v>
      </c>
    </row>
    <row r="974" spans="1:7" ht="14.25" customHeight="1" x14ac:dyDescent="0.35">
      <c r="A974" s="85">
        <v>45352</v>
      </c>
      <c r="B974">
        <v>1274.5999999999999</v>
      </c>
      <c r="C974">
        <f t="shared" si="30"/>
        <v>2.0282699957547266E-3</v>
      </c>
      <c r="E974" s="86">
        <v>45352</v>
      </c>
      <c r="F974" s="87">
        <v>22338.75</v>
      </c>
      <c r="G974" s="88">
        <f t="shared" si="31"/>
        <v>1.6192168700068607E-2</v>
      </c>
    </row>
    <row r="975" spans="1:7" ht="14.25" customHeight="1" x14ac:dyDescent="0.35">
      <c r="A975" s="85">
        <v>45355</v>
      </c>
      <c r="B975">
        <v>1268.55</v>
      </c>
      <c r="C975">
        <f t="shared" si="30"/>
        <v>-4.746587164600624E-3</v>
      </c>
      <c r="E975" s="86">
        <v>45355</v>
      </c>
      <c r="F975" s="87">
        <v>22405.599609375</v>
      </c>
      <c r="G975" s="88">
        <f t="shared" si="31"/>
        <v>2.9925402887359411E-3</v>
      </c>
    </row>
    <row r="976" spans="1:7" ht="14.25" customHeight="1" x14ac:dyDescent="0.35">
      <c r="A976" s="85">
        <v>45356</v>
      </c>
      <c r="B976">
        <v>1243.83</v>
      </c>
      <c r="C976">
        <f t="shared" si="30"/>
        <v>-1.9486815655669881E-2</v>
      </c>
      <c r="E976" s="86">
        <v>45356</v>
      </c>
      <c r="F976" s="87">
        <v>22356.30078125</v>
      </c>
      <c r="G976" s="88">
        <f t="shared" si="31"/>
        <v>-2.2002905070379049E-3</v>
      </c>
    </row>
    <row r="977" spans="1:7" ht="14.25" customHeight="1" x14ac:dyDescent="0.35">
      <c r="A977" s="85">
        <v>45357</v>
      </c>
      <c r="B977">
        <v>1241.08</v>
      </c>
      <c r="C977">
        <f t="shared" si="30"/>
        <v>-2.2109130668982097E-3</v>
      </c>
      <c r="E977" s="86">
        <v>45357</v>
      </c>
      <c r="F977" s="87">
        <v>22474.05078125</v>
      </c>
      <c r="G977" s="88">
        <f t="shared" si="31"/>
        <v>5.2669715420341689E-3</v>
      </c>
    </row>
    <row r="978" spans="1:7" ht="14.25" customHeight="1" x14ac:dyDescent="0.35">
      <c r="A978" s="85">
        <v>45358</v>
      </c>
      <c r="B978">
        <v>1254.75</v>
      </c>
      <c r="C978">
        <f t="shared" si="30"/>
        <v>1.101460018693402E-2</v>
      </c>
      <c r="E978" s="86">
        <v>45358</v>
      </c>
      <c r="F978" s="87">
        <v>22493.55078125</v>
      </c>
      <c r="G978" s="88">
        <f t="shared" si="31"/>
        <v>8.6766734621195941E-4</v>
      </c>
    </row>
    <row r="979" spans="1:7" ht="14.25" customHeight="1" x14ac:dyDescent="0.35">
      <c r="A979" s="85">
        <v>45362</v>
      </c>
      <c r="B979">
        <v>1279.52</v>
      </c>
      <c r="C979">
        <f t="shared" si="30"/>
        <v>1.9740984259812699E-2</v>
      </c>
      <c r="E979" s="86">
        <v>45362</v>
      </c>
      <c r="F979" s="87">
        <v>22332.650390625</v>
      </c>
      <c r="G979" s="88">
        <f t="shared" si="31"/>
        <v>-7.1531788017711326E-3</v>
      </c>
    </row>
    <row r="980" spans="1:7" ht="14.25" customHeight="1" x14ac:dyDescent="0.35">
      <c r="A980" s="85">
        <v>45363</v>
      </c>
      <c r="B980">
        <v>1269.06</v>
      </c>
      <c r="C980">
        <f t="shared" si="30"/>
        <v>-8.17494060272605E-3</v>
      </c>
      <c r="E980" s="86">
        <v>45363</v>
      </c>
      <c r="F980" s="87">
        <v>22335.69921875</v>
      </c>
      <c r="G980" s="88">
        <f t="shared" si="31"/>
        <v>1.3651886684617893E-4</v>
      </c>
    </row>
    <row r="981" spans="1:7" ht="14.25" customHeight="1" x14ac:dyDescent="0.35">
      <c r="A981" s="85">
        <v>45364</v>
      </c>
      <c r="B981">
        <v>1265.53</v>
      </c>
      <c r="C981">
        <f t="shared" si="30"/>
        <v>-2.7815863710147454E-3</v>
      </c>
      <c r="E981" s="86">
        <v>45364</v>
      </c>
      <c r="F981" s="87">
        <v>21997.69921875</v>
      </c>
      <c r="G981" s="88">
        <f t="shared" si="31"/>
        <v>-1.5132725270416491E-2</v>
      </c>
    </row>
    <row r="982" spans="1:7" ht="14.25" customHeight="1" x14ac:dyDescent="0.35">
      <c r="A982" s="85">
        <v>45365</v>
      </c>
      <c r="B982">
        <v>1280.1300000000001</v>
      </c>
      <c r="C982">
        <f t="shared" si="30"/>
        <v>1.1536668431408293E-2</v>
      </c>
      <c r="E982" s="86">
        <v>45365</v>
      </c>
      <c r="F982" s="87">
        <v>22146.650390625</v>
      </c>
      <c r="G982" s="88">
        <f t="shared" si="31"/>
        <v>6.7712159528047237E-3</v>
      </c>
    </row>
    <row r="983" spans="1:7" ht="14.25" customHeight="1" x14ac:dyDescent="0.35">
      <c r="A983" s="85">
        <v>45366</v>
      </c>
      <c r="B983">
        <v>1275.67</v>
      </c>
      <c r="C983">
        <f t="shared" si="30"/>
        <v>-3.4840211541015647E-3</v>
      </c>
      <c r="E983" s="86">
        <v>45366</v>
      </c>
      <c r="F983" s="87">
        <v>22023.349609375</v>
      </c>
      <c r="G983" s="88">
        <f t="shared" si="31"/>
        <v>-5.5674686273186943E-3</v>
      </c>
    </row>
    <row r="984" spans="1:7" ht="14.25" customHeight="1" x14ac:dyDescent="0.35">
      <c r="A984" s="85">
        <v>45369</v>
      </c>
      <c r="B984">
        <v>1264.26</v>
      </c>
      <c r="C984">
        <f t="shared" si="30"/>
        <v>-8.9443194556586593E-3</v>
      </c>
      <c r="E984" s="86">
        <v>45369</v>
      </c>
      <c r="F984" s="87">
        <v>22055.69921875</v>
      </c>
      <c r="G984" s="88">
        <f t="shared" si="31"/>
        <v>1.4688778023679591E-3</v>
      </c>
    </row>
    <row r="985" spans="1:7" ht="14.25" customHeight="1" x14ac:dyDescent="0.35">
      <c r="A985" s="85">
        <v>45370</v>
      </c>
      <c r="B985">
        <v>1222.96</v>
      </c>
      <c r="C985">
        <f t="shared" si="30"/>
        <v>-3.2667331086959926E-2</v>
      </c>
      <c r="E985" s="86">
        <v>45370</v>
      </c>
      <c r="F985" s="87">
        <v>21817.44921875</v>
      </c>
      <c r="G985" s="88">
        <f t="shared" si="31"/>
        <v>-1.080219664028873E-2</v>
      </c>
    </row>
    <row r="986" spans="1:7" ht="14.25" customHeight="1" x14ac:dyDescent="0.35">
      <c r="A986" s="85">
        <v>45371</v>
      </c>
      <c r="B986">
        <v>1249.51</v>
      </c>
      <c r="C986">
        <f t="shared" si="30"/>
        <v>2.1709622555112149E-2</v>
      </c>
      <c r="E986" s="86">
        <v>45371</v>
      </c>
      <c r="F986" s="87">
        <v>21839.099609375</v>
      </c>
      <c r="G986" s="88">
        <f t="shared" si="31"/>
        <v>9.9234289068006964E-4</v>
      </c>
    </row>
    <row r="987" spans="1:7" ht="14.25" customHeight="1" x14ac:dyDescent="0.35">
      <c r="A987" s="85">
        <v>45372</v>
      </c>
      <c r="B987">
        <v>1251.18</v>
      </c>
      <c r="C987">
        <f t="shared" si="30"/>
        <v>1.3365239173756694E-3</v>
      </c>
      <c r="E987" s="86">
        <v>45372</v>
      </c>
      <c r="F987" s="87">
        <v>22011.94921875</v>
      </c>
      <c r="G987" s="88">
        <f t="shared" si="31"/>
        <v>7.9146856998078725E-3</v>
      </c>
    </row>
    <row r="988" spans="1:7" ht="14.25" customHeight="1" x14ac:dyDescent="0.35">
      <c r="A988" s="85">
        <v>45373</v>
      </c>
      <c r="B988">
        <v>1260.8499999999999</v>
      </c>
      <c r="C988">
        <f t="shared" si="30"/>
        <v>7.7287041033263356E-3</v>
      </c>
      <c r="E988" s="86">
        <v>45373</v>
      </c>
      <c r="F988" s="87">
        <v>22096.75</v>
      </c>
      <c r="G988" s="88">
        <f t="shared" si="31"/>
        <v>3.8524885010077091E-3</v>
      </c>
    </row>
    <row r="989" spans="1:7" ht="14.25" customHeight="1" x14ac:dyDescent="0.35">
      <c r="A989" s="85">
        <v>45377</v>
      </c>
      <c r="B989">
        <v>1267.08</v>
      </c>
      <c r="C989">
        <f t="shared" si="30"/>
        <v>4.941111155173112E-3</v>
      </c>
      <c r="E989" s="86">
        <v>45377</v>
      </c>
      <c r="F989" s="87">
        <v>22004.69921875</v>
      </c>
      <c r="G989" s="88">
        <f t="shared" si="31"/>
        <v>-4.1658063402989125E-3</v>
      </c>
    </row>
    <row r="990" spans="1:7" ht="14.25" customHeight="1" x14ac:dyDescent="0.35">
      <c r="A990" s="85">
        <v>45378</v>
      </c>
      <c r="B990">
        <v>1257.45</v>
      </c>
      <c r="C990">
        <f t="shared" si="30"/>
        <v>-7.6001515295008072E-3</v>
      </c>
      <c r="E990" s="86">
        <v>45378</v>
      </c>
      <c r="F990" s="87">
        <v>22123.650390625</v>
      </c>
      <c r="G990" s="88">
        <f t="shared" si="31"/>
        <v>5.40571678315161E-3</v>
      </c>
    </row>
    <row r="991" spans="1:7" ht="14.25" customHeight="1" x14ac:dyDescent="0.35">
      <c r="A991" s="85">
        <v>45379</v>
      </c>
      <c r="B991">
        <v>1284.8399999999999</v>
      </c>
      <c r="C991">
        <f t="shared" si="30"/>
        <v>2.178217821782168E-2</v>
      </c>
      <c r="E991" s="86">
        <v>45379</v>
      </c>
      <c r="F991" s="87">
        <v>22326.900390625</v>
      </c>
      <c r="G991" s="88">
        <f t="shared" si="31"/>
        <v>9.1870010785438973E-3</v>
      </c>
    </row>
    <row r="992" spans="1:7" ht="14.25" customHeight="1" x14ac:dyDescent="0.35">
      <c r="A992" s="85">
        <v>45383</v>
      </c>
      <c r="B992">
        <v>1266.83</v>
      </c>
      <c r="C992">
        <f t="shared" si="30"/>
        <v>-1.4017309548270596E-2</v>
      </c>
      <c r="E992" s="86">
        <v>45383</v>
      </c>
      <c r="F992" s="87">
        <v>22462</v>
      </c>
      <c r="G992" s="88">
        <f t="shared" si="31"/>
        <v>6.0509791780917303E-3</v>
      </c>
    </row>
    <row r="993" spans="1:7" ht="14.25" customHeight="1" x14ac:dyDescent="0.35">
      <c r="A993" s="85">
        <v>45384</v>
      </c>
      <c r="B993">
        <v>1285.3</v>
      </c>
      <c r="C993">
        <f t="shared" si="30"/>
        <v>1.457969893355859E-2</v>
      </c>
      <c r="E993" s="86">
        <v>45384</v>
      </c>
      <c r="F993" s="87">
        <v>22453.30078125</v>
      </c>
      <c r="G993" s="88">
        <f t="shared" si="31"/>
        <v>-3.872860275131333E-4</v>
      </c>
    </row>
    <row r="994" spans="1:7" ht="14.25" customHeight="1" x14ac:dyDescent="0.35">
      <c r="A994" s="85">
        <v>45385</v>
      </c>
      <c r="B994">
        <v>1251.32</v>
      </c>
      <c r="C994">
        <f t="shared" si="30"/>
        <v>-2.6437407609118509E-2</v>
      </c>
      <c r="E994" s="86">
        <v>45385</v>
      </c>
      <c r="F994" s="87">
        <v>22434.650390625</v>
      </c>
      <c r="G994" s="88">
        <f t="shared" si="31"/>
        <v>-8.3063024036868183E-4</v>
      </c>
    </row>
    <row r="995" spans="1:7" ht="14.25" customHeight="1" x14ac:dyDescent="0.35">
      <c r="A995" s="85">
        <v>45386</v>
      </c>
      <c r="B995">
        <v>1249.19</v>
      </c>
      <c r="C995">
        <f t="shared" si="30"/>
        <v>-1.7022024741871638E-3</v>
      </c>
      <c r="E995" s="86">
        <v>45386</v>
      </c>
      <c r="F995" s="87">
        <v>22514.650390625</v>
      </c>
      <c r="G995" s="88">
        <f t="shared" si="31"/>
        <v>3.5659124883635554E-3</v>
      </c>
    </row>
    <row r="996" spans="1:7" ht="14.25" customHeight="1" x14ac:dyDescent="0.35">
      <c r="A996" s="85">
        <v>45387</v>
      </c>
      <c r="B996">
        <v>1243.3399999999999</v>
      </c>
      <c r="C996">
        <f t="shared" si="30"/>
        <v>-4.6830346064250725E-3</v>
      </c>
      <c r="E996" s="86">
        <v>45387</v>
      </c>
      <c r="F996" s="87">
        <v>22513.69921875</v>
      </c>
      <c r="G996" s="88">
        <f t="shared" si="31"/>
        <v>-4.2246797462867275E-5</v>
      </c>
    </row>
    <row r="997" spans="1:7" ht="14.25" customHeight="1" x14ac:dyDescent="0.35">
      <c r="A997" s="85">
        <v>45390</v>
      </c>
      <c r="B997">
        <v>1223.94</v>
      </c>
      <c r="C997">
        <f t="shared" si="30"/>
        <v>-1.5603133495262652E-2</v>
      </c>
      <c r="E997" s="86">
        <v>45390</v>
      </c>
      <c r="F997" s="87">
        <v>22666.30078125</v>
      </c>
      <c r="G997" s="88">
        <f t="shared" si="31"/>
        <v>6.7781647528145621E-3</v>
      </c>
    </row>
    <row r="998" spans="1:7" ht="14.25" customHeight="1" x14ac:dyDescent="0.35">
      <c r="A998" s="85">
        <v>45391</v>
      </c>
      <c r="B998">
        <v>1226.26</v>
      </c>
      <c r="C998">
        <f t="shared" si="30"/>
        <v>1.8955177541382226E-3</v>
      </c>
      <c r="E998" s="86">
        <v>45391</v>
      </c>
      <c r="F998" s="87">
        <v>22642.75</v>
      </c>
      <c r="G998" s="88">
        <f t="shared" si="31"/>
        <v>-1.0390218270412109E-3</v>
      </c>
    </row>
    <row r="999" spans="1:7" ht="14.25" customHeight="1" x14ac:dyDescent="0.35">
      <c r="A999" s="85">
        <v>45392</v>
      </c>
      <c r="B999">
        <v>1238.4100000000001</v>
      </c>
      <c r="C999">
        <f t="shared" si="30"/>
        <v>9.9081760801135906E-3</v>
      </c>
      <c r="E999" s="86">
        <v>45392</v>
      </c>
      <c r="F999" s="87">
        <v>22753.80078125</v>
      </c>
      <c r="G999" s="88">
        <f t="shared" si="31"/>
        <v>4.9044741142308243E-3</v>
      </c>
    </row>
    <row r="1000" spans="1:7" ht="14.25" customHeight="1" x14ac:dyDescent="0.35">
      <c r="A1000" s="85">
        <v>45394</v>
      </c>
      <c r="B1000">
        <v>1242.6300000000001</v>
      </c>
      <c r="C1000">
        <f t="shared" si="30"/>
        <v>3.4075952229068135E-3</v>
      </c>
      <c r="E1000" s="86">
        <v>45394</v>
      </c>
      <c r="F1000" s="87">
        <v>22519.400390625</v>
      </c>
      <c r="G1000" s="88">
        <f t="shared" si="31"/>
        <v>-1.0301592814249954E-2</v>
      </c>
    </row>
    <row r="1001" spans="1:7" ht="14.25" customHeight="1" x14ac:dyDescent="0.35">
      <c r="A1001" s="85">
        <v>45397</v>
      </c>
      <c r="B1001">
        <v>1251.18</v>
      </c>
      <c r="C1001">
        <f t="shared" si="30"/>
        <v>6.8805678279133401E-3</v>
      </c>
      <c r="E1001" s="86">
        <v>45397</v>
      </c>
      <c r="F1001" s="87">
        <v>22272.5</v>
      </c>
      <c r="G1001" s="88">
        <f t="shared" si="31"/>
        <v>-1.0963897188301094E-2</v>
      </c>
    </row>
    <row r="1002" spans="1:7" ht="14.25" customHeight="1" x14ac:dyDescent="0.35">
      <c r="A1002" s="85">
        <v>45398</v>
      </c>
      <c r="B1002">
        <v>1247.48</v>
      </c>
      <c r="C1002">
        <f t="shared" si="30"/>
        <v>-2.9572083952748968E-3</v>
      </c>
      <c r="E1002" s="86">
        <v>45398</v>
      </c>
      <c r="F1002" s="87">
        <v>22147.900390625</v>
      </c>
      <c r="G1002" s="88">
        <f t="shared" si="31"/>
        <v>-5.5943252609720511E-3</v>
      </c>
    </row>
    <row r="1003" spans="1:7" ht="14.25" customHeight="1" x14ac:dyDescent="0.35">
      <c r="A1003" s="85">
        <v>45400</v>
      </c>
      <c r="B1003">
        <v>1206.54</v>
      </c>
      <c r="C1003">
        <f t="shared" si="30"/>
        <v>-3.2818161413409479E-2</v>
      </c>
      <c r="E1003" s="86">
        <v>45400</v>
      </c>
      <c r="F1003" s="87">
        <v>21995.849609375</v>
      </c>
      <c r="G1003" s="88">
        <f t="shared" si="31"/>
        <v>-6.8652458503182393E-3</v>
      </c>
    </row>
    <row r="1004" spans="1:7" ht="14.25" customHeight="1" x14ac:dyDescent="0.35">
      <c r="A1004" s="85">
        <v>45401</v>
      </c>
      <c r="B1004">
        <v>1194.3699999999999</v>
      </c>
      <c r="C1004">
        <f t="shared" si="30"/>
        <v>-1.0086694183367375E-2</v>
      </c>
      <c r="E1004" s="86">
        <v>45401</v>
      </c>
      <c r="F1004" s="87">
        <v>22147</v>
      </c>
      <c r="G1004" s="88">
        <f t="shared" si="31"/>
        <v>6.8717686886064708E-3</v>
      </c>
    </row>
    <row r="1005" spans="1:7" ht="14.25" customHeight="1" x14ac:dyDescent="0.35">
      <c r="A1005" s="85">
        <v>45404</v>
      </c>
      <c r="B1005">
        <v>1204.6600000000001</v>
      </c>
      <c r="C1005">
        <f t="shared" si="30"/>
        <v>8.6154206820333659E-3</v>
      </c>
      <c r="E1005" s="86">
        <v>45404</v>
      </c>
      <c r="F1005" s="87">
        <v>22336.400390625</v>
      </c>
      <c r="G1005" s="88">
        <f t="shared" si="31"/>
        <v>8.5519659829773782E-3</v>
      </c>
    </row>
    <row r="1006" spans="1:7" ht="14.25" customHeight="1" x14ac:dyDescent="0.35">
      <c r="A1006" s="85">
        <v>45405</v>
      </c>
      <c r="B1006">
        <v>1225.5</v>
      </c>
      <c r="C1006">
        <f t="shared" si="30"/>
        <v>1.7299486992180296E-2</v>
      </c>
      <c r="E1006" s="86">
        <v>45405</v>
      </c>
      <c r="F1006" s="87">
        <v>22368</v>
      </c>
      <c r="G1006" s="88">
        <f t="shared" si="31"/>
        <v>1.4147135985377009E-3</v>
      </c>
    </row>
    <row r="1007" spans="1:7" ht="14.25" customHeight="1" x14ac:dyDescent="0.35">
      <c r="A1007" s="85">
        <v>45406</v>
      </c>
      <c r="B1007">
        <v>1224.96</v>
      </c>
      <c r="C1007">
        <f t="shared" si="30"/>
        <v>-4.4063647490817106E-4</v>
      </c>
      <c r="E1007" s="86">
        <v>45406</v>
      </c>
      <c r="F1007" s="87">
        <v>22402.400390625</v>
      </c>
      <c r="G1007" s="88">
        <f t="shared" si="31"/>
        <v>1.5379287654238199E-3</v>
      </c>
    </row>
    <row r="1008" spans="1:7" ht="14.25" customHeight="1" x14ac:dyDescent="0.35">
      <c r="A1008" s="85">
        <v>45407</v>
      </c>
      <c r="B1008">
        <v>1255.5899999999999</v>
      </c>
      <c r="C1008">
        <f t="shared" si="30"/>
        <v>2.5004898119122161E-2</v>
      </c>
      <c r="E1008" s="86">
        <v>45407</v>
      </c>
      <c r="F1008" s="87">
        <v>22570.349609375</v>
      </c>
      <c r="G1008" s="88">
        <f t="shared" si="31"/>
        <v>7.4969296067167743E-3</v>
      </c>
    </row>
    <row r="1009" spans="1:7" ht="14.25" customHeight="1" x14ac:dyDescent="0.35">
      <c r="A1009" s="85">
        <v>45408</v>
      </c>
      <c r="B1009">
        <v>1216.44</v>
      </c>
      <c r="C1009">
        <f t="shared" si="30"/>
        <v>-3.1180560533294998E-2</v>
      </c>
      <c r="E1009" s="86">
        <v>45408</v>
      </c>
      <c r="F1009" s="87">
        <v>22419.94921875</v>
      </c>
      <c r="G1009" s="88">
        <f t="shared" si="31"/>
        <v>-6.6636269808832953E-3</v>
      </c>
    </row>
    <row r="1010" spans="1:7" ht="14.25" customHeight="1" x14ac:dyDescent="0.35">
      <c r="A1010" s="85">
        <v>45411</v>
      </c>
      <c r="B1010">
        <v>1229.69</v>
      </c>
      <c r="C1010">
        <f t="shared" si="30"/>
        <v>1.0892440235441123E-2</v>
      </c>
      <c r="E1010" s="86">
        <v>45411</v>
      </c>
      <c r="F1010" s="87">
        <v>22643.400390625</v>
      </c>
      <c r="G1010" s="88">
        <f t="shared" si="31"/>
        <v>9.9666225688025117E-3</v>
      </c>
    </row>
    <row r="1011" spans="1:7" ht="14.25" customHeight="1" x14ac:dyDescent="0.35">
      <c r="A1011" s="85">
        <v>45412</v>
      </c>
      <c r="B1011">
        <v>1228.52</v>
      </c>
      <c r="C1011">
        <f t="shared" si="30"/>
        <v>-9.5145931088328991E-4</v>
      </c>
      <c r="E1011" s="86">
        <v>45412</v>
      </c>
      <c r="F1011" s="87">
        <v>22604.849609375</v>
      </c>
      <c r="G1011" s="88">
        <f t="shared" si="31"/>
        <v>-1.7025173156396201E-3</v>
      </c>
    </row>
    <row r="1012" spans="1:7" ht="14.25" customHeight="1" x14ac:dyDescent="0.35">
      <c r="A1012" s="85">
        <v>45414</v>
      </c>
      <c r="B1012">
        <v>1230.92</v>
      </c>
      <c r="C1012">
        <f t="shared" si="30"/>
        <v>1.9535701494481903E-3</v>
      </c>
      <c r="E1012" s="86">
        <v>45414</v>
      </c>
      <c r="F1012" s="87">
        <v>22648.19921875</v>
      </c>
      <c r="G1012" s="88">
        <f t="shared" si="31"/>
        <v>1.9177127972141625E-3</v>
      </c>
    </row>
    <row r="1013" spans="1:7" ht="14.25" customHeight="1" x14ac:dyDescent="0.35">
      <c r="A1013" s="85">
        <v>45415</v>
      </c>
      <c r="B1013">
        <v>1203.3800000000001</v>
      </c>
      <c r="C1013">
        <f t="shared" si="30"/>
        <v>-2.2373509245117443E-2</v>
      </c>
      <c r="E1013" s="86">
        <v>45415</v>
      </c>
      <c r="F1013" s="87">
        <v>22475.849609375</v>
      </c>
      <c r="G1013" s="88">
        <f t="shared" si="31"/>
        <v>-7.6098592965534824E-3</v>
      </c>
    </row>
    <row r="1014" spans="1:7" ht="14.25" customHeight="1" x14ac:dyDescent="0.35">
      <c r="A1014" s="85">
        <v>45418</v>
      </c>
      <c r="B1014">
        <v>1204.02</v>
      </c>
      <c r="C1014">
        <f t="shared" si="30"/>
        <v>5.3183533048569245E-4</v>
      </c>
      <c r="E1014" s="86">
        <v>45418</v>
      </c>
      <c r="F1014" s="87">
        <v>22442.69921875</v>
      </c>
      <c r="G1014" s="88">
        <f t="shared" si="31"/>
        <v>-1.4749338156797639E-3</v>
      </c>
    </row>
    <row r="1015" spans="1:7" ht="14.25" customHeight="1" x14ac:dyDescent="0.35">
      <c r="A1015" s="85">
        <v>45419</v>
      </c>
      <c r="B1015">
        <v>1229.1300000000001</v>
      </c>
      <c r="C1015">
        <f t="shared" si="30"/>
        <v>2.0855135296755974E-2</v>
      </c>
      <c r="E1015" s="86">
        <v>45419</v>
      </c>
      <c r="F1015" s="87">
        <v>22302.5</v>
      </c>
      <c r="G1015" s="88">
        <f t="shared" si="31"/>
        <v>-6.2469855957820357E-3</v>
      </c>
    </row>
    <row r="1016" spans="1:7" ht="14.25" customHeight="1" x14ac:dyDescent="0.35">
      <c r="A1016" s="85">
        <v>45420</v>
      </c>
      <c r="B1016">
        <v>1244</v>
      </c>
      <c r="C1016">
        <f t="shared" si="30"/>
        <v>1.2097988007777769E-2</v>
      </c>
      <c r="E1016" s="86">
        <v>45420</v>
      </c>
      <c r="F1016" s="87">
        <v>22302.5</v>
      </c>
      <c r="G1016" s="88">
        <f t="shared" si="31"/>
        <v>0</v>
      </c>
    </row>
    <row r="1017" spans="1:7" ht="14.25" customHeight="1" x14ac:dyDescent="0.35">
      <c r="A1017" s="85">
        <v>45421</v>
      </c>
      <c r="B1017">
        <v>1231.48</v>
      </c>
      <c r="C1017">
        <f t="shared" si="30"/>
        <v>-1.0064308681672011E-2</v>
      </c>
      <c r="E1017" s="86">
        <v>45421</v>
      </c>
      <c r="F1017" s="87">
        <v>21957.5</v>
      </c>
      <c r="G1017" s="88">
        <f t="shared" si="31"/>
        <v>-1.5469117811904494E-2</v>
      </c>
    </row>
    <row r="1018" spans="1:7" ht="14.25" customHeight="1" x14ac:dyDescent="0.35">
      <c r="A1018" s="85">
        <v>45422</v>
      </c>
      <c r="B1018">
        <v>1241.1600000000001</v>
      </c>
      <c r="C1018">
        <f t="shared" si="30"/>
        <v>7.860460584012784E-3</v>
      </c>
      <c r="E1018" s="86">
        <v>45422</v>
      </c>
      <c r="F1018" s="87">
        <v>22055.19921875</v>
      </c>
      <c r="G1018" s="88">
        <f t="shared" si="31"/>
        <v>4.4494691449390869E-3</v>
      </c>
    </row>
    <row r="1019" spans="1:7" ht="14.25" customHeight="1" x14ac:dyDescent="0.35">
      <c r="A1019" s="85">
        <v>45425</v>
      </c>
      <c r="B1019">
        <v>1232.8499999999999</v>
      </c>
      <c r="C1019">
        <f t="shared" si="30"/>
        <v>-6.6953495117472138E-3</v>
      </c>
      <c r="E1019" s="86">
        <v>45425</v>
      </c>
      <c r="F1019" s="87">
        <v>22104.05078125</v>
      </c>
      <c r="G1019" s="88">
        <f t="shared" si="31"/>
        <v>2.214968090538459E-3</v>
      </c>
    </row>
    <row r="1020" spans="1:7" ht="14.25" customHeight="1" x14ac:dyDescent="0.35">
      <c r="A1020" s="85">
        <v>45426</v>
      </c>
      <c r="B1020">
        <v>1218.69</v>
      </c>
      <c r="C1020">
        <f t="shared" si="30"/>
        <v>-1.1485582187613948E-2</v>
      </c>
      <c r="E1020" s="86">
        <v>45426</v>
      </c>
      <c r="F1020" s="87">
        <v>22217.849609375</v>
      </c>
      <c r="G1020" s="88">
        <f t="shared" si="31"/>
        <v>5.1483245877054842E-3</v>
      </c>
    </row>
    <row r="1021" spans="1:7" ht="14.25" customHeight="1" x14ac:dyDescent="0.35">
      <c r="A1021" s="85">
        <v>45427</v>
      </c>
      <c r="B1021">
        <v>1207.74</v>
      </c>
      <c r="C1021">
        <f t="shared" si="30"/>
        <v>-8.9850577259188522E-3</v>
      </c>
      <c r="E1021" s="86">
        <v>45427</v>
      </c>
      <c r="F1021" s="87">
        <v>22200.55078125</v>
      </c>
      <c r="G1021" s="88">
        <f t="shared" si="31"/>
        <v>-7.7860046895360301E-4</v>
      </c>
    </row>
    <row r="1022" spans="1:7" ht="14.25" customHeight="1" x14ac:dyDescent="0.35">
      <c r="A1022" s="85">
        <v>45428</v>
      </c>
      <c r="B1022">
        <v>1209.3800000000001</v>
      </c>
      <c r="C1022">
        <f t="shared" si="30"/>
        <v>1.3579081590409359E-3</v>
      </c>
      <c r="E1022" s="86">
        <v>45428</v>
      </c>
      <c r="F1022" s="87">
        <v>22403.849609375</v>
      </c>
      <c r="G1022" s="88">
        <f t="shared" si="31"/>
        <v>9.1573776762647191E-3</v>
      </c>
    </row>
    <row r="1023" spans="1:7" ht="14.25" customHeight="1" x14ac:dyDescent="0.35">
      <c r="A1023" s="85">
        <v>45429</v>
      </c>
      <c r="B1023">
        <v>1198.19</v>
      </c>
      <c r="C1023">
        <f t="shared" si="30"/>
        <v>-9.2526749243414426E-3</v>
      </c>
      <c r="E1023" s="86">
        <v>45429</v>
      </c>
      <c r="F1023" s="87">
        <v>22466.099609375</v>
      </c>
      <c r="G1023" s="88">
        <f t="shared" si="31"/>
        <v>2.7785403439751347E-3</v>
      </c>
    </row>
    <row r="1024" spans="1:7" ht="14.25" customHeight="1" x14ac:dyDescent="0.35">
      <c r="A1024" s="85">
        <v>45433</v>
      </c>
      <c r="B1024">
        <v>1205.68</v>
      </c>
      <c r="C1024">
        <f t="shared" si="30"/>
        <v>6.2510954022317071E-3</v>
      </c>
      <c r="E1024" s="86">
        <v>45433</v>
      </c>
      <c r="F1024" s="87">
        <v>22529.05078125</v>
      </c>
      <c r="G1024" s="88">
        <f t="shared" si="31"/>
        <v>2.8020516676036979E-3</v>
      </c>
    </row>
    <row r="1025" spans="1:7" ht="14.25" customHeight="1" x14ac:dyDescent="0.35">
      <c r="A1025" s="85">
        <v>45434</v>
      </c>
      <c r="B1025">
        <v>1209.78</v>
      </c>
      <c r="C1025">
        <f t="shared" si="30"/>
        <v>3.4005706323401805E-3</v>
      </c>
      <c r="E1025" s="86">
        <v>45434</v>
      </c>
      <c r="F1025" s="87">
        <v>22597.80078125</v>
      </c>
      <c r="G1025" s="88">
        <f t="shared" si="31"/>
        <v>3.051615474950138E-3</v>
      </c>
    </row>
    <row r="1026" spans="1:7" ht="14.25" customHeight="1" x14ac:dyDescent="0.35">
      <c r="A1026" s="85">
        <v>45435</v>
      </c>
      <c r="B1026">
        <v>1212.23</v>
      </c>
      <c r="C1026">
        <f t="shared" si="30"/>
        <v>2.0251615996297223E-3</v>
      </c>
      <c r="E1026" s="86">
        <v>45435</v>
      </c>
      <c r="F1026" s="87">
        <v>22967.650390625</v>
      </c>
      <c r="G1026" s="88">
        <f t="shared" si="31"/>
        <v>1.6366619608483058E-2</v>
      </c>
    </row>
    <row r="1027" spans="1:7" ht="14.25" customHeight="1" x14ac:dyDescent="0.35">
      <c r="A1027" s="85">
        <v>45436</v>
      </c>
      <c r="B1027">
        <v>1209.0899999999999</v>
      </c>
      <c r="C1027">
        <f t="shared" si="30"/>
        <v>-2.5902675234898494E-3</v>
      </c>
      <c r="E1027" s="86">
        <v>45436</v>
      </c>
      <c r="F1027" s="87">
        <v>22957.099609375</v>
      </c>
      <c r="G1027" s="88">
        <f t="shared" si="31"/>
        <v>-4.5937573371922485E-4</v>
      </c>
    </row>
    <row r="1028" spans="1:7" ht="14.25" customHeight="1" x14ac:dyDescent="0.35">
      <c r="A1028" s="85">
        <v>45439</v>
      </c>
      <c r="B1028">
        <v>1205.24</v>
      </c>
      <c r="C1028">
        <f t="shared" si="30"/>
        <v>-3.1842129204607676E-3</v>
      </c>
      <c r="E1028" s="86">
        <v>45439</v>
      </c>
      <c r="F1028" s="87">
        <v>22932.44921875</v>
      </c>
      <c r="G1028" s="88">
        <f t="shared" si="31"/>
        <v>-1.0737589261900274E-3</v>
      </c>
    </row>
    <row r="1029" spans="1:7" ht="14.25" customHeight="1" x14ac:dyDescent="0.35">
      <c r="A1029" s="85">
        <v>45440</v>
      </c>
      <c r="B1029">
        <v>1201.23</v>
      </c>
      <c r="C1029">
        <f t="shared" ref="C1029:C1092" si="32">(B1029-B1028)/B1028</f>
        <v>-3.3271381633533494E-3</v>
      </c>
      <c r="E1029" s="86">
        <v>45440</v>
      </c>
      <c r="F1029" s="87">
        <v>22888.150390625</v>
      </c>
      <c r="G1029" s="88">
        <f t="shared" ref="G1029:G1092" si="33">(F1029-F1028)/F1028</f>
        <v>-1.9317094176221025E-3</v>
      </c>
    </row>
    <row r="1030" spans="1:7" ht="14.25" customHeight="1" x14ac:dyDescent="0.35">
      <c r="A1030" s="85">
        <v>45441</v>
      </c>
      <c r="B1030">
        <v>1213.23</v>
      </c>
      <c r="C1030">
        <f t="shared" si="32"/>
        <v>9.9897604954921199E-3</v>
      </c>
      <c r="E1030" s="86">
        <v>45441</v>
      </c>
      <c r="F1030" s="87">
        <v>22704.69921875</v>
      </c>
      <c r="G1030" s="88">
        <f t="shared" si="33"/>
        <v>-8.0151156272610692E-3</v>
      </c>
    </row>
    <row r="1031" spans="1:7" ht="14.25" customHeight="1" x14ac:dyDescent="0.35">
      <c r="A1031" s="85">
        <v>45442</v>
      </c>
      <c r="B1031">
        <v>1178.25</v>
      </c>
      <c r="C1031">
        <f t="shared" si="32"/>
        <v>-2.8832125812912654E-2</v>
      </c>
      <c r="E1031" s="86">
        <v>45442</v>
      </c>
      <c r="F1031" s="87">
        <v>22488.650390625</v>
      </c>
      <c r="G1031" s="88">
        <f t="shared" si="33"/>
        <v>-9.5155996581792416E-3</v>
      </c>
    </row>
    <row r="1032" spans="1:7" ht="14.25" customHeight="1" x14ac:dyDescent="0.35">
      <c r="A1032" s="85">
        <v>45443</v>
      </c>
      <c r="B1032">
        <v>1153.8</v>
      </c>
      <c r="C1032">
        <f t="shared" si="32"/>
        <v>-2.0751113940165537E-2</v>
      </c>
      <c r="E1032" s="86">
        <v>45443</v>
      </c>
      <c r="F1032" s="87">
        <v>22530.69921875</v>
      </c>
      <c r="G1032" s="88">
        <f t="shared" si="33"/>
        <v>1.869779973213919E-3</v>
      </c>
    </row>
    <row r="1033" spans="1:7" ht="14.25" customHeight="1" x14ac:dyDescent="0.35">
      <c r="A1033" s="85">
        <v>45446</v>
      </c>
      <c r="B1033">
        <v>1153.8699999999999</v>
      </c>
      <c r="C1033">
        <f t="shared" si="32"/>
        <v>6.0669093430348708E-5</v>
      </c>
      <c r="E1033" s="86">
        <v>45446</v>
      </c>
      <c r="F1033" s="87">
        <v>23263.900390625</v>
      </c>
      <c r="G1033" s="88">
        <f t="shared" si="33"/>
        <v>3.2542317695352818E-2</v>
      </c>
    </row>
    <row r="1034" spans="1:7" ht="14.25" customHeight="1" x14ac:dyDescent="0.35">
      <c r="A1034" s="85">
        <v>45447</v>
      </c>
      <c r="B1034">
        <v>1189.49</v>
      </c>
      <c r="C1034">
        <f t="shared" si="32"/>
        <v>3.0870028686073928E-2</v>
      </c>
      <c r="E1034" s="86">
        <v>45447</v>
      </c>
      <c r="F1034" s="87">
        <v>21884.5</v>
      </c>
      <c r="G1034" s="88">
        <f t="shared" si="33"/>
        <v>-5.9293599416410735E-2</v>
      </c>
    </row>
    <row r="1035" spans="1:7" ht="14.25" customHeight="1" x14ac:dyDescent="0.35">
      <c r="A1035" s="85">
        <v>45448</v>
      </c>
      <c r="B1035">
        <v>1229.72</v>
      </c>
      <c r="C1035">
        <f t="shared" si="32"/>
        <v>3.3821217496574178E-2</v>
      </c>
      <c r="E1035" s="86">
        <v>45448</v>
      </c>
      <c r="F1035" s="87">
        <v>22620.349609375</v>
      </c>
      <c r="G1035" s="88">
        <f t="shared" si="33"/>
        <v>3.362423676003564E-2</v>
      </c>
    </row>
    <row r="1036" spans="1:7" ht="14.25" customHeight="1" x14ac:dyDescent="0.35">
      <c r="A1036" s="85">
        <v>45449</v>
      </c>
      <c r="B1036">
        <v>1210.8800000000001</v>
      </c>
      <c r="C1036">
        <f t="shared" si="32"/>
        <v>-1.5320560778063232E-2</v>
      </c>
      <c r="E1036" s="86">
        <v>45449</v>
      </c>
      <c r="F1036" s="87">
        <v>22821.400390625</v>
      </c>
      <c r="G1036" s="88">
        <f t="shared" si="33"/>
        <v>8.8880492442377883E-3</v>
      </c>
    </row>
    <row r="1037" spans="1:7" ht="14.25" customHeight="1" x14ac:dyDescent="0.35">
      <c r="A1037" s="85">
        <v>45450</v>
      </c>
      <c r="B1037">
        <v>1226.0899999999999</v>
      </c>
      <c r="C1037">
        <f t="shared" si="32"/>
        <v>1.2561112579281025E-2</v>
      </c>
      <c r="E1037" s="86">
        <v>45450</v>
      </c>
      <c r="F1037" s="87">
        <v>23290.150390625</v>
      </c>
      <c r="G1037" s="88">
        <f t="shared" si="33"/>
        <v>2.0539931466807E-2</v>
      </c>
    </row>
    <row r="1038" spans="1:7" ht="14.25" customHeight="1" x14ac:dyDescent="0.35">
      <c r="A1038" s="85">
        <v>45453</v>
      </c>
      <c r="B1038">
        <v>1248.51</v>
      </c>
      <c r="C1038">
        <f t="shared" si="32"/>
        <v>1.8285770212627193E-2</v>
      </c>
      <c r="E1038" s="86">
        <v>45453</v>
      </c>
      <c r="F1038" s="87">
        <v>23259.19921875</v>
      </c>
      <c r="G1038" s="88">
        <f t="shared" si="33"/>
        <v>-1.328938257412833E-3</v>
      </c>
    </row>
    <row r="1039" spans="1:7" ht="14.25" customHeight="1" x14ac:dyDescent="0.35">
      <c r="A1039" s="85">
        <v>45454</v>
      </c>
      <c r="B1039">
        <v>1245.44</v>
      </c>
      <c r="C1039">
        <f t="shared" si="32"/>
        <v>-2.4589310458065505E-3</v>
      </c>
      <c r="E1039" s="86">
        <v>45454</v>
      </c>
      <c r="F1039" s="87">
        <v>23264.849609375</v>
      </c>
      <c r="G1039" s="88">
        <f t="shared" si="33"/>
        <v>2.4293143421915555E-4</v>
      </c>
    </row>
    <row r="1040" spans="1:7" ht="14.25" customHeight="1" x14ac:dyDescent="0.35">
      <c r="A1040" s="85">
        <v>45455</v>
      </c>
      <c r="B1040">
        <v>1243.17</v>
      </c>
      <c r="C1040">
        <f t="shared" si="32"/>
        <v>-1.8226490236382177E-3</v>
      </c>
      <c r="E1040" s="86">
        <v>45455</v>
      </c>
      <c r="F1040" s="87">
        <v>23322.94921875</v>
      </c>
      <c r="G1040" s="88">
        <f t="shared" si="33"/>
        <v>2.4973129141392641E-3</v>
      </c>
    </row>
    <row r="1041" spans="1:7" ht="14.25" customHeight="1" x14ac:dyDescent="0.35">
      <c r="A1041" s="85">
        <v>45456</v>
      </c>
      <c r="B1041">
        <v>1250.25</v>
      </c>
      <c r="C1041">
        <f t="shared" si="32"/>
        <v>5.6951181254373314E-3</v>
      </c>
      <c r="E1041" s="86">
        <v>45456</v>
      </c>
      <c r="F1041" s="87">
        <v>23398.900390625</v>
      </c>
      <c r="G1041" s="88">
        <f t="shared" si="33"/>
        <v>3.2564994745150257E-3</v>
      </c>
    </row>
    <row r="1042" spans="1:7" ht="14.25" customHeight="1" x14ac:dyDescent="0.35">
      <c r="A1042" s="85">
        <v>45457</v>
      </c>
      <c r="B1042">
        <v>1245.71</v>
      </c>
      <c r="C1042">
        <f t="shared" si="32"/>
        <v>-3.6312737452509208E-3</v>
      </c>
      <c r="E1042" s="86">
        <v>45457</v>
      </c>
      <c r="F1042" s="87">
        <v>23465.599609375</v>
      </c>
      <c r="G1042" s="88">
        <f t="shared" si="33"/>
        <v>2.8505279152657831E-3</v>
      </c>
    </row>
    <row r="1043" spans="1:7" ht="14.25" customHeight="1" x14ac:dyDescent="0.35">
      <c r="A1043" s="85">
        <v>45461</v>
      </c>
      <c r="B1043">
        <v>1249.56</v>
      </c>
      <c r="C1043">
        <f t="shared" si="32"/>
        <v>3.0906069630972769E-3</v>
      </c>
      <c r="E1043" s="86">
        <v>45461</v>
      </c>
      <c r="F1043" s="87">
        <v>23557.900390625</v>
      </c>
      <c r="G1043" s="88">
        <f t="shared" si="33"/>
        <v>3.9334507869606666E-3</v>
      </c>
    </row>
    <row r="1044" spans="1:7" ht="14.25" customHeight="1" x14ac:dyDescent="0.35">
      <c r="A1044" s="85">
        <v>45462</v>
      </c>
      <c r="B1044">
        <v>1237.6500000000001</v>
      </c>
      <c r="C1044">
        <f t="shared" si="32"/>
        <v>-9.5313550369728987E-3</v>
      </c>
      <c r="E1044" s="86">
        <v>45462</v>
      </c>
      <c r="F1044" s="87">
        <v>23516</v>
      </c>
      <c r="G1044" s="88">
        <f t="shared" si="33"/>
        <v>-1.7786131162042989E-3</v>
      </c>
    </row>
    <row r="1045" spans="1:7" ht="14.25" customHeight="1" x14ac:dyDescent="0.35">
      <c r="A1045" s="85">
        <v>45463</v>
      </c>
      <c r="B1045">
        <v>1244.3699999999999</v>
      </c>
      <c r="C1045">
        <f t="shared" si="32"/>
        <v>5.4296448915281377E-3</v>
      </c>
      <c r="E1045" s="86">
        <v>45463</v>
      </c>
      <c r="F1045" s="87">
        <v>23567</v>
      </c>
      <c r="G1045" s="88">
        <f t="shared" si="33"/>
        <v>2.1687361796223848E-3</v>
      </c>
    </row>
    <row r="1046" spans="1:7" ht="14.25" customHeight="1" x14ac:dyDescent="0.35">
      <c r="A1046" s="85">
        <v>45464</v>
      </c>
      <c r="B1046">
        <v>1224.1099999999999</v>
      </c>
      <c r="C1046">
        <f t="shared" si="32"/>
        <v>-1.6281331115343502E-2</v>
      </c>
      <c r="E1046" s="86">
        <v>45464</v>
      </c>
      <c r="F1046" s="87">
        <v>23501.099609375</v>
      </c>
      <c r="G1046" s="88">
        <f t="shared" si="33"/>
        <v>-2.7962995130903384E-3</v>
      </c>
    </row>
    <row r="1047" spans="1:7" ht="14.25" customHeight="1" x14ac:dyDescent="0.35">
      <c r="A1047" s="85">
        <v>45467</v>
      </c>
      <c r="B1047">
        <v>1239.6099999999999</v>
      </c>
      <c r="C1047">
        <f t="shared" si="32"/>
        <v>1.2662260744540932E-2</v>
      </c>
      <c r="E1047" s="86">
        <v>45467</v>
      </c>
      <c r="F1047" s="87">
        <v>23537.849609375</v>
      </c>
      <c r="G1047" s="88">
        <f t="shared" si="33"/>
        <v>1.5637566161091365E-3</v>
      </c>
    </row>
    <row r="1048" spans="1:7" ht="14.25" customHeight="1" x14ac:dyDescent="0.35">
      <c r="A1048" s="85">
        <v>45468</v>
      </c>
      <c r="B1048">
        <v>1232.46</v>
      </c>
      <c r="C1048">
        <f t="shared" si="32"/>
        <v>-5.7679431434078977E-3</v>
      </c>
      <c r="E1048" s="86">
        <v>45468</v>
      </c>
      <c r="F1048" s="87">
        <v>23721.30078125</v>
      </c>
      <c r="G1048" s="88">
        <f t="shared" si="33"/>
        <v>7.7938798539154731E-3</v>
      </c>
    </row>
    <row r="1049" spans="1:7" ht="14.25" customHeight="1" x14ac:dyDescent="0.35">
      <c r="A1049" s="85">
        <v>45469</v>
      </c>
      <c r="B1049">
        <v>1241.67</v>
      </c>
      <c r="C1049">
        <f t="shared" si="32"/>
        <v>7.4728591597293514E-3</v>
      </c>
      <c r="E1049" s="86">
        <v>45469</v>
      </c>
      <c r="F1049" s="87">
        <v>23868.80078125</v>
      </c>
      <c r="G1049" s="88">
        <f t="shared" si="33"/>
        <v>6.2180401218380173E-3</v>
      </c>
    </row>
    <row r="1050" spans="1:7" ht="14.25" customHeight="1" x14ac:dyDescent="0.35">
      <c r="A1050" s="85">
        <v>45470</v>
      </c>
      <c r="B1050">
        <v>1241.43</v>
      </c>
      <c r="C1050">
        <f t="shared" si="32"/>
        <v>-1.9328807170988191E-4</v>
      </c>
      <c r="E1050" s="86">
        <v>45470</v>
      </c>
      <c r="F1050" s="87">
        <v>24044.5</v>
      </c>
      <c r="G1050" s="88">
        <f t="shared" si="33"/>
        <v>7.3610408985448281E-3</v>
      </c>
    </row>
    <row r="1051" spans="1:7" ht="14.25" customHeight="1" x14ac:dyDescent="0.35">
      <c r="A1051" s="85">
        <v>45471</v>
      </c>
      <c r="B1051">
        <v>1250.2</v>
      </c>
      <c r="C1051">
        <f t="shared" si="32"/>
        <v>7.0644337578437619E-3</v>
      </c>
      <c r="E1051" s="86">
        <v>45471</v>
      </c>
      <c r="F1051" s="87">
        <v>24010.599609375</v>
      </c>
      <c r="G1051" s="88">
        <f t="shared" si="33"/>
        <v>-1.4099020825968517E-3</v>
      </c>
    </row>
    <row r="1052" spans="1:7" ht="14.25" customHeight="1" x14ac:dyDescent="0.35">
      <c r="A1052" s="85">
        <v>45474</v>
      </c>
      <c r="B1052">
        <v>1258.26</v>
      </c>
      <c r="C1052">
        <f t="shared" si="32"/>
        <v>6.4469684850423491E-3</v>
      </c>
      <c r="E1052" s="86">
        <v>45474</v>
      </c>
      <c r="F1052" s="87">
        <v>24141.94921875</v>
      </c>
      <c r="G1052" s="88">
        <f t="shared" si="33"/>
        <v>5.4704843490753228E-3</v>
      </c>
    </row>
    <row r="1053" spans="1:7" ht="14.25" customHeight="1" x14ac:dyDescent="0.35">
      <c r="A1053" s="85">
        <v>45475</v>
      </c>
      <c r="B1053">
        <v>1246.67</v>
      </c>
      <c r="C1053">
        <f t="shared" si="32"/>
        <v>-9.2111328342313337E-3</v>
      </c>
      <c r="E1053" s="86">
        <v>45475</v>
      </c>
      <c r="F1053" s="87">
        <v>24123.849609375</v>
      </c>
      <c r="G1053" s="88">
        <f t="shared" si="33"/>
        <v>-7.4971615634676354E-4</v>
      </c>
    </row>
    <row r="1054" spans="1:7" ht="14.25" customHeight="1" x14ac:dyDescent="0.35">
      <c r="A1054" s="85">
        <v>45476</v>
      </c>
      <c r="B1054">
        <v>1250.1199999999999</v>
      </c>
      <c r="C1054">
        <f t="shared" si="32"/>
        <v>2.7673722797531167E-3</v>
      </c>
      <c r="E1054" s="86">
        <v>45476</v>
      </c>
      <c r="F1054" s="87">
        <v>24286.5</v>
      </c>
      <c r="G1054" s="88">
        <f t="shared" si="33"/>
        <v>6.742306607722794E-3</v>
      </c>
    </row>
    <row r="1055" spans="1:7" ht="14.25" customHeight="1" x14ac:dyDescent="0.35">
      <c r="A1055" s="85">
        <v>45477</v>
      </c>
      <c r="B1055">
        <v>1247.01</v>
      </c>
      <c r="C1055">
        <f t="shared" si="32"/>
        <v>-2.4877611749271273E-3</v>
      </c>
      <c r="E1055" s="86">
        <v>45477</v>
      </c>
      <c r="F1055" s="87">
        <v>24302.150390625</v>
      </c>
      <c r="G1055" s="88">
        <f t="shared" si="33"/>
        <v>6.4440700080291519E-4</v>
      </c>
    </row>
    <row r="1056" spans="1:7" ht="14.25" customHeight="1" x14ac:dyDescent="0.35">
      <c r="A1056" s="85">
        <v>45478</v>
      </c>
      <c r="B1056">
        <v>1261.22</v>
      </c>
      <c r="C1056">
        <f t="shared" si="32"/>
        <v>1.1395257455834385E-2</v>
      </c>
      <c r="E1056" s="86">
        <v>45478</v>
      </c>
      <c r="F1056" s="87">
        <v>24323.849609375</v>
      </c>
      <c r="G1056" s="88">
        <f t="shared" si="33"/>
        <v>8.928929498506795E-4</v>
      </c>
    </row>
    <row r="1057" spans="1:7" ht="14.25" customHeight="1" x14ac:dyDescent="0.35">
      <c r="A1057" s="85">
        <v>45481</v>
      </c>
      <c r="B1057">
        <v>1275.55</v>
      </c>
      <c r="C1057">
        <f t="shared" si="32"/>
        <v>1.1362014557333319E-2</v>
      </c>
      <c r="E1057" s="86">
        <v>45481</v>
      </c>
      <c r="F1057" s="87">
        <v>24320.55078125</v>
      </c>
      <c r="G1057" s="88">
        <f t="shared" si="33"/>
        <v>-1.3562113637343622E-4</v>
      </c>
    </row>
    <row r="1058" spans="1:7" ht="14.25" customHeight="1" x14ac:dyDescent="0.35">
      <c r="A1058" s="85">
        <v>45482</v>
      </c>
      <c r="B1058">
        <v>1290.0999999999999</v>
      </c>
      <c r="C1058">
        <f t="shared" si="32"/>
        <v>1.1406844106463842E-2</v>
      </c>
      <c r="E1058" s="86">
        <v>45482</v>
      </c>
      <c r="F1058" s="87">
        <v>24433.19921875</v>
      </c>
      <c r="G1058" s="88">
        <f t="shared" si="33"/>
        <v>4.631820986013468E-3</v>
      </c>
    </row>
    <row r="1059" spans="1:7" ht="14.25" customHeight="1" x14ac:dyDescent="0.35">
      <c r="A1059" s="85">
        <v>45483</v>
      </c>
      <c r="B1059">
        <v>1281.95</v>
      </c>
      <c r="C1059">
        <f t="shared" si="32"/>
        <v>-6.3173397411052353E-3</v>
      </c>
      <c r="E1059" s="86">
        <v>45483</v>
      </c>
      <c r="F1059" s="87">
        <v>24324.44921875</v>
      </c>
      <c r="G1059" s="88">
        <f t="shared" si="33"/>
        <v>-4.4509111977667423E-3</v>
      </c>
    </row>
    <row r="1060" spans="1:7" ht="14.25" customHeight="1" x14ac:dyDescent="0.35">
      <c r="A1060" s="85">
        <v>45484</v>
      </c>
      <c r="B1060">
        <v>1270.55</v>
      </c>
      <c r="C1060">
        <f t="shared" si="32"/>
        <v>-8.8927025234994267E-3</v>
      </c>
      <c r="E1060" s="86">
        <v>45484</v>
      </c>
      <c r="F1060" s="87">
        <v>24315.94921875</v>
      </c>
      <c r="G1060" s="88">
        <f t="shared" si="33"/>
        <v>-3.4944265021417015E-4</v>
      </c>
    </row>
    <row r="1061" spans="1:7" ht="14.25" customHeight="1" x14ac:dyDescent="0.35">
      <c r="A1061" s="85">
        <v>45485</v>
      </c>
      <c r="B1061">
        <v>1278.3</v>
      </c>
      <c r="C1061">
        <f t="shared" si="32"/>
        <v>6.099720593443784E-3</v>
      </c>
      <c r="E1061" s="86">
        <v>45485</v>
      </c>
      <c r="F1061" s="87">
        <v>24502.150390625</v>
      </c>
      <c r="G1061" s="88">
        <f t="shared" si="33"/>
        <v>7.6575736443560468E-3</v>
      </c>
    </row>
    <row r="1062" spans="1:7" ht="14.25" customHeight="1" x14ac:dyDescent="0.35">
      <c r="A1062" s="85">
        <v>45488</v>
      </c>
      <c r="B1062">
        <v>1276.3900000000001</v>
      </c>
      <c r="C1062">
        <f t="shared" si="32"/>
        <v>-1.4941719471171513E-3</v>
      </c>
      <c r="E1062" s="86">
        <v>45488</v>
      </c>
      <c r="F1062" s="87">
        <v>24586.69921875</v>
      </c>
      <c r="G1062" s="88">
        <f t="shared" si="33"/>
        <v>3.4506697076412537E-3</v>
      </c>
    </row>
    <row r="1063" spans="1:7" ht="14.25" customHeight="1" x14ac:dyDescent="0.35">
      <c r="A1063" s="85">
        <v>45489</v>
      </c>
      <c r="B1063">
        <v>1283</v>
      </c>
      <c r="C1063">
        <f t="shared" si="32"/>
        <v>5.1786679619864615E-3</v>
      </c>
      <c r="E1063" s="86">
        <v>45489</v>
      </c>
      <c r="F1063" s="87">
        <v>24613</v>
      </c>
      <c r="G1063" s="88">
        <f t="shared" si="33"/>
        <v>1.0697158254550424E-3</v>
      </c>
    </row>
    <row r="1064" spans="1:7" ht="14.25" customHeight="1" x14ac:dyDescent="0.35">
      <c r="A1064" s="85">
        <v>45491</v>
      </c>
      <c r="B1064">
        <v>1292.72</v>
      </c>
      <c r="C1064">
        <f t="shared" si="32"/>
        <v>7.5759937646142066E-3</v>
      </c>
      <c r="E1064" s="86">
        <v>45491</v>
      </c>
      <c r="F1064" s="87">
        <v>24800.849609375</v>
      </c>
      <c r="G1064" s="88">
        <f t="shared" si="33"/>
        <v>7.63212974342827E-3</v>
      </c>
    </row>
    <row r="1065" spans="1:7" ht="14.25" customHeight="1" x14ac:dyDescent="0.35">
      <c r="A1065" s="85">
        <v>45492</v>
      </c>
      <c r="B1065">
        <v>1278.3499999999999</v>
      </c>
      <c r="C1065">
        <f t="shared" si="32"/>
        <v>-1.1116096293087534E-2</v>
      </c>
      <c r="E1065" s="86">
        <v>45492</v>
      </c>
      <c r="F1065" s="87">
        <v>24530.900390625</v>
      </c>
      <c r="G1065" s="88">
        <f t="shared" si="33"/>
        <v>-1.0884676251089243E-2</v>
      </c>
    </row>
    <row r="1066" spans="1:7" ht="14.25" customHeight="1" x14ac:dyDescent="0.35">
      <c r="A1066" s="85">
        <v>45495</v>
      </c>
      <c r="B1066">
        <v>1273.1600000000001</v>
      </c>
      <c r="C1066">
        <f t="shared" si="32"/>
        <v>-4.0599209919034906E-3</v>
      </c>
      <c r="E1066" s="86">
        <v>45495</v>
      </c>
      <c r="F1066" s="87">
        <v>24509.25</v>
      </c>
      <c r="G1066" s="88">
        <f t="shared" si="33"/>
        <v>-8.8257627238477363E-4</v>
      </c>
    </row>
    <row r="1067" spans="1:7" ht="14.25" customHeight="1" x14ac:dyDescent="0.35">
      <c r="A1067" s="85">
        <v>45496</v>
      </c>
      <c r="B1067">
        <v>1270.33</v>
      </c>
      <c r="C1067">
        <f t="shared" si="32"/>
        <v>-2.2228156712433274E-3</v>
      </c>
      <c r="E1067" s="86">
        <v>45496</v>
      </c>
      <c r="F1067" s="87">
        <v>24479.05078125</v>
      </c>
      <c r="G1067" s="88">
        <f t="shared" si="33"/>
        <v>-1.2321559717249609E-3</v>
      </c>
    </row>
    <row r="1068" spans="1:7" ht="14.25" customHeight="1" x14ac:dyDescent="0.35">
      <c r="A1068" s="85">
        <v>45497</v>
      </c>
      <c r="B1068">
        <v>1250.58</v>
      </c>
      <c r="C1068">
        <f t="shared" si="32"/>
        <v>-1.5547141293994475E-2</v>
      </c>
      <c r="E1068" s="86">
        <v>45497</v>
      </c>
      <c r="F1068" s="87">
        <v>24413.5</v>
      </c>
      <c r="G1068" s="88">
        <f t="shared" si="33"/>
        <v>-2.6778318259059845E-3</v>
      </c>
    </row>
    <row r="1069" spans="1:7" ht="14.25" customHeight="1" x14ac:dyDescent="0.35">
      <c r="A1069" s="85">
        <v>45498</v>
      </c>
      <c r="B1069">
        <v>1220.68</v>
      </c>
      <c r="C1069">
        <f t="shared" si="32"/>
        <v>-2.3908906267491776E-2</v>
      </c>
      <c r="E1069" s="86">
        <v>45498</v>
      </c>
      <c r="F1069" s="87">
        <v>24406.099609375</v>
      </c>
      <c r="G1069" s="88">
        <f t="shared" si="33"/>
        <v>-3.031269840457124E-4</v>
      </c>
    </row>
    <row r="1070" spans="1:7" ht="14.25" customHeight="1" x14ac:dyDescent="0.35">
      <c r="A1070" s="85">
        <v>45499</v>
      </c>
      <c r="B1070">
        <v>1218.8399999999999</v>
      </c>
      <c r="C1070">
        <f t="shared" si="32"/>
        <v>-1.507356555362704E-3</v>
      </c>
      <c r="E1070" s="86">
        <v>45499</v>
      </c>
      <c r="F1070" s="87">
        <v>24834.849609375</v>
      </c>
      <c r="G1070" s="88">
        <f t="shared" si="33"/>
        <v>1.756732976027461E-2</v>
      </c>
    </row>
    <row r="1071" spans="1:7" ht="14.25" customHeight="1" x14ac:dyDescent="0.35">
      <c r="A1071" s="85">
        <v>45502</v>
      </c>
      <c r="B1071">
        <v>1215.5899999999999</v>
      </c>
      <c r="C1071">
        <f t="shared" si="32"/>
        <v>-2.6664697581306818E-3</v>
      </c>
      <c r="E1071" s="86">
        <v>45502</v>
      </c>
      <c r="F1071" s="87">
        <v>24836.099609375</v>
      </c>
      <c r="G1071" s="88">
        <f t="shared" si="33"/>
        <v>5.0332497263367071E-5</v>
      </c>
    </row>
    <row r="1072" spans="1:7" ht="14.25" customHeight="1" x14ac:dyDescent="0.35">
      <c r="A1072" s="85">
        <v>45503</v>
      </c>
      <c r="B1072">
        <v>1209.3599999999999</v>
      </c>
      <c r="C1072">
        <f t="shared" si="32"/>
        <v>-5.1250832928865968E-3</v>
      </c>
      <c r="E1072" s="86">
        <v>45503</v>
      </c>
      <c r="F1072" s="87">
        <v>24857.30078125</v>
      </c>
      <c r="G1072" s="88">
        <f t="shared" si="33"/>
        <v>8.5364337430008915E-4</v>
      </c>
    </row>
    <row r="1073" spans="1:7" ht="14.25" customHeight="1" x14ac:dyDescent="0.35">
      <c r="A1073" s="85">
        <v>45504</v>
      </c>
      <c r="B1073">
        <v>1208.72</v>
      </c>
      <c r="C1073">
        <f t="shared" si="32"/>
        <v>-5.2920553019768527E-4</v>
      </c>
      <c r="E1073" s="86">
        <v>45504</v>
      </c>
      <c r="F1073" s="87">
        <v>24951.150390625</v>
      </c>
      <c r="G1073" s="88">
        <f t="shared" si="33"/>
        <v>3.7755350108564997E-3</v>
      </c>
    </row>
    <row r="1074" spans="1:7" ht="14.25" customHeight="1" x14ac:dyDescent="0.35">
      <c r="A1074" s="85">
        <v>45505</v>
      </c>
      <c r="B1074">
        <v>1222.33</v>
      </c>
      <c r="C1074">
        <f t="shared" si="32"/>
        <v>1.1259845125421851E-2</v>
      </c>
      <c r="E1074" s="86">
        <v>45505</v>
      </c>
      <c r="F1074" s="87">
        <v>25010.900390625</v>
      </c>
      <c r="G1074" s="88">
        <f t="shared" si="33"/>
        <v>2.3946791656728628E-3</v>
      </c>
    </row>
    <row r="1075" spans="1:7" ht="14.25" customHeight="1" x14ac:dyDescent="0.35">
      <c r="A1075" s="85">
        <v>45506</v>
      </c>
      <c r="B1075">
        <v>1227.79</v>
      </c>
      <c r="C1075">
        <f t="shared" si="32"/>
        <v>4.4668788297759499E-3</v>
      </c>
      <c r="E1075" s="86">
        <v>45506</v>
      </c>
      <c r="F1075" s="87">
        <v>24717.69921875</v>
      </c>
      <c r="G1075" s="88">
        <f t="shared" si="33"/>
        <v>-1.1722935491954641E-2</v>
      </c>
    </row>
    <row r="1076" spans="1:7" ht="14.25" customHeight="1" x14ac:dyDescent="0.35">
      <c r="A1076" s="85">
        <v>45509</v>
      </c>
      <c r="B1076">
        <v>1235.57</v>
      </c>
      <c r="C1076">
        <f t="shared" si="32"/>
        <v>6.3365885045488018E-3</v>
      </c>
      <c r="E1076" s="86">
        <v>45509</v>
      </c>
      <c r="F1076" s="87">
        <v>24055.599609375</v>
      </c>
      <c r="G1076" s="88">
        <f t="shared" si="33"/>
        <v>-2.6786457894622889E-2</v>
      </c>
    </row>
    <row r="1077" spans="1:7" ht="14.25" customHeight="1" x14ac:dyDescent="0.35">
      <c r="A1077" s="85">
        <v>45510</v>
      </c>
      <c r="B1077">
        <v>1234.3900000000001</v>
      </c>
      <c r="C1077">
        <f t="shared" si="32"/>
        <v>-9.5502480636454139E-4</v>
      </c>
      <c r="E1077" s="86">
        <v>45510</v>
      </c>
      <c r="F1077" s="87">
        <v>23992.55078125</v>
      </c>
      <c r="G1077" s="88">
        <f t="shared" si="33"/>
        <v>-2.6209626510589443E-3</v>
      </c>
    </row>
    <row r="1078" spans="1:7" ht="14.25" customHeight="1" x14ac:dyDescent="0.35">
      <c r="A1078" s="85">
        <v>45511</v>
      </c>
      <c r="B1078">
        <v>1241.42</v>
      </c>
      <c r="C1078">
        <f t="shared" si="32"/>
        <v>5.6951206668880757E-3</v>
      </c>
      <c r="E1078" s="86">
        <v>45511</v>
      </c>
      <c r="F1078" s="87">
        <v>24297.5</v>
      </c>
      <c r="G1078" s="88">
        <f t="shared" si="33"/>
        <v>1.2710162480444369E-2</v>
      </c>
    </row>
    <row r="1079" spans="1:7" ht="14.25" customHeight="1" x14ac:dyDescent="0.35">
      <c r="A1079" s="85">
        <v>45512</v>
      </c>
      <c r="B1079">
        <v>1224.8399999999999</v>
      </c>
      <c r="C1079">
        <f t="shared" si="32"/>
        <v>-1.3355673341818364E-2</v>
      </c>
      <c r="E1079" s="86">
        <v>45512</v>
      </c>
      <c r="F1079" s="87">
        <v>24117</v>
      </c>
      <c r="G1079" s="88">
        <f t="shared" si="33"/>
        <v>-7.428747813561066E-3</v>
      </c>
    </row>
    <row r="1080" spans="1:7" ht="14.25" customHeight="1" x14ac:dyDescent="0.35">
      <c r="A1080" s="85">
        <v>45513</v>
      </c>
      <c r="B1080">
        <v>1232.52</v>
      </c>
      <c r="C1080">
        <f t="shared" si="32"/>
        <v>6.2702067208778812E-3</v>
      </c>
      <c r="E1080" s="86">
        <v>45513</v>
      </c>
      <c r="F1080" s="87">
        <v>24367.5</v>
      </c>
      <c r="G1080" s="88">
        <f t="shared" si="33"/>
        <v>1.0386864037815649E-2</v>
      </c>
    </row>
    <row r="1081" spans="1:7" ht="14.25" customHeight="1" x14ac:dyDescent="0.35">
      <c r="A1081" s="85">
        <v>45516</v>
      </c>
      <c r="B1081">
        <v>1216.97</v>
      </c>
      <c r="C1081">
        <f t="shared" si="32"/>
        <v>-1.261642813098364E-2</v>
      </c>
      <c r="E1081" s="86">
        <v>45516</v>
      </c>
      <c r="F1081" s="87">
        <v>24347</v>
      </c>
      <c r="G1081" s="88">
        <f t="shared" si="33"/>
        <v>-8.412844977941931E-4</v>
      </c>
    </row>
    <row r="1082" spans="1:7" ht="14.25" customHeight="1" x14ac:dyDescent="0.35">
      <c r="A1082" s="85">
        <v>45517</v>
      </c>
      <c r="B1082">
        <v>1222.67</v>
      </c>
      <c r="C1082">
        <f t="shared" si="32"/>
        <v>4.6837637739632412E-3</v>
      </c>
      <c r="E1082" s="86">
        <v>45517</v>
      </c>
      <c r="F1082" s="87">
        <v>24139</v>
      </c>
      <c r="G1082" s="88">
        <f t="shared" si="33"/>
        <v>-8.5431469996303452E-3</v>
      </c>
    </row>
    <row r="1083" spans="1:7" ht="14.25" customHeight="1" x14ac:dyDescent="0.35">
      <c r="A1083" s="85">
        <v>45518</v>
      </c>
      <c r="B1083">
        <v>1217.7</v>
      </c>
      <c r="C1083">
        <f t="shared" si="32"/>
        <v>-4.0648744141919138E-3</v>
      </c>
      <c r="E1083" s="86">
        <v>45518</v>
      </c>
      <c r="F1083" s="87">
        <v>24143.75</v>
      </c>
      <c r="G1083" s="88">
        <f t="shared" si="33"/>
        <v>1.9677699987571978E-4</v>
      </c>
    </row>
    <row r="1084" spans="1:7" ht="14.25" customHeight="1" x14ac:dyDescent="0.35">
      <c r="A1084" s="85">
        <v>45520</v>
      </c>
      <c r="B1084">
        <v>1242.73</v>
      </c>
      <c r="C1084">
        <f t="shared" si="32"/>
        <v>2.0555144945388824E-2</v>
      </c>
      <c r="E1084" s="86">
        <v>45520</v>
      </c>
      <c r="F1084" s="87">
        <v>24541.150390625</v>
      </c>
      <c r="G1084" s="88">
        <f t="shared" si="33"/>
        <v>1.6459762490292518E-2</v>
      </c>
    </row>
    <row r="1085" spans="1:7" ht="14.25" customHeight="1" x14ac:dyDescent="0.35">
      <c r="A1085" s="85">
        <v>45523</v>
      </c>
      <c r="B1085">
        <v>1231.75</v>
      </c>
      <c r="C1085">
        <f t="shared" si="32"/>
        <v>-8.8353866085151382E-3</v>
      </c>
      <c r="E1085" s="86">
        <v>45523</v>
      </c>
      <c r="F1085" s="87">
        <v>24572.650390625</v>
      </c>
      <c r="G1085" s="88">
        <f t="shared" si="33"/>
        <v>1.2835584110202657E-3</v>
      </c>
    </row>
    <row r="1086" spans="1:7" ht="14.25" customHeight="1" x14ac:dyDescent="0.35">
      <c r="A1086" s="85">
        <v>45524</v>
      </c>
      <c r="B1086">
        <v>1239.31</v>
      </c>
      <c r="C1086">
        <f t="shared" si="32"/>
        <v>6.1376090927541668E-3</v>
      </c>
      <c r="E1086" s="86">
        <v>45524</v>
      </c>
      <c r="F1086" s="87">
        <v>24698.849609375</v>
      </c>
      <c r="G1086" s="88">
        <f t="shared" si="33"/>
        <v>5.1357593399101852E-3</v>
      </c>
    </row>
    <row r="1087" spans="1:7" ht="14.25" customHeight="1" x14ac:dyDescent="0.35">
      <c r="A1087" s="85">
        <v>45525</v>
      </c>
      <c r="B1087">
        <v>1255.67</v>
      </c>
      <c r="C1087">
        <f t="shared" si="32"/>
        <v>1.3200894045880473E-2</v>
      </c>
      <c r="E1087" s="86">
        <v>45525</v>
      </c>
      <c r="F1087" s="87">
        <v>24770.19921875</v>
      </c>
      <c r="G1087" s="88">
        <f t="shared" si="33"/>
        <v>2.8887826964992596E-3</v>
      </c>
    </row>
    <row r="1088" spans="1:7" ht="14.25" customHeight="1" x14ac:dyDescent="0.35">
      <c r="A1088" s="85">
        <v>45526</v>
      </c>
      <c r="B1088">
        <v>1255.3</v>
      </c>
      <c r="C1088">
        <f t="shared" si="32"/>
        <v>-2.9466340678690914E-4</v>
      </c>
      <c r="E1088" s="86">
        <v>45526</v>
      </c>
      <c r="F1088" s="87">
        <v>24811.5</v>
      </c>
      <c r="G1088" s="88">
        <f t="shared" si="33"/>
        <v>1.667357653657345E-3</v>
      </c>
    </row>
    <row r="1089" spans="1:7" ht="14.25" customHeight="1" x14ac:dyDescent="0.35">
      <c r="A1089" s="85">
        <v>45527</v>
      </c>
      <c r="B1089">
        <v>1244.57</v>
      </c>
      <c r="C1089">
        <f t="shared" si="32"/>
        <v>-8.547757508165393E-3</v>
      </c>
      <c r="E1089" s="86">
        <v>45527</v>
      </c>
      <c r="F1089" s="87">
        <v>24823.150390625</v>
      </c>
      <c r="G1089" s="88">
        <f t="shared" si="33"/>
        <v>4.6955607782681415E-4</v>
      </c>
    </row>
    <row r="1090" spans="1:7" ht="14.25" customHeight="1" x14ac:dyDescent="0.35">
      <c r="A1090" s="85">
        <v>45530</v>
      </c>
      <c r="B1090">
        <v>1239.82</v>
      </c>
      <c r="C1090">
        <f t="shared" si="32"/>
        <v>-3.8165792201322545E-3</v>
      </c>
      <c r="E1090" s="86">
        <v>45530</v>
      </c>
      <c r="F1090" s="87">
        <v>25010.599609375</v>
      </c>
      <c r="G1090" s="88">
        <f t="shared" si="33"/>
        <v>7.551387144670978E-3</v>
      </c>
    </row>
    <row r="1091" spans="1:7" ht="14.25" customHeight="1" x14ac:dyDescent="0.35">
      <c r="A1091" s="85">
        <v>45531</v>
      </c>
      <c r="B1091">
        <v>1240.76</v>
      </c>
      <c r="C1091">
        <f t="shared" si="32"/>
        <v>7.5817457372848846E-4</v>
      </c>
      <c r="E1091" s="86">
        <v>45531</v>
      </c>
      <c r="F1091" s="87">
        <v>25017.75</v>
      </c>
      <c r="G1091" s="88">
        <f t="shared" si="33"/>
        <v>2.8589441023715959E-4</v>
      </c>
    </row>
    <row r="1092" spans="1:7" ht="14.25" customHeight="1" x14ac:dyDescent="0.35">
      <c r="A1092" s="85">
        <v>45532</v>
      </c>
      <c r="B1092">
        <v>1226.51</v>
      </c>
      <c r="C1092">
        <f t="shared" si="32"/>
        <v>-1.1484896353847642E-2</v>
      </c>
      <c r="E1092" s="86">
        <v>45532</v>
      </c>
      <c r="F1092" s="87">
        <v>25052.349609375</v>
      </c>
      <c r="G1092" s="88">
        <f t="shared" si="33"/>
        <v>1.3830024432652816E-3</v>
      </c>
    </row>
    <row r="1093" spans="1:7" ht="14.25" customHeight="1" x14ac:dyDescent="0.35">
      <c r="A1093" s="85">
        <v>45533</v>
      </c>
      <c r="B1093">
        <v>1232.44</v>
      </c>
      <c r="C1093">
        <f t="shared" ref="C1093:C1156" si="34">(B1093-B1092)/B1092</f>
        <v>4.8348566257104012E-3</v>
      </c>
      <c r="E1093" s="86">
        <v>45533</v>
      </c>
      <c r="F1093" s="87">
        <v>25151.94921875</v>
      </c>
      <c r="G1093" s="88">
        <f t="shared" ref="G1093:G1156" si="35">(F1093-F1092)/F1092</f>
        <v>3.9756594063228385E-3</v>
      </c>
    </row>
    <row r="1094" spans="1:7" ht="14.25" customHeight="1" x14ac:dyDescent="0.35">
      <c r="A1094" s="85">
        <v>45534</v>
      </c>
      <c r="B1094">
        <v>1230.57</v>
      </c>
      <c r="C1094">
        <f t="shared" si="34"/>
        <v>-1.5173152445556119E-3</v>
      </c>
      <c r="E1094" s="86">
        <v>45534</v>
      </c>
      <c r="F1094" s="87">
        <v>25235.900390625</v>
      </c>
      <c r="G1094" s="88">
        <f t="shared" si="35"/>
        <v>3.3377600735777966E-3</v>
      </c>
    </row>
    <row r="1095" spans="1:7" ht="14.25" customHeight="1" x14ac:dyDescent="0.35">
      <c r="A1095" s="85">
        <v>45537</v>
      </c>
      <c r="B1095">
        <v>1235.08</v>
      </c>
      <c r="C1095">
        <f t="shared" si="34"/>
        <v>3.6649682667381708E-3</v>
      </c>
      <c r="E1095" s="86">
        <v>45537</v>
      </c>
      <c r="F1095" s="87">
        <v>25278.69921875</v>
      </c>
      <c r="G1095" s="88">
        <f t="shared" si="35"/>
        <v>1.6959501132323192E-3</v>
      </c>
    </row>
    <row r="1096" spans="1:7" ht="14.25" customHeight="1" x14ac:dyDescent="0.35">
      <c r="A1096" s="85">
        <v>45538</v>
      </c>
      <c r="B1096">
        <v>1245.3399999999999</v>
      </c>
      <c r="C1096">
        <f t="shared" si="34"/>
        <v>8.3071541924409683E-3</v>
      </c>
      <c r="E1096" s="86">
        <v>45538</v>
      </c>
      <c r="F1096" s="87">
        <v>25279.849609375</v>
      </c>
      <c r="G1096" s="88">
        <f t="shared" si="35"/>
        <v>4.5508299894905958E-5</v>
      </c>
    </row>
    <row r="1097" spans="1:7" ht="14.25" customHeight="1" x14ac:dyDescent="0.35">
      <c r="A1097" s="85">
        <v>45539</v>
      </c>
      <c r="B1097">
        <v>1247.3</v>
      </c>
      <c r="C1097">
        <f t="shared" si="34"/>
        <v>1.573867377583661E-3</v>
      </c>
      <c r="E1097" s="86">
        <v>45539</v>
      </c>
      <c r="F1097" s="87">
        <v>25198.69921875</v>
      </c>
      <c r="G1097" s="88">
        <f t="shared" si="35"/>
        <v>-3.2100820170585776E-3</v>
      </c>
    </row>
    <row r="1098" spans="1:7" ht="14.25" customHeight="1" x14ac:dyDescent="0.35">
      <c r="A1098" s="85">
        <v>45540</v>
      </c>
      <c r="B1098">
        <v>1232.6099999999999</v>
      </c>
      <c r="C1098">
        <f t="shared" si="34"/>
        <v>-1.1777439268820697E-2</v>
      </c>
      <c r="E1098" s="86">
        <v>45540</v>
      </c>
      <c r="F1098" s="87">
        <v>25145.099609375</v>
      </c>
      <c r="G1098" s="88">
        <f t="shared" si="35"/>
        <v>-2.1270784221717794E-3</v>
      </c>
    </row>
    <row r="1099" spans="1:7" ht="14.25" customHeight="1" x14ac:dyDescent="0.35">
      <c r="A1099" s="85">
        <v>45541</v>
      </c>
      <c r="B1099">
        <v>1231.78</v>
      </c>
      <c r="C1099">
        <f t="shared" si="34"/>
        <v>-6.7336789414326292E-4</v>
      </c>
      <c r="E1099" s="86">
        <v>45541</v>
      </c>
      <c r="F1099" s="87">
        <v>24852.150390625</v>
      </c>
      <c r="G1099" s="88">
        <f t="shared" si="35"/>
        <v>-1.1650350298901897E-2</v>
      </c>
    </row>
    <row r="1100" spans="1:7" ht="14.25" customHeight="1" x14ac:dyDescent="0.35">
      <c r="A1100" s="85">
        <v>45544</v>
      </c>
      <c r="B1100">
        <v>1238.45</v>
      </c>
      <c r="C1100">
        <f t="shared" si="34"/>
        <v>5.414927990387953E-3</v>
      </c>
      <c r="E1100" s="86">
        <v>45544</v>
      </c>
      <c r="F1100" s="87">
        <v>24936.400390625</v>
      </c>
      <c r="G1100" s="88">
        <f t="shared" si="35"/>
        <v>3.3900486950127948E-3</v>
      </c>
    </row>
    <row r="1101" spans="1:7" ht="14.25" customHeight="1" x14ac:dyDescent="0.35">
      <c r="A1101" s="85">
        <v>45545</v>
      </c>
      <c r="B1101">
        <v>1247.67</v>
      </c>
      <c r="C1101">
        <f t="shared" si="34"/>
        <v>7.4447898582906272E-3</v>
      </c>
      <c r="E1101" s="86">
        <v>45545</v>
      </c>
      <c r="F1101" s="87">
        <v>25041.099609375</v>
      </c>
      <c r="G1101" s="88">
        <f t="shared" si="35"/>
        <v>4.1986500501236075E-3</v>
      </c>
    </row>
    <row r="1102" spans="1:7" ht="14.25" customHeight="1" x14ac:dyDescent="0.35">
      <c r="A1102" s="85">
        <v>45546</v>
      </c>
      <c r="B1102">
        <v>1243.42</v>
      </c>
      <c r="C1102">
        <f t="shared" si="34"/>
        <v>-3.4063494353474876E-3</v>
      </c>
      <c r="E1102" s="86">
        <v>45546</v>
      </c>
      <c r="F1102" s="87">
        <v>24918.44921875</v>
      </c>
      <c r="G1102" s="88">
        <f t="shared" si="35"/>
        <v>-4.8979634496195048E-3</v>
      </c>
    </row>
    <row r="1103" spans="1:7" ht="14.25" customHeight="1" x14ac:dyDescent="0.35">
      <c r="A1103" s="85">
        <v>45547</v>
      </c>
      <c r="B1103">
        <v>1243.9100000000001</v>
      </c>
      <c r="C1103">
        <f t="shared" si="34"/>
        <v>3.9407440768204552E-4</v>
      </c>
      <c r="E1103" s="86">
        <v>45547</v>
      </c>
      <c r="F1103" s="87">
        <v>25388.900390625</v>
      </c>
      <c r="G1103" s="88">
        <f t="shared" si="35"/>
        <v>1.8879632827271085E-2</v>
      </c>
    </row>
    <row r="1104" spans="1:7" ht="14.25" customHeight="1" x14ac:dyDescent="0.35">
      <c r="A1104" s="85">
        <v>45548</v>
      </c>
      <c r="B1104">
        <v>1245.6600000000001</v>
      </c>
      <c r="C1104">
        <f t="shared" si="34"/>
        <v>1.4068541936313719E-3</v>
      </c>
      <c r="E1104" s="86">
        <v>45548</v>
      </c>
      <c r="F1104" s="87">
        <v>25356.5</v>
      </c>
      <c r="G1104" s="88">
        <f t="shared" si="35"/>
        <v>-1.2761636040355664E-3</v>
      </c>
    </row>
    <row r="1105" spans="1:7" ht="14.25" customHeight="1" x14ac:dyDescent="0.35">
      <c r="A1105" s="85">
        <v>45551</v>
      </c>
      <c r="B1105">
        <v>1254.6099999999999</v>
      </c>
      <c r="C1105">
        <f t="shared" si="34"/>
        <v>7.1849461329735378E-3</v>
      </c>
      <c r="E1105" s="86">
        <v>45551</v>
      </c>
      <c r="F1105" s="87">
        <v>25383.75</v>
      </c>
      <c r="G1105" s="88">
        <f t="shared" si="35"/>
        <v>1.0746751326089958E-3</v>
      </c>
    </row>
    <row r="1106" spans="1:7" ht="14.25" customHeight="1" x14ac:dyDescent="0.35">
      <c r="A1106" s="85">
        <v>45552</v>
      </c>
      <c r="B1106">
        <v>1253.26</v>
      </c>
      <c r="C1106">
        <f t="shared" si="34"/>
        <v>-1.0760315954758126E-3</v>
      </c>
      <c r="E1106" s="86">
        <v>45552</v>
      </c>
      <c r="F1106" s="87">
        <v>25418.55078125</v>
      </c>
      <c r="G1106" s="88">
        <f t="shared" si="35"/>
        <v>1.3709866056039789E-3</v>
      </c>
    </row>
    <row r="1107" spans="1:7" ht="14.25" customHeight="1" x14ac:dyDescent="0.35">
      <c r="A1107" s="85">
        <v>45553</v>
      </c>
      <c r="B1107">
        <v>1278.01</v>
      </c>
      <c r="C1107">
        <f t="shared" si="34"/>
        <v>1.9748495922633773E-2</v>
      </c>
      <c r="E1107" s="86">
        <v>45553</v>
      </c>
      <c r="F1107" s="87">
        <v>25377.55078125</v>
      </c>
      <c r="G1107" s="88">
        <f t="shared" si="35"/>
        <v>-1.6129951842196943E-3</v>
      </c>
    </row>
    <row r="1108" spans="1:7" ht="14.25" customHeight="1" x14ac:dyDescent="0.35">
      <c r="A1108" s="85">
        <v>45554</v>
      </c>
      <c r="B1108">
        <v>1296.24</v>
      </c>
      <c r="C1108">
        <f t="shared" si="34"/>
        <v>1.4264364128606207E-2</v>
      </c>
      <c r="E1108" s="86">
        <v>45554</v>
      </c>
      <c r="F1108" s="87">
        <v>25415.80078125</v>
      </c>
      <c r="G1108" s="88">
        <f t="shared" si="35"/>
        <v>1.5072376499098844E-3</v>
      </c>
    </row>
    <row r="1109" spans="1:7" ht="14.25" customHeight="1" x14ac:dyDescent="0.35">
      <c r="A1109" s="85">
        <v>45555</v>
      </c>
      <c r="B1109">
        <v>1328.4</v>
      </c>
      <c r="C1109">
        <f t="shared" si="34"/>
        <v>2.4810220329568661E-2</v>
      </c>
      <c r="E1109" s="86">
        <v>45555</v>
      </c>
      <c r="F1109" s="87">
        <v>25790.94921875</v>
      </c>
      <c r="G1109" s="88">
        <f t="shared" si="35"/>
        <v>1.4760441377741608E-2</v>
      </c>
    </row>
    <row r="1110" spans="1:7" ht="14.25" customHeight="1" x14ac:dyDescent="0.35">
      <c r="A1110" s="85">
        <v>45558</v>
      </c>
      <c r="B1110">
        <v>1341</v>
      </c>
      <c r="C1110">
        <f t="shared" si="34"/>
        <v>9.4850948509484397E-3</v>
      </c>
      <c r="E1110" s="86">
        <v>45558</v>
      </c>
      <c r="F1110" s="87">
        <v>25939.05078125</v>
      </c>
      <c r="G1110" s="88">
        <f t="shared" si="35"/>
        <v>5.7423850996662926E-3</v>
      </c>
    </row>
    <row r="1111" spans="1:7" ht="14.25" customHeight="1" x14ac:dyDescent="0.35">
      <c r="A1111" s="85">
        <v>45559</v>
      </c>
      <c r="B1111">
        <v>1326.85</v>
      </c>
      <c r="C1111">
        <f t="shared" si="34"/>
        <v>-1.0551826994780083E-2</v>
      </c>
      <c r="E1111" s="86">
        <v>45559</v>
      </c>
      <c r="F1111" s="87">
        <v>25940.400390625</v>
      </c>
      <c r="G1111" s="88">
        <f t="shared" si="35"/>
        <v>5.2030021699003842E-5</v>
      </c>
    </row>
    <row r="1112" spans="1:7" ht="14.25" customHeight="1" x14ac:dyDescent="0.35">
      <c r="A1112" s="85">
        <v>45560</v>
      </c>
      <c r="B1112">
        <v>1327.32</v>
      </c>
      <c r="C1112">
        <f t="shared" si="34"/>
        <v>3.5422240645139035E-4</v>
      </c>
      <c r="E1112" s="86">
        <v>45560</v>
      </c>
      <c r="F1112" s="87">
        <v>26004.150390625</v>
      </c>
      <c r="G1112" s="88">
        <f t="shared" si="35"/>
        <v>2.4575565157058869E-3</v>
      </c>
    </row>
    <row r="1113" spans="1:7" ht="14.25" customHeight="1" x14ac:dyDescent="0.35">
      <c r="A1113" s="85">
        <v>45561</v>
      </c>
      <c r="B1113">
        <v>1355.93</v>
      </c>
      <c r="C1113">
        <f t="shared" si="34"/>
        <v>2.1554711749992562E-2</v>
      </c>
      <c r="E1113" s="86">
        <v>45561</v>
      </c>
      <c r="F1113" s="87">
        <v>26216.05078125</v>
      </c>
      <c r="G1113" s="88">
        <f t="shared" si="35"/>
        <v>8.1487142414540942E-3</v>
      </c>
    </row>
    <row r="1114" spans="1:7" ht="14.25" customHeight="1" x14ac:dyDescent="0.35">
      <c r="A1114" s="85">
        <v>45562</v>
      </c>
      <c r="B1114">
        <v>1351.11</v>
      </c>
      <c r="C1114">
        <f t="shared" si="34"/>
        <v>-3.5547557764782573E-3</v>
      </c>
      <c r="E1114" s="86">
        <v>45562</v>
      </c>
      <c r="F1114" s="87">
        <v>26178.94921875</v>
      </c>
      <c r="G1114" s="88">
        <f t="shared" si="35"/>
        <v>-1.4152231703234049E-3</v>
      </c>
    </row>
    <row r="1115" spans="1:7" ht="14.25" customHeight="1" x14ac:dyDescent="0.35">
      <c r="A1115" s="85">
        <v>45565</v>
      </c>
      <c r="B1115">
        <v>1323.67</v>
      </c>
      <c r="C1115">
        <f t="shared" si="34"/>
        <v>-2.0309227227982792E-2</v>
      </c>
      <c r="E1115" s="86">
        <v>45565</v>
      </c>
      <c r="F1115" s="87">
        <v>25810.849609375</v>
      </c>
      <c r="G1115" s="88">
        <f t="shared" si="35"/>
        <v>-1.406090085202343E-2</v>
      </c>
    </row>
    <row r="1116" spans="1:7" ht="14.25" customHeight="1" x14ac:dyDescent="0.35">
      <c r="A1116" s="85">
        <v>45566</v>
      </c>
      <c r="B1116">
        <v>1332.09</v>
      </c>
      <c r="C1116">
        <f t="shared" si="34"/>
        <v>6.3611020873781572E-3</v>
      </c>
      <c r="E1116" s="86">
        <v>45566</v>
      </c>
      <c r="F1116" s="87">
        <v>25796.900390625</v>
      </c>
      <c r="G1116" s="88">
        <f t="shared" si="35"/>
        <v>-5.4044012347944466E-4</v>
      </c>
    </row>
    <row r="1117" spans="1:7" ht="14.25" customHeight="1" x14ac:dyDescent="0.35">
      <c r="A1117" s="85">
        <v>45568</v>
      </c>
      <c r="B1117">
        <v>1316.24</v>
      </c>
      <c r="C1117">
        <f t="shared" si="34"/>
        <v>-1.1898595440247964E-2</v>
      </c>
      <c r="E1117" s="86">
        <v>45568</v>
      </c>
      <c r="F1117" s="87">
        <v>25250.099609375</v>
      </c>
      <c r="G1117" s="88">
        <f t="shared" si="35"/>
        <v>-2.1196375260987402E-2</v>
      </c>
    </row>
    <row r="1118" spans="1:7" ht="14.25" customHeight="1" x14ac:dyDescent="0.35">
      <c r="A1118" s="85">
        <v>45569</v>
      </c>
      <c r="B1118">
        <v>1278.5</v>
      </c>
      <c r="C1118">
        <f t="shared" si="34"/>
        <v>-2.8672582507749355E-2</v>
      </c>
      <c r="E1118" s="86">
        <v>45569</v>
      </c>
      <c r="F1118" s="87">
        <v>25014.599609375</v>
      </c>
      <c r="G1118" s="88">
        <f t="shared" si="35"/>
        <v>-9.3266958801446562E-3</v>
      </c>
    </row>
    <row r="1119" spans="1:7" ht="14.25" customHeight="1" x14ac:dyDescent="0.35">
      <c r="A1119" s="85">
        <v>45572</v>
      </c>
      <c r="B1119">
        <v>1266.54</v>
      </c>
      <c r="C1119">
        <f t="shared" si="34"/>
        <v>-9.3547125537739827E-3</v>
      </c>
      <c r="E1119" s="86">
        <v>45572</v>
      </c>
      <c r="F1119" s="87">
        <v>24795.75</v>
      </c>
      <c r="G1119" s="88">
        <f t="shared" si="35"/>
        <v>-8.7488751686027114E-3</v>
      </c>
    </row>
    <row r="1120" spans="1:7" ht="14.25" customHeight="1" x14ac:dyDescent="0.35">
      <c r="A1120" s="85">
        <v>45573</v>
      </c>
      <c r="B1120">
        <v>1270.43</v>
      </c>
      <c r="C1120">
        <f t="shared" si="34"/>
        <v>3.071359767555782E-3</v>
      </c>
      <c r="E1120" s="86">
        <v>45573</v>
      </c>
      <c r="F1120" s="87">
        <v>25013.150390625</v>
      </c>
      <c r="G1120" s="88">
        <f t="shared" si="35"/>
        <v>8.7676473034693451E-3</v>
      </c>
    </row>
    <row r="1121" spans="1:7" ht="14.25" customHeight="1" x14ac:dyDescent="0.35">
      <c r="A1121" s="85">
        <v>45574</v>
      </c>
      <c r="B1121">
        <v>1238.08</v>
      </c>
      <c r="C1121">
        <f t="shared" si="34"/>
        <v>-2.5463819336760101E-2</v>
      </c>
      <c r="E1121" s="86">
        <v>45574</v>
      </c>
      <c r="F1121" s="87">
        <v>24981.94921875</v>
      </c>
      <c r="G1121" s="88">
        <f t="shared" si="35"/>
        <v>-1.2473907279865989E-3</v>
      </c>
    </row>
    <row r="1122" spans="1:7" ht="14.25" customHeight="1" x14ac:dyDescent="0.35">
      <c r="A1122" s="85">
        <v>45575</v>
      </c>
      <c r="B1122">
        <v>1236.33</v>
      </c>
      <c r="C1122">
        <f t="shared" si="34"/>
        <v>-1.4134789351253555E-3</v>
      </c>
      <c r="E1122" s="86">
        <v>45575</v>
      </c>
      <c r="F1122" s="87">
        <v>24998.44921875</v>
      </c>
      <c r="G1122" s="88">
        <f t="shared" si="35"/>
        <v>6.6047688495083712E-4</v>
      </c>
    </row>
    <row r="1123" spans="1:7" ht="14.25" customHeight="1" x14ac:dyDescent="0.35">
      <c r="A1123" s="85">
        <v>45576</v>
      </c>
      <c r="B1123">
        <v>1236.01</v>
      </c>
      <c r="C1123">
        <f t="shared" si="34"/>
        <v>-2.5883057112578061E-4</v>
      </c>
      <c r="E1123" s="86">
        <v>45576</v>
      </c>
      <c r="F1123" s="87">
        <v>24964.25</v>
      </c>
      <c r="G1123" s="88">
        <f t="shared" si="35"/>
        <v>-1.3680536120756241E-3</v>
      </c>
    </row>
    <row r="1124" spans="1:7" ht="14.25" customHeight="1" x14ac:dyDescent="0.35">
      <c r="A1124" s="85">
        <v>45579</v>
      </c>
      <c r="B1124">
        <v>1231.21</v>
      </c>
      <c r="C1124">
        <f t="shared" si="34"/>
        <v>-3.8834637260215972E-3</v>
      </c>
      <c r="E1124" s="86">
        <v>45579</v>
      </c>
      <c r="F1124" s="87">
        <v>25127.94921875</v>
      </c>
      <c r="G1124" s="88">
        <f t="shared" si="35"/>
        <v>6.5573457544288337E-3</v>
      </c>
    </row>
    <row r="1125" spans="1:7" ht="14.25" customHeight="1" x14ac:dyDescent="0.35">
      <c r="A1125" s="85">
        <v>45580</v>
      </c>
      <c r="B1125">
        <v>1222.45</v>
      </c>
      <c r="C1125">
        <f t="shared" si="34"/>
        <v>-7.1149519578300943E-3</v>
      </c>
      <c r="E1125" s="86">
        <v>45580</v>
      </c>
      <c r="F1125" s="87">
        <v>25057.349609375</v>
      </c>
      <c r="G1125" s="88">
        <f t="shared" si="35"/>
        <v>-2.8096049048968912E-3</v>
      </c>
    </row>
    <row r="1126" spans="1:7" ht="14.25" customHeight="1" x14ac:dyDescent="0.35">
      <c r="A1126" s="85">
        <v>45581</v>
      </c>
      <c r="B1126">
        <v>1211.6300000000001</v>
      </c>
      <c r="C1126">
        <f t="shared" si="34"/>
        <v>-8.8510777536913044E-3</v>
      </c>
      <c r="E1126" s="86">
        <v>45581</v>
      </c>
      <c r="F1126" s="87">
        <v>24971.30078125</v>
      </c>
      <c r="G1126" s="88">
        <f t="shared" si="35"/>
        <v>-3.4340754096676505E-3</v>
      </c>
    </row>
    <row r="1127" spans="1:7" ht="14.25" customHeight="1" x14ac:dyDescent="0.35">
      <c r="A1127" s="85">
        <v>45582</v>
      </c>
      <c r="B1127">
        <v>1170.51</v>
      </c>
      <c r="C1127">
        <f t="shared" si="34"/>
        <v>-3.3937753274514593E-2</v>
      </c>
      <c r="E1127" s="86">
        <v>45582</v>
      </c>
      <c r="F1127" s="87">
        <v>24749.849609375</v>
      </c>
      <c r="G1127" s="88">
        <f t="shared" si="35"/>
        <v>-8.8682273228345102E-3</v>
      </c>
    </row>
    <row r="1128" spans="1:7" ht="14.25" customHeight="1" x14ac:dyDescent="0.35">
      <c r="A1128" s="85">
        <v>45583</v>
      </c>
      <c r="B1128">
        <v>1156.51</v>
      </c>
      <c r="C1128">
        <f t="shared" si="34"/>
        <v>-1.1960598371649965E-2</v>
      </c>
      <c r="E1128" s="86">
        <v>45583</v>
      </c>
      <c r="F1128" s="87">
        <v>24854.05078125</v>
      </c>
      <c r="G1128" s="88">
        <f t="shared" si="35"/>
        <v>4.2101739412400158E-3</v>
      </c>
    </row>
    <row r="1129" spans="1:7" ht="14.25" customHeight="1" x14ac:dyDescent="0.35">
      <c r="A1129" s="85">
        <v>45586</v>
      </c>
      <c r="B1129">
        <v>1158.68</v>
      </c>
      <c r="C1129">
        <f t="shared" si="34"/>
        <v>1.8763348349777112E-3</v>
      </c>
      <c r="E1129" s="86">
        <v>45586</v>
      </c>
      <c r="F1129" s="87">
        <v>24781.099609375</v>
      </c>
      <c r="G1129" s="88">
        <f t="shared" si="35"/>
        <v>-2.9351823779983047E-3</v>
      </c>
    </row>
    <row r="1130" spans="1:7" ht="14.25" customHeight="1" x14ac:dyDescent="0.35">
      <c r="A1130" s="85">
        <v>45587</v>
      </c>
      <c r="B1130">
        <v>1156.51</v>
      </c>
      <c r="C1130">
        <f t="shared" si="34"/>
        <v>-1.8728207960783587E-3</v>
      </c>
      <c r="E1130" s="86">
        <v>45587</v>
      </c>
      <c r="F1130" s="87">
        <v>24472.099609375</v>
      </c>
      <c r="G1130" s="88">
        <f t="shared" si="35"/>
        <v>-1.2469180337869326E-2</v>
      </c>
    </row>
    <row r="1131" spans="1:7" ht="14.25" customHeight="1" x14ac:dyDescent="0.35">
      <c r="A1131" s="85">
        <v>45588</v>
      </c>
      <c r="B1131">
        <v>1145.1500000000001</v>
      </c>
      <c r="C1131">
        <f t="shared" si="34"/>
        <v>-9.8226560946294457E-3</v>
      </c>
      <c r="E1131" s="86">
        <v>45588</v>
      </c>
      <c r="F1131" s="87">
        <v>24435.5</v>
      </c>
      <c r="G1131" s="88">
        <f t="shared" si="35"/>
        <v>-1.4955647434917714E-3</v>
      </c>
    </row>
    <row r="1132" spans="1:7" ht="14.25" customHeight="1" x14ac:dyDescent="0.35">
      <c r="A1132" s="85">
        <v>45589</v>
      </c>
      <c r="B1132">
        <v>1111.44</v>
      </c>
      <c r="C1132">
        <f t="shared" si="34"/>
        <v>-2.9437191634283748E-2</v>
      </c>
      <c r="E1132" s="86">
        <v>45589</v>
      </c>
      <c r="F1132" s="87">
        <v>24399.400390625</v>
      </c>
      <c r="G1132" s="88">
        <f t="shared" si="35"/>
        <v>-1.4773427748562542E-3</v>
      </c>
    </row>
    <row r="1133" spans="1:7" ht="14.25" customHeight="1" x14ac:dyDescent="0.35">
      <c r="A1133" s="85">
        <v>45590</v>
      </c>
      <c r="B1133">
        <v>1112.45</v>
      </c>
      <c r="C1133">
        <f t="shared" si="34"/>
        <v>9.087310156193684E-4</v>
      </c>
      <c r="E1133" s="86">
        <v>45590</v>
      </c>
      <c r="F1133" s="87">
        <v>24180.80078125</v>
      </c>
      <c r="G1133" s="88">
        <f t="shared" si="35"/>
        <v>-8.9592205494932031E-3</v>
      </c>
    </row>
    <row r="1134" spans="1:7" ht="14.25" customHeight="1" x14ac:dyDescent="0.35">
      <c r="A1134" s="85">
        <v>45593</v>
      </c>
      <c r="B1134">
        <v>1118.03</v>
      </c>
      <c r="C1134">
        <f t="shared" si="34"/>
        <v>5.0159557732931161E-3</v>
      </c>
      <c r="E1134" s="86">
        <v>45593</v>
      </c>
      <c r="F1134" s="87">
        <v>24339.150390625</v>
      </c>
      <c r="G1134" s="88">
        <f t="shared" si="35"/>
        <v>6.5485676346080995E-3</v>
      </c>
    </row>
    <row r="1135" spans="1:7" ht="14.25" customHeight="1" x14ac:dyDescent="0.35">
      <c r="A1135" s="85">
        <v>45594</v>
      </c>
      <c r="B1135">
        <v>1115.75</v>
      </c>
      <c r="C1135">
        <f t="shared" si="34"/>
        <v>-2.0393012709855485E-3</v>
      </c>
      <c r="E1135" s="86">
        <v>45594</v>
      </c>
      <c r="F1135" s="87">
        <v>24466.849609375</v>
      </c>
      <c r="G1135" s="88">
        <f t="shared" si="35"/>
        <v>5.2466588480092318E-3</v>
      </c>
    </row>
    <row r="1136" spans="1:7" ht="14.25" customHeight="1" x14ac:dyDescent="0.35">
      <c r="A1136" s="85">
        <v>45595</v>
      </c>
      <c r="B1136">
        <v>1120.1300000000001</v>
      </c>
      <c r="C1136">
        <f t="shared" si="34"/>
        <v>3.9256105758459416E-3</v>
      </c>
      <c r="E1136" s="86">
        <v>45595</v>
      </c>
      <c r="F1136" s="87">
        <v>24340.849609375</v>
      </c>
      <c r="G1136" s="88">
        <f t="shared" si="35"/>
        <v>-5.149825253829181E-3</v>
      </c>
    </row>
    <row r="1137" spans="1:7" ht="14.25" customHeight="1" x14ac:dyDescent="0.35">
      <c r="A1137" s="85">
        <v>45596</v>
      </c>
      <c r="B1137">
        <v>1113.56</v>
      </c>
      <c r="C1137">
        <f t="shared" si="34"/>
        <v>-5.8653906243026823E-3</v>
      </c>
      <c r="E1137" s="86">
        <v>45596</v>
      </c>
      <c r="F1137" s="87">
        <v>24205.349609375</v>
      </c>
      <c r="G1137" s="88">
        <f t="shared" si="35"/>
        <v>-5.566773640794013E-3</v>
      </c>
    </row>
    <row r="1138" spans="1:7" ht="14.25" customHeight="1" x14ac:dyDescent="0.35">
      <c r="A1138" s="85">
        <v>45597</v>
      </c>
      <c r="B1138">
        <v>1123.08</v>
      </c>
      <c r="C1138">
        <f t="shared" si="34"/>
        <v>8.5491576565250027E-3</v>
      </c>
      <c r="E1138" s="86">
        <v>45597</v>
      </c>
      <c r="F1138" s="87">
        <v>24304.349609375</v>
      </c>
      <c r="G1138" s="88">
        <f t="shared" si="35"/>
        <v>4.0900049616162618E-3</v>
      </c>
    </row>
    <row r="1139" spans="1:7" ht="14.25" customHeight="1" x14ac:dyDescent="0.35">
      <c r="A1139" s="85">
        <v>45600</v>
      </c>
      <c r="B1139">
        <v>1105.31</v>
      </c>
      <c r="C1139">
        <f t="shared" si="34"/>
        <v>-1.5822559390248229E-2</v>
      </c>
      <c r="E1139" s="86">
        <v>45600</v>
      </c>
      <c r="F1139" s="87">
        <v>23995.349609375</v>
      </c>
      <c r="G1139" s="88">
        <f t="shared" si="35"/>
        <v>-1.2713773664645128E-2</v>
      </c>
    </row>
    <row r="1140" spans="1:7" ht="14.25" customHeight="1" x14ac:dyDescent="0.35">
      <c r="A1140" s="85">
        <v>45601</v>
      </c>
      <c r="B1140">
        <v>1113.31</v>
      </c>
      <c r="C1140">
        <f t="shared" si="34"/>
        <v>7.2377884937257428E-3</v>
      </c>
      <c r="E1140" s="86">
        <v>45601</v>
      </c>
      <c r="F1140" s="87">
        <v>24213.30078125</v>
      </c>
      <c r="G1140" s="88">
        <f t="shared" si="35"/>
        <v>9.0830588186073483E-3</v>
      </c>
    </row>
    <row r="1141" spans="1:7" ht="14.25" customHeight="1" x14ac:dyDescent="0.35">
      <c r="A1141" s="85">
        <v>45602</v>
      </c>
      <c r="B1141">
        <v>1119.78</v>
      </c>
      <c r="C1141">
        <f t="shared" si="34"/>
        <v>5.8114990433931497E-3</v>
      </c>
      <c r="E1141" s="86">
        <v>45602</v>
      </c>
      <c r="F1141" s="87">
        <v>24484.05078125</v>
      </c>
      <c r="G1141" s="88">
        <f t="shared" si="35"/>
        <v>1.1181870759630595E-2</v>
      </c>
    </row>
    <row r="1142" spans="1:7" ht="14.25" customHeight="1" x14ac:dyDescent="0.35">
      <c r="A1142" s="85">
        <v>45603</v>
      </c>
      <c r="B1142">
        <v>1113.51</v>
      </c>
      <c r="C1142">
        <f t="shared" si="34"/>
        <v>-5.5993141509939294E-3</v>
      </c>
      <c r="E1142" s="86">
        <v>45603</v>
      </c>
      <c r="F1142" s="87">
        <v>24199.349609375</v>
      </c>
      <c r="G1142" s="88">
        <f t="shared" si="35"/>
        <v>-1.1628025706147672E-2</v>
      </c>
    </row>
    <row r="1143" spans="1:7" ht="14.25" customHeight="1" x14ac:dyDescent="0.35">
      <c r="A1143" s="85">
        <v>45604</v>
      </c>
      <c r="B1143">
        <v>1129.6500000000001</v>
      </c>
      <c r="C1143">
        <f t="shared" si="34"/>
        <v>1.4494705929897442E-2</v>
      </c>
      <c r="E1143" s="86">
        <v>45604</v>
      </c>
      <c r="F1143" s="87">
        <v>24148.19921875</v>
      </c>
      <c r="G1143" s="88">
        <f t="shared" si="35"/>
        <v>-2.1137093124678017E-3</v>
      </c>
    </row>
    <row r="1144" spans="1:7" ht="14.25" customHeight="1" x14ac:dyDescent="0.35">
      <c r="A1144" s="85">
        <v>45607</v>
      </c>
      <c r="B1144">
        <v>1121.48</v>
      </c>
      <c r="C1144">
        <f t="shared" si="34"/>
        <v>-7.2323285973532265E-3</v>
      </c>
      <c r="E1144" s="86">
        <v>45607</v>
      </c>
      <c r="F1144" s="87">
        <v>24141.30078125</v>
      </c>
      <c r="G1144" s="88">
        <f t="shared" si="35"/>
        <v>-2.8567088740280355E-4</v>
      </c>
    </row>
    <row r="1145" spans="1:7" ht="14.25" customHeight="1" x14ac:dyDescent="0.35">
      <c r="A1145" s="85">
        <v>45608</v>
      </c>
      <c r="B1145">
        <v>1110.23</v>
      </c>
      <c r="C1145">
        <f t="shared" si="34"/>
        <v>-1.003138709562364E-2</v>
      </c>
      <c r="E1145" s="86">
        <v>45608</v>
      </c>
      <c r="F1145" s="87">
        <v>23883.44921875</v>
      </c>
      <c r="G1145" s="88">
        <f t="shared" si="35"/>
        <v>-1.0680930776533279E-2</v>
      </c>
    </row>
    <row r="1146" spans="1:7" ht="14.25" customHeight="1" x14ac:dyDescent="0.35">
      <c r="A1146" s="85">
        <v>45609</v>
      </c>
      <c r="B1146">
        <v>1099.93</v>
      </c>
      <c r="C1146">
        <f t="shared" si="34"/>
        <v>-9.2773569440565955E-3</v>
      </c>
      <c r="E1146" s="86">
        <v>45609</v>
      </c>
      <c r="F1146" s="87">
        <v>23559.05078125</v>
      </c>
      <c r="G1146" s="88">
        <f t="shared" si="35"/>
        <v>-1.3582562322921387E-2</v>
      </c>
    </row>
    <row r="1147" spans="1:7" ht="14.25" customHeight="1" x14ac:dyDescent="0.35">
      <c r="A1147" s="85">
        <v>45610</v>
      </c>
      <c r="B1147">
        <v>1074.1199999999999</v>
      </c>
      <c r="C1147">
        <f t="shared" si="34"/>
        <v>-2.3465129599156465E-2</v>
      </c>
      <c r="E1147" s="86">
        <v>45610</v>
      </c>
      <c r="F1147" s="87">
        <v>23532.69921875</v>
      </c>
      <c r="G1147" s="88">
        <f t="shared" si="35"/>
        <v>-1.1185324376894032E-3</v>
      </c>
    </row>
    <row r="1148" spans="1:7" ht="14.25" customHeight="1" x14ac:dyDescent="0.35">
      <c r="A1148" s="85">
        <v>45614</v>
      </c>
      <c r="B1148">
        <v>1089.07</v>
      </c>
      <c r="C1148">
        <f t="shared" si="34"/>
        <v>1.391837038692143E-2</v>
      </c>
      <c r="E1148" s="86">
        <v>45614</v>
      </c>
      <c r="F1148" s="87">
        <v>23453.80078125</v>
      </c>
      <c r="G1148" s="88">
        <f t="shared" si="35"/>
        <v>-3.3527151631265739E-3</v>
      </c>
    </row>
    <row r="1149" spans="1:7" ht="14.25" customHeight="1" x14ac:dyDescent="0.35">
      <c r="A1149" s="85">
        <v>45615</v>
      </c>
      <c r="B1149">
        <v>1089.54</v>
      </c>
      <c r="C1149">
        <f t="shared" si="34"/>
        <v>4.315608730384891E-4</v>
      </c>
      <c r="E1149" s="86">
        <v>45615</v>
      </c>
      <c r="F1149" s="87">
        <v>23518.5</v>
      </c>
      <c r="G1149" s="88">
        <f t="shared" si="35"/>
        <v>2.7585814066316875E-3</v>
      </c>
    </row>
    <row r="1150" spans="1:7" ht="14.25" customHeight="1" x14ac:dyDescent="0.35">
      <c r="A1150" s="85">
        <v>45617</v>
      </c>
      <c r="B1150">
        <v>1088.0899999999999</v>
      </c>
      <c r="C1150">
        <f t="shared" si="34"/>
        <v>-1.3308368669347115E-3</v>
      </c>
      <c r="E1150" s="86">
        <v>45617</v>
      </c>
      <c r="F1150" s="87">
        <v>23349.900390625</v>
      </c>
      <c r="G1150" s="88">
        <f t="shared" si="35"/>
        <v>-7.1688079331164827E-3</v>
      </c>
    </row>
    <row r="1151" spans="1:7" ht="14.25" customHeight="1" x14ac:dyDescent="0.35">
      <c r="A1151" s="85">
        <v>45618</v>
      </c>
      <c r="B1151">
        <v>1105.8499999999999</v>
      </c>
      <c r="C1151">
        <f t="shared" si="34"/>
        <v>1.6322179231497386E-2</v>
      </c>
      <c r="E1151" s="86">
        <v>45618</v>
      </c>
      <c r="F1151" s="87">
        <v>23907.25</v>
      </c>
      <c r="G1151" s="88">
        <f t="shared" si="35"/>
        <v>2.3869464111237762E-2</v>
      </c>
    </row>
    <row r="1152" spans="1:7" ht="14.25" customHeight="1" x14ac:dyDescent="0.35">
      <c r="A1152" s="85">
        <v>45621</v>
      </c>
      <c r="B1152">
        <v>1110.5999999999999</v>
      </c>
      <c r="C1152">
        <f t="shared" si="34"/>
        <v>4.2953384274539951E-3</v>
      </c>
      <c r="E1152" s="86">
        <v>45621</v>
      </c>
      <c r="F1152" s="87">
        <v>24221.900390625</v>
      </c>
      <c r="G1152" s="88">
        <f t="shared" si="35"/>
        <v>1.3161295867362411E-2</v>
      </c>
    </row>
    <row r="1153" spans="1:7" ht="14.25" customHeight="1" x14ac:dyDescent="0.35">
      <c r="A1153" s="85">
        <v>45622</v>
      </c>
      <c r="B1153">
        <v>1114.69</v>
      </c>
      <c r="C1153">
        <f t="shared" si="34"/>
        <v>3.6826940392581898E-3</v>
      </c>
      <c r="E1153" s="86">
        <v>45622</v>
      </c>
      <c r="F1153" s="87">
        <v>24194.5</v>
      </c>
      <c r="G1153" s="88">
        <f t="shared" si="35"/>
        <v>-1.1312238174179439E-3</v>
      </c>
    </row>
    <row r="1154" spans="1:7" ht="14.25" customHeight="1" x14ac:dyDescent="0.35">
      <c r="A1154" s="85">
        <v>45623</v>
      </c>
      <c r="B1154">
        <v>1118.97</v>
      </c>
      <c r="C1154">
        <f t="shared" si="34"/>
        <v>3.8396325435771134E-3</v>
      </c>
      <c r="E1154" s="86">
        <v>45623</v>
      </c>
      <c r="F1154" s="87">
        <v>24274.900390625</v>
      </c>
      <c r="G1154" s="88">
        <f t="shared" si="35"/>
        <v>3.3230854378061129E-3</v>
      </c>
    </row>
    <row r="1155" spans="1:7" ht="14.25" customHeight="1" x14ac:dyDescent="0.35">
      <c r="A1155" s="85">
        <v>45624</v>
      </c>
      <c r="B1155">
        <v>1100.42</v>
      </c>
      <c r="C1155">
        <f t="shared" si="34"/>
        <v>-1.6577745605333434E-2</v>
      </c>
      <c r="E1155" s="86">
        <v>45624</v>
      </c>
      <c r="F1155" s="87">
        <v>23914.150390625</v>
      </c>
      <c r="G1155" s="88">
        <f t="shared" si="35"/>
        <v>-1.4861029054492934E-2</v>
      </c>
    </row>
    <row r="1156" spans="1:7" ht="14.25" customHeight="1" x14ac:dyDescent="0.35">
      <c r="A1156" s="85">
        <v>45625</v>
      </c>
      <c r="B1156">
        <v>1099.6300000000001</v>
      </c>
      <c r="C1156">
        <f t="shared" si="34"/>
        <v>-7.1790770796601627E-4</v>
      </c>
      <c r="E1156" s="86">
        <v>45625</v>
      </c>
      <c r="F1156" s="87">
        <v>24131.099609375</v>
      </c>
      <c r="G1156" s="88">
        <f t="shared" si="35"/>
        <v>9.0720019405351737E-3</v>
      </c>
    </row>
    <row r="1157" spans="1:7" ht="14.25" customHeight="1" x14ac:dyDescent="0.35">
      <c r="A1157" s="85">
        <v>45628</v>
      </c>
      <c r="B1157">
        <v>1108.0899999999999</v>
      </c>
      <c r="C1157">
        <f t="shared" ref="C1157:C1220" si="36">(B1157-B1156)/B1156</f>
        <v>7.6934969035037312E-3</v>
      </c>
      <c r="E1157" s="86">
        <v>45628</v>
      </c>
      <c r="F1157" s="87">
        <v>24276.05078125</v>
      </c>
      <c r="G1157" s="88">
        <f t="shared" ref="G1157:G1220" si="37">(F1157-F1156)/F1156</f>
        <v>6.0068200049485541E-3</v>
      </c>
    </row>
    <row r="1158" spans="1:7" ht="14.25" customHeight="1" x14ac:dyDescent="0.35">
      <c r="A1158" s="85">
        <v>45629</v>
      </c>
      <c r="B1158">
        <v>1112.94</v>
      </c>
      <c r="C1158">
        <f t="shared" si="36"/>
        <v>4.3769007932569892E-3</v>
      </c>
      <c r="E1158" s="86">
        <v>45629</v>
      </c>
      <c r="F1158" s="87">
        <v>24457.150390625</v>
      </c>
      <c r="G1158" s="88">
        <f t="shared" si="37"/>
        <v>7.4600111445999777E-3</v>
      </c>
    </row>
    <row r="1159" spans="1:7" ht="14.25" customHeight="1" x14ac:dyDescent="0.35">
      <c r="A1159" s="85">
        <v>45630</v>
      </c>
      <c r="B1159">
        <v>1111.02</v>
      </c>
      <c r="C1159">
        <f t="shared" si="36"/>
        <v>-1.7251603860047016E-3</v>
      </c>
      <c r="E1159" s="86">
        <v>45630</v>
      </c>
      <c r="F1159" s="87">
        <v>24467.44921875</v>
      </c>
      <c r="G1159" s="88">
        <f t="shared" si="37"/>
        <v>4.2109681465375389E-4</v>
      </c>
    </row>
    <row r="1160" spans="1:7" ht="14.25" customHeight="1" x14ac:dyDescent="0.35">
      <c r="A1160" s="85">
        <v>45631</v>
      </c>
      <c r="B1160">
        <v>1114.81</v>
      </c>
      <c r="C1160">
        <f t="shared" si="36"/>
        <v>3.4112797249374123E-3</v>
      </c>
      <c r="E1160" s="86">
        <v>45631</v>
      </c>
      <c r="F1160" s="87">
        <v>24708.400390625</v>
      </c>
      <c r="G1160" s="88">
        <f t="shared" si="37"/>
        <v>9.8478255628851284E-3</v>
      </c>
    </row>
    <row r="1161" spans="1:7" ht="14.25" customHeight="1" x14ac:dyDescent="0.35">
      <c r="A1161" s="85">
        <v>45632</v>
      </c>
      <c r="B1161">
        <v>1115.94</v>
      </c>
      <c r="C1161">
        <f t="shared" si="36"/>
        <v>1.0136256402437269E-3</v>
      </c>
      <c r="E1161" s="86">
        <v>45632</v>
      </c>
      <c r="F1161" s="87">
        <v>24677.80078125</v>
      </c>
      <c r="G1161" s="88">
        <f t="shared" si="37"/>
        <v>-1.2384293961259537E-3</v>
      </c>
    </row>
    <row r="1162" spans="1:7" ht="14.25" customHeight="1" x14ac:dyDescent="0.35">
      <c r="A1162" s="85">
        <v>45635</v>
      </c>
      <c r="B1162">
        <v>1096.78</v>
      </c>
      <c r="C1162">
        <f t="shared" si="36"/>
        <v>-1.7169381866408661E-2</v>
      </c>
      <c r="E1162" s="86">
        <v>45635</v>
      </c>
      <c r="F1162" s="87">
        <v>24619</v>
      </c>
      <c r="G1162" s="88">
        <f t="shared" si="37"/>
        <v>-2.3827399277279349E-3</v>
      </c>
    </row>
    <row r="1163" spans="1:7" ht="14.25" customHeight="1" x14ac:dyDescent="0.35">
      <c r="A1163" s="85">
        <v>45636</v>
      </c>
      <c r="B1163">
        <v>1089.69</v>
      </c>
      <c r="C1163">
        <f t="shared" si="36"/>
        <v>-6.4643775415305881E-3</v>
      </c>
      <c r="E1163" s="86">
        <v>45636</v>
      </c>
      <c r="F1163" s="87">
        <v>24610.05078125</v>
      </c>
      <c r="G1163" s="88">
        <f t="shared" si="37"/>
        <v>-3.6350862138998332E-4</v>
      </c>
    </row>
    <row r="1164" spans="1:7" ht="14.25" customHeight="1" x14ac:dyDescent="0.35">
      <c r="A1164" s="85">
        <v>45637</v>
      </c>
      <c r="B1164">
        <v>1102.78</v>
      </c>
      <c r="C1164">
        <f t="shared" si="36"/>
        <v>1.2012590736814982E-2</v>
      </c>
      <c r="E1164" s="86">
        <v>45637</v>
      </c>
      <c r="F1164" s="87">
        <v>24641.80078125</v>
      </c>
      <c r="G1164" s="88">
        <f t="shared" si="37"/>
        <v>1.2901233029632678E-3</v>
      </c>
    </row>
    <row r="1165" spans="1:7" ht="14.25" customHeight="1" x14ac:dyDescent="0.35">
      <c r="A1165" s="85">
        <v>45638</v>
      </c>
      <c r="B1165">
        <v>1094.4100000000001</v>
      </c>
      <c r="C1165">
        <f t="shared" si="36"/>
        <v>-7.5899091387220396E-3</v>
      </c>
      <c r="E1165" s="86">
        <v>45638</v>
      </c>
      <c r="F1165" s="87">
        <v>24548.69921875</v>
      </c>
      <c r="G1165" s="88">
        <f t="shared" si="37"/>
        <v>-3.778196379659119E-3</v>
      </c>
    </row>
    <row r="1166" spans="1:7" ht="14.25" customHeight="1" x14ac:dyDescent="0.35">
      <c r="A1166" s="85">
        <v>45639</v>
      </c>
      <c r="B1166">
        <v>1108.9100000000001</v>
      </c>
      <c r="C1166">
        <f t="shared" si="36"/>
        <v>1.324914794272713E-2</v>
      </c>
      <c r="E1166" s="86">
        <v>45639</v>
      </c>
      <c r="F1166" s="87">
        <v>24768.30078125</v>
      </c>
      <c r="G1166" s="88">
        <f t="shared" si="37"/>
        <v>8.9455478085890185E-3</v>
      </c>
    </row>
    <row r="1167" spans="1:7" ht="14.25" customHeight="1" x14ac:dyDescent="0.35">
      <c r="A1167" s="85">
        <v>45642</v>
      </c>
      <c r="B1167">
        <v>1101.6500000000001</v>
      </c>
      <c r="C1167">
        <f t="shared" si="36"/>
        <v>-6.5469695466719487E-3</v>
      </c>
      <c r="E1167" s="86">
        <v>45642</v>
      </c>
      <c r="F1167" s="87">
        <v>24668.25</v>
      </c>
      <c r="G1167" s="88">
        <f t="shared" si="37"/>
        <v>-4.0394689217332193E-3</v>
      </c>
    </row>
    <row r="1168" spans="1:7" ht="14.25" customHeight="1" x14ac:dyDescent="0.35">
      <c r="A1168" s="85">
        <v>45643</v>
      </c>
      <c r="B1168">
        <v>1084.03</v>
      </c>
      <c r="C1168">
        <f t="shared" si="36"/>
        <v>-1.5994190532383348E-2</v>
      </c>
      <c r="E1168" s="86">
        <v>45643</v>
      </c>
      <c r="F1168" s="87">
        <v>24336</v>
      </c>
      <c r="G1168" s="88">
        <f t="shared" si="37"/>
        <v>-1.3468730047733423E-2</v>
      </c>
    </row>
    <row r="1169" spans="1:7" ht="14.25" customHeight="1" x14ac:dyDescent="0.35">
      <c r="A1169" s="85">
        <v>45644</v>
      </c>
      <c r="B1169">
        <v>1076.7</v>
      </c>
      <c r="C1169">
        <f t="shared" si="36"/>
        <v>-6.7618054850879837E-3</v>
      </c>
      <c r="E1169" s="86">
        <v>45644</v>
      </c>
      <c r="F1169" s="87">
        <v>24198.849609375</v>
      </c>
      <c r="G1169" s="88">
        <f t="shared" si="37"/>
        <v>-5.6356998120069036E-3</v>
      </c>
    </row>
    <row r="1170" spans="1:7" ht="14.25" customHeight="1" x14ac:dyDescent="0.35">
      <c r="A1170" s="85">
        <v>45645</v>
      </c>
      <c r="B1170">
        <v>1063.0899999999999</v>
      </c>
      <c r="C1170">
        <f t="shared" si="36"/>
        <v>-1.2640475527073583E-2</v>
      </c>
      <c r="E1170" s="86">
        <v>45645</v>
      </c>
      <c r="F1170" s="87">
        <v>23951.69921875</v>
      </c>
      <c r="G1170" s="88">
        <f t="shared" si="37"/>
        <v>-1.0213311567061031E-2</v>
      </c>
    </row>
    <row r="1171" spans="1:7" ht="14.25" customHeight="1" x14ac:dyDescent="0.35">
      <c r="A1171" s="85">
        <v>45646</v>
      </c>
      <c r="B1171">
        <v>1064.6199999999999</v>
      </c>
      <c r="C1171">
        <f t="shared" si="36"/>
        <v>1.4392008202503766E-3</v>
      </c>
      <c r="E1171" s="86">
        <v>45646</v>
      </c>
      <c r="F1171" s="87">
        <v>23587.5</v>
      </c>
      <c r="G1171" s="88">
        <f t="shared" si="37"/>
        <v>-1.5205569150805617E-2</v>
      </c>
    </row>
    <row r="1172" spans="1:7" ht="14.25" customHeight="1" x14ac:dyDescent="0.35">
      <c r="A1172" s="85">
        <v>45649</v>
      </c>
      <c r="B1172">
        <v>1058.76</v>
      </c>
      <c r="C1172">
        <f t="shared" si="36"/>
        <v>-5.5043113974938482E-3</v>
      </c>
      <c r="E1172" s="86">
        <v>45649</v>
      </c>
      <c r="F1172" s="87">
        <v>23753.44921875</v>
      </c>
      <c r="G1172" s="88">
        <f t="shared" si="37"/>
        <v>7.0354729729729731E-3</v>
      </c>
    </row>
    <row r="1173" spans="1:7" ht="14.25" customHeight="1" x14ac:dyDescent="0.35">
      <c r="A1173" s="85">
        <v>45650</v>
      </c>
      <c r="B1173">
        <v>1066.19</v>
      </c>
      <c r="C1173">
        <f t="shared" si="36"/>
        <v>7.0176432808191315E-3</v>
      </c>
      <c r="E1173" s="86">
        <v>45650</v>
      </c>
      <c r="F1173" s="87">
        <v>23727.650390625</v>
      </c>
      <c r="G1173" s="88">
        <f t="shared" si="37"/>
        <v>-1.0861087115144297E-3</v>
      </c>
    </row>
    <row r="1174" spans="1:7" ht="14.25" customHeight="1" x14ac:dyDescent="0.35">
      <c r="A1174" s="85">
        <v>45652</v>
      </c>
      <c r="B1174">
        <v>1057.93</v>
      </c>
      <c r="C1174">
        <f t="shared" si="36"/>
        <v>-7.7472120353783008E-3</v>
      </c>
      <c r="E1174" s="86">
        <v>45652</v>
      </c>
      <c r="F1174" s="87">
        <v>23750.19921875</v>
      </c>
      <c r="G1174" s="88">
        <f t="shared" si="37"/>
        <v>9.5031862631915877E-4</v>
      </c>
    </row>
    <row r="1175" spans="1:7" ht="14.25" customHeight="1" x14ac:dyDescent="0.35">
      <c r="A1175" s="85">
        <v>45653</v>
      </c>
      <c r="B1175">
        <v>1065.6500000000001</v>
      </c>
      <c r="C1175">
        <f t="shared" si="36"/>
        <v>7.2972691955044541E-3</v>
      </c>
      <c r="E1175" s="86">
        <v>45653</v>
      </c>
      <c r="F1175" s="87">
        <v>23813.400390625</v>
      </c>
      <c r="G1175" s="88">
        <f t="shared" si="37"/>
        <v>2.6610796521279179E-3</v>
      </c>
    </row>
    <row r="1176" spans="1:7" ht="14.25" customHeight="1" x14ac:dyDescent="0.35">
      <c r="A1176" s="85">
        <v>45656</v>
      </c>
      <c r="B1176">
        <v>1062.8499999999999</v>
      </c>
      <c r="C1176">
        <f t="shared" si="36"/>
        <v>-2.6275043400743035E-3</v>
      </c>
      <c r="E1176" s="86">
        <v>45656</v>
      </c>
      <c r="F1176" s="87">
        <v>23644.900390625</v>
      </c>
      <c r="G1176" s="88">
        <f t="shared" si="37"/>
        <v>-7.0758479358679106E-3</v>
      </c>
    </row>
    <row r="1177" spans="1:7" ht="14.25" customHeight="1" x14ac:dyDescent="0.35">
      <c r="A1177" s="85">
        <v>45657</v>
      </c>
      <c r="B1177">
        <v>1067.8399999999999</v>
      </c>
      <c r="C1177">
        <f t="shared" si="36"/>
        <v>4.694924025027059E-3</v>
      </c>
      <c r="E1177" s="86">
        <v>45657</v>
      </c>
      <c r="F1177" s="87">
        <v>23644.80078125</v>
      </c>
      <c r="G1177" s="88">
        <f t="shared" si="37"/>
        <v>-4.2127212783477941E-6</v>
      </c>
    </row>
    <row r="1178" spans="1:7" ht="14.25" customHeight="1" x14ac:dyDescent="0.35">
      <c r="A1178" s="85">
        <v>45658</v>
      </c>
      <c r="B1178">
        <v>1067.45</v>
      </c>
      <c r="C1178">
        <f t="shared" si="36"/>
        <v>-3.6522325442001866E-4</v>
      </c>
      <c r="E1178" s="86">
        <v>45658</v>
      </c>
      <c r="F1178" s="87">
        <v>23742.900390625</v>
      </c>
      <c r="G1178" s="88">
        <f t="shared" si="37"/>
        <v>4.1488871182535671E-3</v>
      </c>
    </row>
    <row r="1179" spans="1:7" ht="14.25" customHeight="1" x14ac:dyDescent="0.35">
      <c r="A1179" s="85">
        <v>45659</v>
      </c>
      <c r="B1179">
        <v>1082.68</v>
      </c>
      <c r="C1179">
        <f t="shared" si="36"/>
        <v>1.426764719659002E-2</v>
      </c>
      <c r="E1179" s="86">
        <v>45659</v>
      </c>
      <c r="F1179" s="87">
        <v>24188.650390625</v>
      </c>
      <c r="G1179" s="88">
        <f t="shared" si="37"/>
        <v>1.8774033191665436E-2</v>
      </c>
    </row>
    <row r="1180" spans="1:7" ht="14.25" customHeight="1" x14ac:dyDescent="0.35">
      <c r="A1180" s="85">
        <v>45660</v>
      </c>
      <c r="B1180">
        <v>1098.67</v>
      </c>
      <c r="C1180">
        <f t="shared" si="36"/>
        <v>1.4768906786862239E-2</v>
      </c>
      <c r="E1180" s="86">
        <v>45660</v>
      </c>
      <c r="F1180" s="87">
        <v>24004.75</v>
      </c>
      <c r="G1180" s="88">
        <f t="shared" si="37"/>
        <v>-7.602755327609176E-3</v>
      </c>
    </row>
    <row r="1181" spans="1:7" ht="14.25" customHeight="1" x14ac:dyDescent="0.35">
      <c r="A1181" s="85">
        <v>45663</v>
      </c>
      <c r="B1181">
        <v>1075.2</v>
      </c>
      <c r="C1181">
        <f t="shared" si="36"/>
        <v>-2.1362192469076269E-2</v>
      </c>
      <c r="E1181" s="86">
        <v>45663</v>
      </c>
      <c r="F1181" s="87">
        <v>23616.05078125</v>
      </c>
      <c r="G1181" s="88">
        <f t="shared" si="37"/>
        <v>-1.6192595996625668E-2</v>
      </c>
    </row>
    <row r="1182" spans="1:7" ht="14.25" customHeight="1" x14ac:dyDescent="0.35">
      <c r="A1182" s="85">
        <v>45664</v>
      </c>
      <c r="B1182">
        <v>1088.8</v>
      </c>
      <c r="C1182">
        <f t="shared" si="36"/>
        <v>1.2648809523809439E-2</v>
      </c>
      <c r="E1182" s="86">
        <v>45664</v>
      </c>
      <c r="F1182" s="87">
        <v>23707.900390625</v>
      </c>
      <c r="G1182" s="88">
        <f t="shared" si="37"/>
        <v>3.8892874268344705E-3</v>
      </c>
    </row>
    <row r="1183" spans="1:7" ht="14.25" customHeight="1" x14ac:dyDescent="0.35">
      <c r="A1183" s="85">
        <v>45665</v>
      </c>
      <c r="B1183">
        <v>1092.3699999999999</v>
      </c>
      <c r="C1183">
        <f t="shared" si="36"/>
        <v>3.2788390889051584E-3</v>
      </c>
      <c r="E1183" s="86">
        <v>45665</v>
      </c>
      <c r="F1183" s="87">
        <v>23688.94921875</v>
      </c>
      <c r="G1183" s="88">
        <f t="shared" si="37"/>
        <v>-7.9936103841966573E-4</v>
      </c>
    </row>
    <row r="1184" spans="1:7" ht="14.25" customHeight="1" x14ac:dyDescent="0.35">
      <c r="A1184" s="85">
        <v>45666</v>
      </c>
      <c r="B1184">
        <v>1110.1600000000001</v>
      </c>
      <c r="C1184">
        <f t="shared" si="36"/>
        <v>1.6285690745809746E-2</v>
      </c>
      <c r="E1184" s="86">
        <v>45666</v>
      </c>
      <c r="F1184" s="87">
        <v>23526.5</v>
      </c>
      <c r="G1184" s="88">
        <f t="shared" si="37"/>
        <v>-6.8575949591474531E-3</v>
      </c>
    </row>
    <row r="1185" spans="1:7" ht="14.25" customHeight="1" x14ac:dyDescent="0.35">
      <c r="A1185" s="85">
        <v>45667</v>
      </c>
      <c r="B1185">
        <v>1106.1500000000001</v>
      </c>
      <c r="C1185">
        <f t="shared" si="36"/>
        <v>-3.6120919507097991E-3</v>
      </c>
      <c r="E1185" s="86">
        <v>45667</v>
      </c>
      <c r="F1185" s="87">
        <v>23431.5</v>
      </c>
      <c r="G1185" s="88">
        <f t="shared" si="37"/>
        <v>-4.0379997024631801E-3</v>
      </c>
    </row>
    <row r="1186" spans="1:7" ht="14.25" customHeight="1" x14ac:dyDescent="0.35">
      <c r="A1186" s="85">
        <v>45670</v>
      </c>
      <c r="B1186">
        <v>1100.96</v>
      </c>
      <c r="C1186">
        <f t="shared" si="36"/>
        <v>-4.6919495547620618E-3</v>
      </c>
      <c r="E1186" s="86">
        <v>45670</v>
      </c>
      <c r="F1186" s="87">
        <v>23085.94921875</v>
      </c>
      <c r="G1186" s="88">
        <f t="shared" si="37"/>
        <v>-1.4747275302477434E-2</v>
      </c>
    </row>
    <row r="1187" spans="1:7" ht="14.25" customHeight="1" x14ac:dyDescent="0.35">
      <c r="A1187" s="85">
        <v>45671</v>
      </c>
      <c r="B1187">
        <v>1091.95</v>
      </c>
      <c r="C1187">
        <f t="shared" si="36"/>
        <v>-8.1837668943467428E-3</v>
      </c>
      <c r="E1187" s="86">
        <v>45671</v>
      </c>
      <c r="F1187" s="87">
        <v>23176.05078125</v>
      </c>
      <c r="G1187" s="88">
        <f t="shared" si="37"/>
        <v>3.9028744993868871E-3</v>
      </c>
    </row>
    <row r="1188" spans="1:7" ht="14.25" customHeight="1" x14ac:dyDescent="0.35">
      <c r="A1188" s="85">
        <v>45672</v>
      </c>
      <c r="B1188">
        <v>1082.4100000000001</v>
      </c>
      <c r="C1188">
        <f t="shared" si="36"/>
        <v>-8.7366637666559492E-3</v>
      </c>
      <c r="E1188" s="86">
        <v>45672</v>
      </c>
      <c r="F1188" s="87">
        <v>23213.19921875</v>
      </c>
      <c r="G1188" s="88">
        <f t="shared" si="37"/>
        <v>1.6028803979862699E-3</v>
      </c>
    </row>
    <row r="1189" spans="1:7" ht="14.25" customHeight="1" x14ac:dyDescent="0.35">
      <c r="A1189" s="85">
        <v>45673</v>
      </c>
      <c r="B1189">
        <v>1067.47</v>
      </c>
      <c r="C1189">
        <f t="shared" si="36"/>
        <v>-1.3802533236019673E-2</v>
      </c>
      <c r="E1189" s="86">
        <v>45673</v>
      </c>
      <c r="F1189" s="87">
        <v>23311.80078125</v>
      </c>
      <c r="G1189" s="88">
        <f t="shared" si="37"/>
        <v>4.2476507253837101E-3</v>
      </c>
    </row>
    <row r="1190" spans="1:7" ht="14.25" customHeight="1" x14ac:dyDescent="0.35">
      <c r="A1190" s="85">
        <v>45674</v>
      </c>
      <c r="B1190">
        <v>1091.04</v>
      </c>
      <c r="C1190">
        <f t="shared" si="36"/>
        <v>2.2080245814870614E-2</v>
      </c>
      <c r="E1190" s="86">
        <v>45674</v>
      </c>
      <c r="F1190" s="87">
        <v>23203.19921875</v>
      </c>
      <c r="G1190" s="88">
        <f t="shared" si="37"/>
        <v>-4.6586517926727362E-3</v>
      </c>
    </row>
    <row r="1191" spans="1:7" ht="14.25" customHeight="1" x14ac:dyDescent="0.35">
      <c r="A1191" s="85">
        <v>45677</v>
      </c>
      <c r="B1191">
        <v>1089.47</v>
      </c>
      <c r="C1191">
        <f t="shared" si="36"/>
        <v>-1.4389939873881217E-3</v>
      </c>
      <c r="E1191" s="86">
        <v>45677</v>
      </c>
      <c r="F1191" s="87">
        <v>23344.75</v>
      </c>
      <c r="G1191" s="88">
        <f t="shared" si="37"/>
        <v>6.1004855371674738E-3</v>
      </c>
    </row>
    <row r="1192" spans="1:7" ht="14.25" customHeight="1" x14ac:dyDescent="0.35">
      <c r="A1192" s="85">
        <v>45678</v>
      </c>
      <c r="B1192">
        <v>1080.83</v>
      </c>
      <c r="C1192">
        <f t="shared" si="36"/>
        <v>-7.9304616005948757E-3</v>
      </c>
      <c r="E1192" s="86">
        <v>45678</v>
      </c>
      <c r="F1192" s="87">
        <v>23024.650390625</v>
      </c>
      <c r="G1192" s="88">
        <f t="shared" si="37"/>
        <v>-1.371184567729361E-2</v>
      </c>
    </row>
    <row r="1193" spans="1:7" ht="14.25" customHeight="1" x14ac:dyDescent="0.35">
      <c r="A1193" s="85">
        <v>45679</v>
      </c>
      <c r="B1193">
        <v>1086.42</v>
      </c>
      <c r="C1193">
        <f t="shared" si="36"/>
        <v>5.1719511856630051E-3</v>
      </c>
      <c r="E1193" s="86">
        <v>45679</v>
      </c>
      <c r="F1193" s="87">
        <v>23155.349609375</v>
      </c>
      <c r="G1193" s="88">
        <f t="shared" si="37"/>
        <v>5.6764909144165375E-3</v>
      </c>
    </row>
    <row r="1194" spans="1:7" ht="14.25" customHeight="1" x14ac:dyDescent="0.35">
      <c r="A1194" s="85">
        <v>45680</v>
      </c>
      <c r="B1194">
        <v>1082.06</v>
      </c>
      <c r="C1194">
        <f t="shared" si="36"/>
        <v>-4.0131809060953653E-3</v>
      </c>
      <c r="E1194" s="86">
        <v>45680</v>
      </c>
      <c r="F1194" s="87">
        <v>23205.349609375</v>
      </c>
      <c r="G1194" s="88">
        <f t="shared" si="37"/>
        <v>2.1593282262409156E-3</v>
      </c>
    </row>
    <row r="1195" spans="1:7" ht="14.25" customHeight="1" x14ac:dyDescent="0.35">
      <c r="A1195" s="85">
        <v>45681</v>
      </c>
      <c r="B1195">
        <v>1086.47</v>
      </c>
      <c r="C1195">
        <f t="shared" si="36"/>
        <v>4.0755595807996621E-3</v>
      </c>
      <c r="E1195" s="86">
        <v>45681</v>
      </c>
      <c r="F1195" s="87">
        <v>23092.19921875</v>
      </c>
      <c r="G1195" s="88">
        <f t="shared" si="37"/>
        <v>-4.8760476583936943E-3</v>
      </c>
    </row>
    <row r="1196" spans="1:7" ht="14.25" customHeight="1" x14ac:dyDescent="0.35">
      <c r="A1196" s="85">
        <v>45684</v>
      </c>
      <c r="B1196">
        <v>1070.1500000000001</v>
      </c>
      <c r="C1196">
        <f t="shared" si="36"/>
        <v>-1.5021123454858336E-2</v>
      </c>
      <c r="E1196" s="86">
        <v>45684</v>
      </c>
      <c r="F1196" s="87">
        <v>22829.150390625</v>
      </c>
      <c r="G1196" s="88">
        <f t="shared" si="37"/>
        <v>-1.1391241935562993E-2</v>
      </c>
    </row>
    <row r="1197" spans="1:7" ht="14.25" customHeight="1" x14ac:dyDescent="0.35">
      <c r="A1197" s="85">
        <v>45685</v>
      </c>
      <c r="B1197">
        <v>1061.08</v>
      </c>
      <c r="C1197">
        <f t="shared" si="36"/>
        <v>-8.4754473671916682E-3</v>
      </c>
      <c r="E1197" s="86">
        <v>45685</v>
      </c>
      <c r="F1197" s="87">
        <v>22957.25</v>
      </c>
      <c r="G1197" s="88">
        <f t="shared" si="37"/>
        <v>5.6112298172780566E-3</v>
      </c>
    </row>
    <row r="1198" spans="1:7" ht="14.25" customHeight="1" x14ac:dyDescent="0.35">
      <c r="A1198" s="85">
        <v>45686</v>
      </c>
      <c r="B1198">
        <v>1073.08</v>
      </c>
      <c r="C1198">
        <f t="shared" si="36"/>
        <v>1.1309232103140197E-2</v>
      </c>
      <c r="E1198" s="86">
        <v>45686</v>
      </c>
      <c r="F1198" s="87">
        <v>23163.099609375</v>
      </c>
      <c r="G1198" s="88">
        <f t="shared" si="37"/>
        <v>8.9666492883511747E-3</v>
      </c>
    </row>
    <row r="1199" spans="1:7" ht="14.25" customHeight="1" x14ac:dyDescent="0.35">
      <c r="A1199" s="85">
        <v>45687</v>
      </c>
      <c r="B1199">
        <v>1091.1199999999999</v>
      </c>
      <c r="C1199">
        <f t="shared" si="36"/>
        <v>1.6811421329257805E-2</v>
      </c>
      <c r="E1199" s="86">
        <v>45687</v>
      </c>
      <c r="F1199" s="87">
        <v>23249.5</v>
      </c>
      <c r="G1199" s="88">
        <f t="shared" si="37"/>
        <v>3.7300875997627893E-3</v>
      </c>
    </row>
    <row r="1200" spans="1:7" ht="14.25" customHeight="1" x14ac:dyDescent="0.35">
      <c r="A1200" s="85">
        <v>45688</v>
      </c>
      <c r="B1200">
        <v>1138.28</v>
      </c>
      <c r="C1200">
        <f t="shared" si="36"/>
        <v>4.3221643815529079E-2</v>
      </c>
      <c r="E1200" s="86">
        <v>45688</v>
      </c>
      <c r="F1200" s="87">
        <v>23508.400390625</v>
      </c>
      <c r="G1200" s="88">
        <f t="shared" si="37"/>
        <v>1.1135740150325814E-2</v>
      </c>
    </row>
    <row r="1201" spans="1:7" ht="14.25" customHeight="1" x14ac:dyDescent="0.35">
      <c r="A1201" s="85">
        <v>45689</v>
      </c>
      <c r="B1201">
        <v>1145.17</v>
      </c>
      <c r="C1201">
        <f t="shared" si="36"/>
        <v>6.0529922338968447E-3</v>
      </c>
      <c r="E1201" s="86">
        <v>45689</v>
      </c>
      <c r="F1201" s="87">
        <v>23482.150390625</v>
      </c>
      <c r="G1201" s="88">
        <f t="shared" si="37"/>
        <v>-1.1166221250199708E-3</v>
      </c>
    </row>
    <row r="1202" spans="1:7" ht="14.25" customHeight="1" x14ac:dyDescent="0.35">
      <c r="A1202" s="85">
        <v>45691</v>
      </c>
      <c r="B1202">
        <v>1140.2</v>
      </c>
      <c r="C1202">
        <f t="shared" si="36"/>
        <v>-4.3399669918003673E-3</v>
      </c>
      <c r="E1202" s="86">
        <v>45691</v>
      </c>
      <c r="F1202" s="87">
        <v>23361.05078125</v>
      </c>
      <c r="G1202" s="88">
        <f t="shared" si="37"/>
        <v>-5.1570919766934014E-3</v>
      </c>
    </row>
    <row r="1203" spans="1:7" ht="14.25" customHeight="1" x14ac:dyDescent="0.35">
      <c r="A1203" s="85">
        <v>45692</v>
      </c>
      <c r="B1203">
        <v>1131.52</v>
      </c>
      <c r="C1203">
        <f t="shared" si="36"/>
        <v>-7.6126995263989328E-3</v>
      </c>
      <c r="E1203" s="86">
        <v>45692</v>
      </c>
      <c r="F1203" s="87">
        <v>23739.25</v>
      </c>
      <c r="G1203" s="88">
        <f t="shared" si="37"/>
        <v>1.6189306820631095E-2</v>
      </c>
    </row>
    <row r="1204" spans="1:7" ht="14.25" customHeight="1" x14ac:dyDescent="0.35">
      <c r="A1204" s="85">
        <v>45693</v>
      </c>
      <c r="B1204">
        <v>1106.67</v>
      </c>
      <c r="C1204">
        <f t="shared" si="36"/>
        <v>-2.1961609162895846E-2</v>
      </c>
      <c r="E1204" s="86">
        <v>45693</v>
      </c>
      <c r="F1204" s="87">
        <v>23696.30078125</v>
      </c>
      <c r="G1204" s="88">
        <f t="shared" si="37"/>
        <v>-1.8092070621439178E-3</v>
      </c>
    </row>
    <row r="1205" spans="1:7" ht="14.25" customHeight="1" x14ac:dyDescent="0.35">
      <c r="A1205" s="85">
        <v>45694</v>
      </c>
      <c r="B1205">
        <v>1101.99</v>
      </c>
      <c r="C1205">
        <f t="shared" si="36"/>
        <v>-4.2289029249912473E-3</v>
      </c>
      <c r="E1205" s="86">
        <v>45694</v>
      </c>
      <c r="F1205" s="87">
        <v>23603.349609375</v>
      </c>
      <c r="G1205" s="88">
        <f t="shared" si="37"/>
        <v>-3.9226026346082174E-3</v>
      </c>
    </row>
    <row r="1206" spans="1:7" ht="14.25" customHeight="1" x14ac:dyDescent="0.35">
      <c r="A1206" s="85">
        <v>45695</v>
      </c>
      <c r="B1206">
        <v>1101.94</v>
      </c>
      <c r="C1206">
        <f t="shared" si="36"/>
        <v>-4.5372462544990901E-5</v>
      </c>
      <c r="E1206" s="86">
        <v>45695</v>
      </c>
      <c r="F1206" s="87">
        <v>23559.94921875</v>
      </c>
      <c r="G1206" s="88">
        <f t="shared" si="37"/>
        <v>-1.8387386257991884E-3</v>
      </c>
    </row>
    <row r="1207" spans="1:7" ht="14.25" customHeight="1" x14ac:dyDescent="0.35">
      <c r="A1207" s="85">
        <v>45698</v>
      </c>
      <c r="B1207">
        <v>1099.94</v>
      </c>
      <c r="C1207">
        <f t="shared" si="36"/>
        <v>-1.8149808519520119E-3</v>
      </c>
      <c r="E1207" s="86">
        <v>45698</v>
      </c>
      <c r="F1207" s="87">
        <v>23381.599609375</v>
      </c>
      <c r="G1207" s="88">
        <f t="shared" si="37"/>
        <v>-7.5700336923078711E-3</v>
      </c>
    </row>
    <row r="1208" spans="1:7" ht="14.25" customHeight="1" x14ac:dyDescent="0.35">
      <c r="A1208" s="85">
        <v>45699</v>
      </c>
      <c r="B1208">
        <v>1087.28</v>
      </c>
      <c r="C1208">
        <f t="shared" si="36"/>
        <v>-1.1509718711929816E-2</v>
      </c>
      <c r="E1208" s="86">
        <v>45699</v>
      </c>
      <c r="F1208" s="87">
        <v>23071.80078125</v>
      </c>
      <c r="G1208" s="88">
        <f t="shared" si="37"/>
        <v>-1.3249684936046216E-2</v>
      </c>
    </row>
    <row r="1209" spans="1:7" ht="14.25" customHeight="1" x14ac:dyDescent="0.35">
      <c r="A1209" s="85">
        <v>45700</v>
      </c>
      <c r="B1209">
        <v>1086.42</v>
      </c>
      <c r="C1209">
        <f t="shared" si="36"/>
        <v>-7.9096460893228969E-4</v>
      </c>
      <c r="E1209" s="86">
        <v>45700</v>
      </c>
      <c r="F1209" s="87">
        <v>23045.25</v>
      </c>
      <c r="G1209" s="88">
        <f t="shared" si="37"/>
        <v>-1.1507892904301298E-3</v>
      </c>
    </row>
    <row r="1210" spans="1:7" ht="14.25" customHeight="1" x14ac:dyDescent="0.35">
      <c r="A1210" s="85">
        <v>45701</v>
      </c>
      <c r="B1210">
        <v>1078.3900000000001</v>
      </c>
      <c r="C1210">
        <f t="shared" si="36"/>
        <v>-7.3912483201708104E-3</v>
      </c>
      <c r="E1210" s="86">
        <v>45701</v>
      </c>
      <c r="F1210" s="87">
        <v>23031.400390625</v>
      </c>
      <c r="G1210" s="88">
        <f t="shared" si="37"/>
        <v>-6.0097457719052736E-4</v>
      </c>
    </row>
    <row r="1211" spans="1:7" ht="14.25" customHeight="1" x14ac:dyDescent="0.35">
      <c r="A1211" s="85">
        <v>45702</v>
      </c>
      <c r="B1211">
        <v>1087.46</v>
      </c>
      <c r="C1211">
        <f t="shared" si="36"/>
        <v>8.4106863008743919E-3</v>
      </c>
      <c r="E1211" s="86">
        <v>45702</v>
      </c>
      <c r="F1211" s="87">
        <v>22929.25</v>
      </c>
      <c r="G1211" s="88">
        <f t="shared" si="37"/>
        <v>-4.4352661537064254E-3</v>
      </c>
    </row>
    <row r="1212" spans="1:7" ht="14.25" customHeight="1" x14ac:dyDescent="0.35">
      <c r="A1212" s="85">
        <v>45705</v>
      </c>
      <c r="B1212">
        <v>1097.68</v>
      </c>
      <c r="C1212">
        <f t="shared" si="36"/>
        <v>9.3980468247108189E-3</v>
      </c>
      <c r="E1212" s="86">
        <v>45705</v>
      </c>
      <c r="F1212" s="87">
        <v>22959.5</v>
      </c>
      <c r="G1212" s="88">
        <f t="shared" si="37"/>
        <v>1.3192755977626831E-3</v>
      </c>
    </row>
    <row r="1213" spans="1:7" ht="14.25" customHeight="1" x14ac:dyDescent="0.35">
      <c r="A1213" s="85">
        <v>45706</v>
      </c>
      <c r="B1213">
        <v>1100.6099999999999</v>
      </c>
      <c r="C1213">
        <f t="shared" si="36"/>
        <v>2.6692660884773669E-3</v>
      </c>
      <c r="E1213" s="86">
        <v>45706</v>
      </c>
      <c r="F1213" s="87">
        <v>22945.30078125</v>
      </c>
      <c r="G1213" s="88">
        <f t="shared" si="37"/>
        <v>-6.1844634029486708E-4</v>
      </c>
    </row>
    <row r="1214" spans="1:7" ht="14.25" customHeight="1" x14ac:dyDescent="0.35">
      <c r="A1214" s="85">
        <v>45707</v>
      </c>
      <c r="B1214">
        <v>1091.96</v>
      </c>
      <c r="C1214">
        <f t="shared" si="36"/>
        <v>-7.8592780367249659E-3</v>
      </c>
      <c r="E1214" s="86">
        <v>45707</v>
      </c>
      <c r="F1214" s="87">
        <v>22932.900390625</v>
      </c>
      <c r="G1214" s="88">
        <f t="shared" si="37"/>
        <v>-5.4043269004052947E-4</v>
      </c>
    </row>
    <row r="1215" spans="1:7" ht="14.25" customHeight="1" x14ac:dyDescent="0.35">
      <c r="A1215" s="85">
        <v>45708</v>
      </c>
      <c r="B1215">
        <v>1092.8499999999999</v>
      </c>
      <c r="C1215">
        <f t="shared" si="36"/>
        <v>8.1504817026253039E-4</v>
      </c>
      <c r="E1215" s="86">
        <v>45708</v>
      </c>
      <c r="F1215" s="87">
        <v>22913.150390625</v>
      </c>
      <c r="G1215" s="88">
        <f t="shared" si="37"/>
        <v>-8.6120811862392364E-4</v>
      </c>
    </row>
    <row r="1216" spans="1:7" ht="14.25" customHeight="1" x14ac:dyDescent="0.35">
      <c r="A1216" s="85">
        <v>45709</v>
      </c>
      <c r="B1216">
        <v>1096.92</v>
      </c>
      <c r="C1216">
        <f t="shared" si="36"/>
        <v>3.7242073477605931E-3</v>
      </c>
      <c r="E1216" s="86">
        <v>45709</v>
      </c>
      <c r="F1216" s="87">
        <v>22795.900390625</v>
      </c>
      <c r="G1216" s="88">
        <f t="shared" si="37"/>
        <v>-5.1171487988824647E-3</v>
      </c>
    </row>
    <row r="1217" spans="1:7" ht="14.25" customHeight="1" x14ac:dyDescent="0.35">
      <c r="A1217" s="85">
        <v>45712</v>
      </c>
      <c r="B1217">
        <v>1099.6099999999999</v>
      </c>
      <c r="C1217">
        <f t="shared" si="36"/>
        <v>2.4523210443786483E-3</v>
      </c>
      <c r="E1217" s="86">
        <v>45712</v>
      </c>
      <c r="F1217" s="87">
        <v>22553.349609375</v>
      </c>
      <c r="G1217" s="88">
        <f t="shared" si="37"/>
        <v>-1.0640105330068515E-2</v>
      </c>
    </row>
    <row r="1218" spans="1:7" ht="14.25" customHeight="1" x14ac:dyDescent="0.35">
      <c r="A1218" s="85">
        <v>45713</v>
      </c>
      <c r="B1218">
        <v>1114.47</v>
      </c>
      <c r="C1218">
        <f t="shared" si="36"/>
        <v>1.3513882194596384E-2</v>
      </c>
      <c r="E1218" s="86">
        <v>45713</v>
      </c>
      <c r="F1218" s="87">
        <v>22547.55078125</v>
      </c>
      <c r="G1218" s="88">
        <f t="shared" si="37"/>
        <v>-2.5711604818955748E-4</v>
      </c>
    </row>
    <row r="1219" spans="1:7" ht="14.25" customHeight="1" x14ac:dyDescent="0.35">
      <c r="A1219" s="85">
        <v>45715</v>
      </c>
      <c r="B1219">
        <v>1128.24</v>
      </c>
      <c r="C1219">
        <f t="shared" si="36"/>
        <v>1.2355648873455527E-2</v>
      </c>
      <c r="E1219" s="86">
        <v>45715</v>
      </c>
      <c r="F1219" s="87">
        <v>22545.05078125</v>
      </c>
      <c r="G1219" s="88">
        <f t="shared" si="37"/>
        <v>-1.1087678764998901E-4</v>
      </c>
    </row>
    <row r="1220" spans="1:7" ht="14.25" customHeight="1" x14ac:dyDescent="0.35">
      <c r="A1220" s="85">
        <v>45716</v>
      </c>
      <c r="B1220">
        <v>1084.3900000000001</v>
      </c>
      <c r="C1220">
        <f t="shared" si="36"/>
        <v>-3.8865844146635388E-2</v>
      </c>
      <c r="E1220" s="86">
        <v>45716</v>
      </c>
      <c r="F1220" s="87">
        <v>22124.69921875</v>
      </c>
      <c r="G1220" s="88">
        <f t="shared" si="37"/>
        <v>-1.8644959666695139E-2</v>
      </c>
    </row>
    <row r="1221" spans="1:7" ht="14.25" customHeight="1" x14ac:dyDescent="0.35">
      <c r="A1221" s="85">
        <v>45719</v>
      </c>
      <c r="B1221">
        <v>1082.3599999999999</v>
      </c>
      <c r="C1221">
        <f t="shared" ref="C1221:C1284" si="38">(B1221-B1220)/B1220</f>
        <v>-1.8720202141297871E-3</v>
      </c>
      <c r="E1221" s="86">
        <v>45719</v>
      </c>
      <c r="F1221" s="87">
        <v>22119.30078125</v>
      </c>
      <c r="G1221" s="88">
        <f t="shared" ref="G1221:G1284" si="39">(F1221-F1220)/F1220</f>
        <v>-2.4400049223833022E-4</v>
      </c>
    </row>
    <row r="1222" spans="1:7" ht="14.25" customHeight="1" x14ac:dyDescent="0.35">
      <c r="A1222" s="85">
        <v>45720</v>
      </c>
      <c r="B1222">
        <v>1063.02</v>
      </c>
      <c r="C1222">
        <f t="shared" si="38"/>
        <v>-1.7868361728075613E-2</v>
      </c>
      <c r="E1222" s="86">
        <v>45720</v>
      </c>
      <c r="F1222" s="87">
        <v>22082.650390625</v>
      </c>
      <c r="G1222" s="88">
        <f t="shared" si="39"/>
        <v>-1.6569416451024373E-3</v>
      </c>
    </row>
    <row r="1223" spans="1:7" ht="14.25" customHeight="1" x14ac:dyDescent="0.35">
      <c r="A1223" s="85">
        <v>45721</v>
      </c>
      <c r="B1223">
        <v>1088.03</v>
      </c>
      <c r="C1223">
        <f t="shared" si="38"/>
        <v>2.3527308987601355E-2</v>
      </c>
      <c r="E1223" s="86">
        <v>45721</v>
      </c>
      <c r="F1223" s="87">
        <v>22337.30078125</v>
      </c>
      <c r="G1223" s="88">
        <f t="shared" si="39"/>
        <v>1.153169506922546E-2</v>
      </c>
    </row>
    <row r="1224" spans="1:7" ht="14.25" customHeight="1" x14ac:dyDescent="0.35">
      <c r="A1224" s="85">
        <v>45722</v>
      </c>
      <c r="B1224">
        <v>1090.1099999999999</v>
      </c>
      <c r="C1224">
        <f t="shared" si="38"/>
        <v>1.9117119932354138E-3</v>
      </c>
      <c r="E1224" s="86">
        <v>45722</v>
      </c>
      <c r="F1224" s="87">
        <v>22544.69921875</v>
      </c>
      <c r="G1224" s="88">
        <f t="shared" si="39"/>
        <v>9.2848477768670643E-3</v>
      </c>
    </row>
    <row r="1225" spans="1:7" ht="14.25" customHeight="1" x14ac:dyDescent="0.35">
      <c r="A1225" s="85">
        <v>45723</v>
      </c>
      <c r="B1225">
        <v>1108.55</v>
      </c>
      <c r="C1225">
        <f t="shared" si="38"/>
        <v>1.6915724101237543E-2</v>
      </c>
      <c r="E1225" s="86">
        <v>45723</v>
      </c>
      <c r="F1225" s="87">
        <v>22552.5</v>
      </c>
      <c r="G1225" s="88">
        <f t="shared" si="39"/>
        <v>3.4601398645018238E-4</v>
      </c>
    </row>
    <row r="1226" spans="1:7" ht="14.25" customHeight="1" x14ac:dyDescent="0.35">
      <c r="A1226" s="85">
        <v>45726</v>
      </c>
      <c r="B1226">
        <v>1113.48</v>
      </c>
      <c r="C1226">
        <f t="shared" si="38"/>
        <v>4.4472509133553417E-3</v>
      </c>
      <c r="E1226" s="86">
        <v>45726</v>
      </c>
      <c r="F1226" s="87">
        <v>22460.30078125</v>
      </c>
      <c r="G1226" s="88">
        <f t="shared" si="39"/>
        <v>-4.0882039130916746E-3</v>
      </c>
    </row>
    <row r="1227" spans="1:7" ht="14.25" customHeight="1" x14ac:dyDescent="0.35">
      <c r="A1227" s="85">
        <v>45727</v>
      </c>
      <c r="B1227">
        <v>1114.97</v>
      </c>
      <c r="C1227">
        <f t="shared" si="38"/>
        <v>1.3381470704458176E-3</v>
      </c>
      <c r="E1227" s="86">
        <v>45727</v>
      </c>
      <c r="F1227" s="87">
        <v>22497.900390625</v>
      </c>
      <c r="G1227" s="88">
        <f t="shared" si="39"/>
        <v>1.6740474556061328E-3</v>
      </c>
    </row>
    <row r="1228" spans="1:7" ht="14.25" customHeight="1" x14ac:dyDescent="0.35">
      <c r="A1228" s="85">
        <v>45728</v>
      </c>
      <c r="B1228">
        <v>1087.28</v>
      </c>
      <c r="C1228">
        <f t="shared" si="38"/>
        <v>-2.4834748917011269E-2</v>
      </c>
      <c r="E1228" s="86">
        <v>45728</v>
      </c>
      <c r="F1228" s="87">
        <v>22470.5</v>
      </c>
      <c r="G1228" s="88">
        <f t="shared" si="39"/>
        <v>-1.217908789231634E-3</v>
      </c>
    </row>
    <row r="1229" spans="1:7" ht="14.25" customHeight="1" x14ac:dyDescent="0.35">
      <c r="A1229" s="85">
        <v>45729</v>
      </c>
      <c r="B1229">
        <v>1085.53</v>
      </c>
      <c r="C1229">
        <f t="shared" si="38"/>
        <v>-1.6095210065484513E-3</v>
      </c>
      <c r="E1229" s="86">
        <v>45729</v>
      </c>
      <c r="F1229" s="87">
        <v>22397.19921875</v>
      </c>
      <c r="G1229" s="88">
        <f t="shared" si="39"/>
        <v>-3.2620894617387242E-3</v>
      </c>
    </row>
    <row r="1230" spans="1:7" ht="14.25" customHeight="1" x14ac:dyDescent="0.35">
      <c r="A1230" s="85">
        <v>45733</v>
      </c>
      <c r="B1230">
        <v>1076.81</v>
      </c>
      <c r="C1230">
        <f t="shared" si="38"/>
        <v>-8.0329424336499471E-3</v>
      </c>
      <c r="E1230" s="86">
        <v>45733</v>
      </c>
      <c r="F1230" s="87">
        <v>22508.75</v>
      </c>
      <c r="G1230" s="88">
        <f t="shared" si="39"/>
        <v>4.9805683362683286E-3</v>
      </c>
    </row>
    <row r="1231" spans="1:7" ht="14.25" customHeight="1" x14ac:dyDescent="0.35">
      <c r="A1231" s="85">
        <v>45734</v>
      </c>
      <c r="B1231">
        <v>1076.81</v>
      </c>
      <c r="C1231">
        <f t="shared" si="38"/>
        <v>0</v>
      </c>
      <c r="E1231" s="86">
        <v>45734</v>
      </c>
      <c r="F1231" s="87">
        <v>22834.30078125</v>
      </c>
      <c r="G1231" s="88">
        <f t="shared" si="39"/>
        <v>1.4463298994835342E-2</v>
      </c>
    </row>
    <row r="1232" spans="1:7" ht="14.25" customHeight="1" x14ac:dyDescent="0.35">
      <c r="A1232" s="85">
        <v>45735</v>
      </c>
      <c r="B1232">
        <v>1081.5899999999999</v>
      </c>
      <c r="C1232">
        <f t="shared" si="38"/>
        <v>4.4390375275117919E-3</v>
      </c>
      <c r="E1232" s="86">
        <v>45735</v>
      </c>
      <c r="F1232" s="87">
        <v>22907.599609375</v>
      </c>
      <c r="G1232" s="88">
        <f t="shared" si="39"/>
        <v>3.2100316461272198E-3</v>
      </c>
    </row>
    <row r="1233" spans="1:7" ht="14.25" customHeight="1" x14ac:dyDescent="0.35">
      <c r="A1233" s="85">
        <v>45736</v>
      </c>
      <c r="B1233">
        <v>1100.18</v>
      </c>
      <c r="C1233">
        <f t="shared" si="38"/>
        <v>1.7187658909568457E-2</v>
      </c>
      <c r="E1233" s="86">
        <v>45736</v>
      </c>
      <c r="F1233" s="87">
        <v>23190.650390625</v>
      </c>
      <c r="G1233" s="88">
        <f t="shared" si="39"/>
        <v>1.2356195589090036E-2</v>
      </c>
    </row>
    <row r="1234" spans="1:7" ht="14.25" customHeight="1" x14ac:dyDescent="0.35">
      <c r="A1234" s="85">
        <v>45737</v>
      </c>
      <c r="B1234">
        <v>1123.6099999999999</v>
      </c>
      <c r="C1234">
        <f t="shared" si="38"/>
        <v>2.1296515115708188E-2</v>
      </c>
      <c r="E1234" s="86">
        <v>45737</v>
      </c>
      <c r="F1234" s="87">
        <v>23350.400390625</v>
      </c>
      <c r="G1234" s="88">
        <f t="shared" si="39"/>
        <v>6.8885519512889631E-3</v>
      </c>
    </row>
    <row r="1235" spans="1:7" ht="14.25" customHeight="1" x14ac:dyDescent="0.35">
      <c r="A1235" s="85">
        <v>45740</v>
      </c>
      <c r="B1235">
        <v>1120.98</v>
      </c>
      <c r="C1235">
        <f t="shared" si="38"/>
        <v>-2.340669805359406E-3</v>
      </c>
      <c r="E1235" s="86">
        <v>45740</v>
      </c>
      <c r="F1235" s="87">
        <v>23658.349609375</v>
      </c>
      <c r="G1235" s="88">
        <f t="shared" si="39"/>
        <v>1.3188177230298765E-2</v>
      </c>
    </row>
    <row r="1236" spans="1:7" ht="14.25" customHeight="1" x14ac:dyDescent="0.35">
      <c r="A1236" s="85">
        <v>45741</v>
      </c>
      <c r="B1236">
        <v>1116.68</v>
      </c>
      <c r="C1236">
        <f t="shared" si="38"/>
        <v>-3.8359292761690257E-3</v>
      </c>
      <c r="E1236" s="86">
        <v>45741</v>
      </c>
      <c r="F1236" s="87">
        <v>23668.650390625</v>
      </c>
      <c r="G1236" s="88">
        <f t="shared" si="39"/>
        <v>4.3539728764165997E-4</v>
      </c>
    </row>
    <row r="1237" spans="1:7" ht="14.25" customHeight="1" x14ac:dyDescent="0.35">
      <c r="A1237" s="85">
        <v>45742</v>
      </c>
      <c r="B1237">
        <v>1111.03</v>
      </c>
      <c r="C1237">
        <f t="shared" si="38"/>
        <v>-5.0596410789125719E-3</v>
      </c>
      <c r="E1237" s="86">
        <v>45742</v>
      </c>
      <c r="F1237" s="87">
        <v>23486.849609375</v>
      </c>
      <c r="G1237" s="88">
        <f t="shared" si="39"/>
        <v>-7.6810793285454976E-3</v>
      </c>
    </row>
    <row r="1238" spans="1:7" ht="14.25" customHeight="1" x14ac:dyDescent="0.35">
      <c r="A1238" s="85">
        <v>45743</v>
      </c>
      <c r="B1238">
        <v>1110.3399999999999</v>
      </c>
      <c r="C1238">
        <f t="shared" si="38"/>
        <v>-6.2104533630959972E-4</v>
      </c>
      <c r="E1238" s="86">
        <v>45743</v>
      </c>
      <c r="F1238" s="87">
        <v>23591.94921875</v>
      </c>
      <c r="G1238" s="88">
        <f t="shared" si="39"/>
        <v>4.4748278770026483E-3</v>
      </c>
    </row>
    <row r="1239" spans="1:7" ht="14.25" customHeight="1" x14ac:dyDescent="0.35">
      <c r="A1239" s="85">
        <v>45744</v>
      </c>
      <c r="B1239">
        <v>1114.6500000000001</v>
      </c>
      <c r="C1239">
        <f t="shared" si="38"/>
        <v>3.8816938955636769E-3</v>
      </c>
      <c r="E1239" s="86">
        <v>45744</v>
      </c>
      <c r="F1239" s="87">
        <v>23519.349609375</v>
      </c>
      <c r="G1239" s="88">
        <f t="shared" si="39"/>
        <v>-3.0773044101544836E-3</v>
      </c>
    </row>
    <row r="1240" spans="1:7" ht="14.25" customHeight="1" x14ac:dyDescent="0.35">
      <c r="A1240" s="85">
        <v>45748</v>
      </c>
      <c r="B1240">
        <v>1106.3499999999999</v>
      </c>
      <c r="C1240">
        <f t="shared" si="38"/>
        <v>-7.4462835867762809E-3</v>
      </c>
      <c r="E1240" s="86">
        <v>45748</v>
      </c>
      <c r="F1240" s="87">
        <v>23165.69921875</v>
      </c>
      <c r="G1240" s="88">
        <f t="shared" si="39"/>
        <v>-1.5036571865236959E-2</v>
      </c>
    </row>
    <row r="1241" spans="1:7" ht="14.25" customHeight="1" x14ac:dyDescent="0.35">
      <c r="A1241" s="85">
        <v>45749</v>
      </c>
      <c r="B1241">
        <v>1094.81</v>
      </c>
      <c r="C1241">
        <f t="shared" si="38"/>
        <v>-1.0430695530347507E-2</v>
      </c>
      <c r="E1241" s="86">
        <v>45749</v>
      </c>
      <c r="F1241" s="87">
        <v>23332.349609375</v>
      </c>
      <c r="G1241" s="88">
        <f t="shared" si="39"/>
        <v>7.1938424586863083E-3</v>
      </c>
    </row>
    <row r="1242" spans="1:7" ht="14.25" customHeight="1" x14ac:dyDescent="0.35">
      <c r="A1242" s="85">
        <v>45750</v>
      </c>
      <c r="B1242">
        <v>1112.1199999999999</v>
      </c>
      <c r="C1242">
        <f t="shared" si="38"/>
        <v>1.5810962632785548E-2</v>
      </c>
      <c r="E1242" s="86">
        <v>45750</v>
      </c>
      <c r="F1242" s="87">
        <v>23250.099609375</v>
      </c>
      <c r="G1242" s="88">
        <f t="shared" si="39"/>
        <v>-3.5251486188494162E-3</v>
      </c>
    </row>
    <row r="1243" spans="1:7" ht="14.25" customHeight="1" x14ac:dyDescent="0.35">
      <c r="A1243" s="85">
        <v>45751</v>
      </c>
      <c r="B1243">
        <v>1120.29</v>
      </c>
      <c r="C1243">
        <f t="shared" si="38"/>
        <v>7.346329532784298E-3</v>
      </c>
      <c r="E1243" s="86">
        <v>45751</v>
      </c>
      <c r="F1243" s="87">
        <v>22904.44921875</v>
      </c>
      <c r="G1243" s="88">
        <f t="shared" si="39"/>
        <v>-1.4866619775066488E-2</v>
      </c>
    </row>
    <row r="1244" spans="1:7" ht="14.25" customHeight="1" x14ac:dyDescent="0.35">
      <c r="A1244" s="85">
        <v>45754</v>
      </c>
      <c r="B1244">
        <v>1113.78</v>
      </c>
      <c r="C1244">
        <f t="shared" si="38"/>
        <v>-5.8109953672709665E-3</v>
      </c>
      <c r="E1244" s="86">
        <v>45754</v>
      </c>
      <c r="F1244" s="87">
        <v>22161.599609375</v>
      </c>
      <c r="G1244" s="88">
        <f t="shared" si="39"/>
        <v>-3.2432546283055336E-2</v>
      </c>
    </row>
    <row r="1245" spans="1:7" ht="14.25" customHeight="1" x14ac:dyDescent="0.35">
      <c r="A1245" s="85">
        <v>45755</v>
      </c>
      <c r="B1245">
        <v>1126.8499999999999</v>
      </c>
      <c r="C1245">
        <f t="shared" si="38"/>
        <v>1.1734812979223847E-2</v>
      </c>
      <c r="E1245" s="86">
        <v>45755</v>
      </c>
      <c r="F1245" s="87">
        <v>22535.849609375</v>
      </c>
      <c r="G1245" s="88">
        <f t="shared" si="39"/>
        <v>1.688731890281428E-2</v>
      </c>
    </row>
    <row r="1246" spans="1:7" ht="14.25" customHeight="1" x14ac:dyDescent="0.35">
      <c r="A1246" s="85">
        <v>45756</v>
      </c>
      <c r="B1246">
        <v>1161.25</v>
      </c>
      <c r="C1246">
        <f t="shared" si="38"/>
        <v>3.0527576873585743E-2</v>
      </c>
      <c r="E1246" s="86">
        <v>45756</v>
      </c>
      <c r="F1246" s="87">
        <v>22399.150390625</v>
      </c>
      <c r="G1246" s="88">
        <f t="shared" si="39"/>
        <v>-6.0658560080704745E-3</v>
      </c>
    </row>
    <row r="1247" spans="1:7" ht="14.25" customHeight="1" x14ac:dyDescent="0.35">
      <c r="A1247" s="85">
        <v>45758</v>
      </c>
      <c r="B1247">
        <v>1169.44</v>
      </c>
      <c r="C1247">
        <f t="shared" si="38"/>
        <v>7.0527448869752889E-3</v>
      </c>
      <c r="E1247" s="86">
        <v>45758</v>
      </c>
      <c r="F1247" s="87">
        <v>22828.55078125</v>
      </c>
      <c r="G1247" s="88">
        <f t="shared" si="39"/>
        <v>1.9170387409190411E-2</v>
      </c>
    </row>
    <row r="1248" spans="1:7" ht="14.25" customHeight="1" x14ac:dyDescent="0.35">
      <c r="A1248" s="85">
        <v>45762</v>
      </c>
      <c r="B1248">
        <v>1172.6600000000001</v>
      </c>
      <c r="C1248">
        <f t="shared" si="38"/>
        <v>2.753454644958294E-3</v>
      </c>
      <c r="E1248" s="86">
        <v>45762</v>
      </c>
      <c r="F1248" s="87">
        <v>23328.55078125</v>
      </c>
      <c r="G1248" s="88">
        <f t="shared" si="39"/>
        <v>2.1902397782108445E-2</v>
      </c>
    </row>
    <row r="1249" spans="1:7" ht="14.25" customHeight="1" x14ac:dyDescent="0.35">
      <c r="A1249" s="85">
        <v>45763</v>
      </c>
      <c r="B1249">
        <v>1180.29</v>
      </c>
      <c r="C1249">
        <f t="shared" si="38"/>
        <v>6.5065747957633764E-3</v>
      </c>
      <c r="E1249" s="86">
        <v>45763</v>
      </c>
      <c r="F1249" s="87">
        <v>23437.19921875</v>
      </c>
      <c r="G1249" s="88">
        <f t="shared" si="39"/>
        <v>4.657316201027141E-3</v>
      </c>
    </row>
    <row r="1250" spans="1:7" ht="14.25" customHeight="1" x14ac:dyDescent="0.35">
      <c r="A1250" s="85">
        <v>45764</v>
      </c>
      <c r="B1250">
        <v>1196.78</v>
      </c>
      <c r="C1250">
        <f t="shared" si="38"/>
        <v>1.3971142685272272E-2</v>
      </c>
      <c r="E1250" s="86">
        <v>45764</v>
      </c>
      <c r="F1250" s="87">
        <v>23851.650390625</v>
      </c>
      <c r="G1250" s="88">
        <f t="shared" si="39"/>
        <v>1.7683476937954037E-2</v>
      </c>
    </row>
    <row r="1251" spans="1:7" ht="14.25" customHeight="1" x14ac:dyDescent="0.35">
      <c r="A1251" s="85">
        <v>45768</v>
      </c>
      <c r="B1251">
        <v>1188.26</v>
      </c>
      <c r="C1251">
        <f t="shared" si="38"/>
        <v>-7.1191029261852487E-3</v>
      </c>
      <c r="E1251" s="86">
        <v>45768</v>
      </c>
      <c r="F1251" s="87">
        <v>24125.55078125</v>
      </c>
      <c r="G1251" s="88">
        <f t="shared" si="39"/>
        <v>1.1483498464016469E-2</v>
      </c>
    </row>
    <row r="1252" spans="1:7" ht="14.25" customHeight="1" x14ac:dyDescent="0.35">
      <c r="A1252" s="85">
        <v>45769</v>
      </c>
      <c r="B1252">
        <v>1192.17</v>
      </c>
      <c r="C1252">
        <f t="shared" si="38"/>
        <v>3.2905256425362142E-3</v>
      </c>
      <c r="E1252" s="86">
        <v>45769</v>
      </c>
      <c r="F1252" s="87">
        <v>24167.25</v>
      </c>
      <c r="G1252" s="88">
        <f t="shared" si="39"/>
        <v>1.728425565413743E-3</v>
      </c>
    </row>
    <row r="1253" spans="1:7" ht="14.25" customHeight="1" x14ac:dyDescent="0.35">
      <c r="A1253" s="85">
        <v>45770</v>
      </c>
      <c r="B1253">
        <v>1205.0999999999999</v>
      </c>
      <c r="C1253">
        <f t="shared" si="38"/>
        <v>1.0845768640378332E-2</v>
      </c>
      <c r="E1253" s="86">
        <v>45770</v>
      </c>
      <c r="F1253" s="87">
        <v>24328.94921875</v>
      </c>
      <c r="G1253" s="88">
        <f t="shared" si="39"/>
        <v>6.6908406521221904E-3</v>
      </c>
    </row>
    <row r="1254" spans="1:7" ht="14.25" customHeight="1" x14ac:dyDescent="0.35">
      <c r="A1254" s="85">
        <v>45771</v>
      </c>
      <c r="B1254">
        <v>1205</v>
      </c>
      <c r="C1254">
        <f t="shared" si="38"/>
        <v>-8.298066550486188E-5</v>
      </c>
      <c r="E1254" s="86">
        <v>45771</v>
      </c>
      <c r="F1254" s="87">
        <v>24246.69921875</v>
      </c>
      <c r="G1254" s="88">
        <f t="shared" si="39"/>
        <v>-3.3807460922566689E-3</v>
      </c>
    </row>
    <row r="1255" spans="1:7" ht="14.25" customHeight="1" x14ac:dyDescent="0.35">
      <c r="A1255" s="85">
        <v>45772</v>
      </c>
      <c r="B1255">
        <v>1195.24</v>
      </c>
      <c r="C1255">
        <f t="shared" si="38"/>
        <v>-8.0995850622406565E-3</v>
      </c>
      <c r="E1255" s="86">
        <v>45772</v>
      </c>
      <c r="F1255" s="87">
        <v>24039.349609375</v>
      </c>
      <c r="G1255" s="88">
        <f t="shared" si="39"/>
        <v>-8.5516633626838701E-3</v>
      </c>
    </row>
    <row r="1256" spans="1:7" ht="14.25" customHeight="1" x14ac:dyDescent="0.35">
      <c r="A1256" s="85">
        <v>45775</v>
      </c>
      <c r="B1256">
        <v>1191.53</v>
      </c>
      <c r="C1256">
        <f t="shared" si="38"/>
        <v>-3.1039791171647842E-3</v>
      </c>
      <c r="E1256" s="86">
        <v>45775</v>
      </c>
      <c r="F1256" s="87">
        <v>24328.5</v>
      </c>
      <c r="G1256" s="88">
        <f t="shared" si="39"/>
        <v>1.2028211882747256E-2</v>
      </c>
    </row>
    <row r="1257" spans="1:7" ht="14.25" customHeight="1" x14ac:dyDescent="0.35">
      <c r="A1257" s="85">
        <v>45776</v>
      </c>
      <c r="B1257">
        <v>1182.3699999999999</v>
      </c>
      <c r="C1257">
        <f t="shared" si="38"/>
        <v>-7.6875949409583328E-3</v>
      </c>
      <c r="E1257" s="86">
        <v>45776</v>
      </c>
      <c r="F1257" s="87">
        <v>24335.94921875</v>
      </c>
      <c r="G1257" s="88">
        <f t="shared" si="39"/>
        <v>3.0619309657397702E-4</v>
      </c>
    </row>
    <row r="1258" spans="1:7" ht="14.25" customHeight="1" x14ac:dyDescent="0.35">
      <c r="A1258" s="85">
        <v>45777</v>
      </c>
      <c r="B1258">
        <v>1182.71</v>
      </c>
      <c r="C1258">
        <f t="shared" si="38"/>
        <v>2.8755804020750317E-4</v>
      </c>
      <c r="E1258" s="86">
        <v>45777</v>
      </c>
      <c r="F1258" s="87">
        <v>24334.19921875</v>
      </c>
      <c r="G1258" s="88">
        <f t="shared" si="39"/>
        <v>-7.1910077731904783E-5</v>
      </c>
    </row>
    <row r="1259" spans="1:7" ht="14.25" customHeight="1" x14ac:dyDescent="0.35">
      <c r="A1259" s="85">
        <v>45779</v>
      </c>
      <c r="B1259">
        <v>1154.78</v>
      </c>
      <c r="C1259">
        <f t="shared" si="38"/>
        <v>-2.3615256487220081E-2</v>
      </c>
      <c r="E1259" s="86">
        <v>45779</v>
      </c>
      <c r="F1259" s="87">
        <v>24346.69921875</v>
      </c>
      <c r="G1259" s="88">
        <f t="shared" si="39"/>
        <v>5.1368035116473008E-4</v>
      </c>
    </row>
    <row r="1260" spans="1:7" ht="14.25" customHeight="1" x14ac:dyDescent="0.35">
      <c r="A1260" s="85">
        <v>45782</v>
      </c>
      <c r="B1260">
        <v>1153</v>
      </c>
      <c r="C1260">
        <f t="shared" si="38"/>
        <v>-1.5414191447721407E-3</v>
      </c>
      <c r="E1260" s="86">
        <v>45782</v>
      </c>
      <c r="F1260" s="87">
        <v>24461.150390625</v>
      </c>
      <c r="G1260" s="88">
        <f t="shared" si="39"/>
        <v>4.700890697612853E-3</v>
      </c>
    </row>
    <row r="1261" spans="1:7" ht="14.25" customHeight="1" x14ac:dyDescent="0.35">
      <c r="A1261" s="85">
        <v>45783</v>
      </c>
      <c r="B1261">
        <v>1167.02</v>
      </c>
      <c r="C1261">
        <f t="shared" si="38"/>
        <v>1.2159583694709437E-2</v>
      </c>
      <c r="E1261" s="86">
        <v>45783</v>
      </c>
      <c r="F1261" s="87">
        <v>24379.599609375</v>
      </c>
      <c r="G1261" s="88">
        <f t="shared" si="39"/>
        <v>-3.3338898599493184E-3</v>
      </c>
    </row>
    <row r="1262" spans="1:7" ht="14.25" customHeight="1" x14ac:dyDescent="0.35">
      <c r="A1262" s="85">
        <v>45784</v>
      </c>
      <c r="B1262">
        <v>1158.05</v>
      </c>
      <c r="C1262">
        <f t="shared" si="38"/>
        <v>-7.6862435947970282E-3</v>
      </c>
      <c r="E1262" s="86">
        <v>45784</v>
      </c>
      <c r="F1262" s="87">
        <v>24414.400390625</v>
      </c>
      <c r="G1262" s="88">
        <f t="shared" si="39"/>
        <v>1.4274549954716078E-3</v>
      </c>
    </row>
    <row r="1263" spans="1:7" ht="14.25" customHeight="1" x14ac:dyDescent="0.35">
      <c r="A1263" s="85">
        <v>45785</v>
      </c>
      <c r="B1263">
        <v>1159.19</v>
      </c>
      <c r="C1263">
        <f t="shared" si="38"/>
        <v>9.8441345365061963E-4</v>
      </c>
      <c r="E1263" s="86">
        <v>45785</v>
      </c>
      <c r="F1263" s="87">
        <v>24273.80078125</v>
      </c>
      <c r="G1263" s="88">
        <f t="shared" si="39"/>
        <v>-5.7588802970966885E-3</v>
      </c>
    </row>
    <row r="1264" spans="1:7" ht="14.25" customHeight="1" x14ac:dyDescent="0.35">
      <c r="A1264" s="85">
        <v>45786</v>
      </c>
      <c r="B1264">
        <v>1151.6099999999999</v>
      </c>
      <c r="C1264">
        <f t="shared" si="38"/>
        <v>-6.5390488185717221E-3</v>
      </c>
      <c r="E1264" s="86">
        <v>45786</v>
      </c>
      <c r="F1264" s="87">
        <v>24008</v>
      </c>
      <c r="G1264" s="88">
        <f t="shared" si="39"/>
        <v>-1.0950109694206379E-2</v>
      </c>
    </row>
    <row r="1265" spans="1:7" ht="14.25" customHeight="1" x14ac:dyDescent="0.35">
      <c r="A1265" s="85">
        <v>45789</v>
      </c>
      <c r="B1265">
        <v>1180.54</v>
      </c>
      <c r="C1265">
        <f t="shared" si="38"/>
        <v>2.512135184654533E-2</v>
      </c>
      <c r="E1265" s="86">
        <v>45789</v>
      </c>
      <c r="F1265" s="87">
        <v>24924.69921875</v>
      </c>
      <c r="G1265" s="88">
        <f t="shared" si="39"/>
        <v>3.8183073090219927E-2</v>
      </c>
    </row>
    <row r="1266" spans="1:7" ht="14.25" customHeight="1" x14ac:dyDescent="0.35">
      <c r="A1266" s="85">
        <v>45790</v>
      </c>
      <c r="B1266">
        <v>1173.8</v>
      </c>
      <c r="C1266">
        <f t="shared" si="38"/>
        <v>-5.7092516983753274E-3</v>
      </c>
      <c r="E1266" s="86">
        <v>45790</v>
      </c>
      <c r="F1266" s="87">
        <v>24578.349609375</v>
      </c>
      <c r="G1266" s="88">
        <f t="shared" si="39"/>
        <v>-1.389583907654352E-2</v>
      </c>
    </row>
    <row r="1267" spans="1:7" ht="14.25" customHeight="1" x14ac:dyDescent="0.35">
      <c r="A1267" s="85">
        <v>45791</v>
      </c>
      <c r="B1267">
        <v>1173.9000000000001</v>
      </c>
      <c r="C1267">
        <f t="shared" si="38"/>
        <v>8.5193388993130373E-5</v>
      </c>
      <c r="E1267" s="86">
        <v>45791</v>
      </c>
      <c r="F1267" s="87">
        <v>24666.900390625</v>
      </c>
      <c r="G1267" s="88">
        <f t="shared" si="39"/>
        <v>3.6027960647212775E-3</v>
      </c>
    </row>
    <row r="1268" spans="1:7" ht="14.25" customHeight="1" x14ac:dyDescent="0.35">
      <c r="A1268" s="85">
        <v>45792</v>
      </c>
      <c r="B1268">
        <v>1187.6199999999999</v>
      </c>
      <c r="C1268">
        <f t="shared" si="38"/>
        <v>1.1687537268932447E-2</v>
      </c>
      <c r="E1268" s="86">
        <v>45792</v>
      </c>
      <c r="F1268" s="87">
        <v>25062.099609375</v>
      </c>
      <c r="G1268" s="88">
        <f t="shared" si="39"/>
        <v>1.6021438141461865E-2</v>
      </c>
    </row>
    <row r="1269" spans="1:7" ht="14.25" customHeight="1" x14ac:dyDescent="0.35">
      <c r="A1269" s="85">
        <v>45793</v>
      </c>
      <c r="B1269">
        <v>1192.92</v>
      </c>
      <c r="C1269">
        <f t="shared" si="38"/>
        <v>4.4627069264581119E-3</v>
      </c>
      <c r="E1269" s="86">
        <v>45793</v>
      </c>
      <c r="F1269" s="87">
        <v>25019.80078125</v>
      </c>
      <c r="G1269" s="88">
        <f t="shared" si="39"/>
        <v>-1.6877607536591724E-3</v>
      </c>
    </row>
    <row r="1270" spans="1:7" ht="14.25" customHeight="1" x14ac:dyDescent="0.35">
      <c r="A1270" s="85">
        <v>45796</v>
      </c>
      <c r="B1270">
        <v>1192.42</v>
      </c>
      <c r="C1270">
        <f t="shared" si="38"/>
        <v>-4.1913959024913653E-4</v>
      </c>
      <c r="E1270" s="86">
        <v>45796</v>
      </c>
      <c r="F1270" s="87">
        <v>24945.44921875</v>
      </c>
      <c r="G1270" s="88">
        <f t="shared" si="39"/>
        <v>-2.9717088137536066E-3</v>
      </c>
    </row>
    <row r="1271" spans="1:7" ht="14.25" customHeight="1" x14ac:dyDescent="0.35">
      <c r="A1271" s="85">
        <v>45797</v>
      </c>
      <c r="B1271">
        <v>1168.01</v>
      </c>
      <c r="C1271">
        <f t="shared" si="38"/>
        <v>-2.0470974992033077E-2</v>
      </c>
      <c r="E1271" s="86">
        <v>45797</v>
      </c>
      <c r="F1271" s="87">
        <v>24683.900390625</v>
      </c>
      <c r="G1271" s="88">
        <f t="shared" si="39"/>
        <v>-1.0484831354666864E-2</v>
      </c>
    </row>
    <row r="1272" spans="1:7" ht="14.25" customHeight="1" x14ac:dyDescent="0.35">
      <c r="A1272" s="85">
        <v>45798</v>
      </c>
      <c r="B1272">
        <v>1184.8900000000001</v>
      </c>
      <c r="C1272">
        <f t="shared" si="38"/>
        <v>1.445193106223415E-2</v>
      </c>
      <c r="E1272" s="86">
        <v>45798</v>
      </c>
      <c r="F1272" s="87">
        <v>24813.44921875</v>
      </c>
      <c r="G1272" s="88">
        <f t="shared" si="39"/>
        <v>5.2483127088862724E-3</v>
      </c>
    </row>
    <row r="1273" spans="1:7" ht="14.25" customHeight="1" x14ac:dyDescent="0.35">
      <c r="A1273" s="85">
        <v>45799</v>
      </c>
      <c r="B1273">
        <v>1169.5899999999999</v>
      </c>
      <c r="C1273">
        <f t="shared" si="38"/>
        <v>-1.2912591042206602E-2</v>
      </c>
      <c r="E1273" s="86">
        <v>45799</v>
      </c>
      <c r="F1273" s="87">
        <v>24609.69921875</v>
      </c>
      <c r="G1273" s="88">
        <f t="shared" si="39"/>
        <v>-8.2112727740421762E-3</v>
      </c>
    </row>
    <row r="1274" spans="1:7" ht="14.25" customHeight="1" x14ac:dyDescent="0.35">
      <c r="A1274" s="85">
        <v>45800</v>
      </c>
      <c r="B1274">
        <v>1195.69</v>
      </c>
      <c r="C1274">
        <f t="shared" si="38"/>
        <v>2.231551227353187E-2</v>
      </c>
      <c r="E1274" s="86">
        <v>45800</v>
      </c>
      <c r="F1274" s="87">
        <v>24853.150390625</v>
      </c>
      <c r="G1274" s="88">
        <f t="shared" si="39"/>
        <v>9.8924887180057795E-3</v>
      </c>
    </row>
    <row r="1275" spans="1:7" ht="14.25" customHeight="1" x14ac:dyDescent="0.35">
      <c r="A1275" s="85">
        <v>45803</v>
      </c>
      <c r="B1275">
        <v>1215.3</v>
      </c>
      <c r="C1275">
        <f t="shared" si="38"/>
        <v>1.6400572054629459E-2</v>
      </c>
      <c r="E1275" s="86">
        <v>45803</v>
      </c>
      <c r="F1275" s="87">
        <v>25001.150390625</v>
      </c>
      <c r="G1275" s="88">
        <f t="shared" si="39"/>
        <v>5.9549794562796321E-3</v>
      </c>
    </row>
    <row r="1276" spans="1:7" ht="14.25" customHeight="1" x14ac:dyDescent="0.35">
      <c r="A1276" s="85">
        <v>45804</v>
      </c>
      <c r="B1276">
        <v>1218.72</v>
      </c>
      <c r="C1276">
        <f t="shared" si="38"/>
        <v>2.8141199703777446E-3</v>
      </c>
      <c r="E1276" s="86">
        <v>45804</v>
      </c>
      <c r="F1276" s="87">
        <v>24826.19921875</v>
      </c>
      <c r="G1276" s="88">
        <f t="shared" si="39"/>
        <v>-6.9977248703165145E-3</v>
      </c>
    </row>
    <row r="1277" spans="1:7" ht="14.25" customHeight="1" x14ac:dyDescent="0.35">
      <c r="A1277" s="85">
        <v>45805</v>
      </c>
      <c r="B1277">
        <v>1197.97</v>
      </c>
      <c r="C1277">
        <f t="shared" si="38"/>
        <v>-1.7026060128659575E-2</v>
      </c>
      <c r="E1277" s="86">
        <v>45805</v>
      </c>
      <c r="F1277" s="87">
        <v>24752.44921875</v>
      </c>
      <c r="G1277" s="88">
        <f t="shared" si="39"/>
        <v>-2.9706520659956788E-3</v>
      </c>
    </row>
    <row r="1278" spans="1:7" ht="14.25" customHeight="1" x14ac:dyDescent="0.35">
      <c r="A1278" s="85">
        <v>45806</v>
      </c>
      <c r="B1278">
        <v>1205.8900000000001</v>
      </c>
      <c r="C1278">
        <f t="shared" si="38"/>
        <v>6.6111839194638198E-3</v>
      </c>
      <c r="E1278" s="86">
        <v>45806</v>
      </c>
      <c r="F1278" s="87">
        <v>24833.599609375</v>
      </c>
      <c r="G1278" s="88">
        <f t="shared" si="39"/>
        <v>3.2784792287758142E-3</v>
      </c>
    </row>
    <row r="1279" spans="1:7" ht="14.25" customHeight="1" x14ac:dyDescent="0.35">
      <c r="A1279" s="85">
        <v>45807</v>
      </c>
      <c r="B1279">
        <v>1186.68</v>
      </c>
      <c r="C1279">
        <f t="shared" si="38"/>
        <v>-1.5930142882020777E-2</v>
      </c>
      <c r="E1279" s="86">
        <v>45807</v>
      </c>
      <c r="F1279" s="87">
        <v>24750.69921875</v>
      </c>
      <c r="G1279" s="88">
        <f t="shared" si="39"/>
        <v>-3.3382349691143463E-3</v>
      </c>
    </row>
    <row r="1280" spans="1:7" ht="14.25" customHeight="1" x14ac:dyDescent="0.35">
      <c r="A1280" s="85">
        <v>45810</v>
      </c>
      <c r="B1280">
        <v>1191.68</v>
      </c>
      <c r="C1280">
        <f t="shared" si="38"/>
        <v>4.2134358040920887E-3</v>
      </c>
      <c r="E1280" s="86">
        <v>45810</v>
      </c>
      <c r="F1280" s="87">
        <v>24716.599609375</v>
      </c>
      <c r="G1280" s="88">
        <f t="shared" si="39"/>
        <v>-1.3777230725331466E-3</v>
      </c>
    </row>
    <row r="1281" spans="1:7" ht="14.25" customHeight="1" x14ac:dyDescent="0.35">
      <c r="A1281" s="85">
        <v>45811</v>
      </c>
      <c r="B1281">
        <v>1184.3</v>
      </c>
      <c r="C1281">
        <f t="shared" si="38"/>
        <v>-6.1929377013964391E-3</v>
      </c>
      <c r="E1281" s="86">
        <v>45811</v>
      </c>
      <c r="F1281" s="87">
        <v>24542.5</v>
      </c>
      <c r="G1281" s="88">
        <f t="shared" si="39"/>
        <v>-7.0438333802585072E-3</v>
      </c>
    </row>
    <row r="1282" spans="1:7" ht="14.25" customHeight="1" x14ac:dyDescent="0.35">
      <c r="A1282" s="85">
        <v>45812</v>
      </c>
      <c r="B1282">
        <v>1187.32</v>
      </c>
      <c r="C1282">
        <f t="shared" si="38"/>
        <v>2.5500295533226226E-3</v>
      </c>
      <c r="E1282" s="86">
        <v>45812</v>
      </c>
      <c r="F1282" s="87">
        <v>24620.19921875</v>
      </c>
      <c r="G1282" s="88">
        <f t="shared" si="39"/>
        <v>3.1659048079861465E-3</v>
      </c>
    </row>
    <row r="1283" spans="1:7" ht="14.25" customHeight="1" x14ac:dyDescent="0.35">
      <c r="A1283" s="85">
        <v>45813</v>
      </c>
      <c r="B1283">
        <v>1189.2</v>
      </c>
      <c r="C1283">
        <f t="shared" si="38"/>
        <v>1.5833979045245673E-3</v>
      </c>
      <c r="E1283" s="86">
        <v>45813</v>
      </c>
      <c r="F1283" s="87">
        <v>24750.900390625</v>
      </c>
      <c r="G1283" s="88">
        <f t="shared" si="39"/>
        <v>5.3086967621066988E-3</v>
      </c>
    </row>
    <row r="1284" spans="1:7" ht="14.25" customHeight="1" x14ac:dyDescent="0.35">
      <c r="A1284" s="85">
        <v>45814</v>
      </c>
      <c r="B1284">
        <v>1197.08</v>
      </c>
      <c r="C1284">
        <f t="shared" si="38"/>
        <v>6.6263033972417439E-3</v>
      </c>
      <c r="E1284" s="86">
        <v>45814</v>
      </c>
      <c r="F1284" s="87">
        <v>25003.05078125</v>
      </c>
      <c r="G1284" s="88">
        <f t="shared" si="39"/>
        <v>1.0187523954502602E-2</v>
      </c>
    </row>
    <row r="1285" spans="1:7" ht="14.25" customHeight="1" x14ac:dyDescent="0.35">
      <c r="A1285" s="85">
        <v>45817</v>
      </c>
      <c r="B1285">
        <v>1196.1400000000001</v>
      </c>
      <c r="C1285">
        <f t="shared" ref="C1285:C1348" si="40">(B1285-B1284)/B1284</f>
        <v>-7.8524409396182979E-4</v>
      </c>
      <c r="E1285" s="86">
        <v>45817</v>
      </c>
      <c r="F1285" s="87">
        <v>25103.19921875</v>
      </c>
      <c r="G1285" s="88">
        <f t="shared" ref="G1285:G1348" si="41">(F1285-F1284)/F1284</f>
        <v>4.0054487100870968E-3</v>
      </c>
    </row>
    <row r="1286" spans="1:7" ht="14.25" customHeight="1" x14ac:dyDescent="0.35">
      <c r="A1286" s="85">
        <v>45818</v>
      </c>
      <c r="B1286">
        <v>1204.1099999999999</v>
      </c>
      <c r="C1286">
        <f t="shared" si="40"/>
        <v>6.6630996371660504E-3</v>
      </c>
      <c r="E1286" s="86">
        <v>45818</v>
      </c>
      <c r="F1286" s="87">
        <v>25104.25</v>
      </c>
      <c r="G1286" s="88">
        <f t="shared" si="41"/>
        <v>4.185845958690213E-5</v>
      </c>
    </row>
    <row r="1287" spans="1:7" ht="14.25" customHeight="1" x14ac:dyDescent="0.35">
      <c r="A1287" s="85">
        <v>45819</v>
      </c>
      <c r="B1287">
        <v>1198.07</v>
      </c>
      <c r="C1287">
        <f t="shared" si="40"/>
        <v>-5.0161530092765316E-3</v>
      </c>
      <c r="E1287" s="86">
        <v>45819</v>
      </c>
      <c r="F1287" s="87">
        <v>25141.400390625</v>
      </c>
      <c r="G1287" s="88">
        <f t="shared" si="41"/>
        <v>1.4798446727147794E-3</v>
      </c>
    </row>
    <row r="1288" spans="1:7" ht="14.25" customHeight="1" x14ac:dyDescent="0.35">
      <c r="A1288" s="85">
        <v>45820</v>
      </c>
      <c r="B1288">
        <v>1181.43</v>
      </c>
      <c r="C1288">
        <f t="shared" si="40"/>
        <v>-1.3889004816079088E-2</v>
      </c>
      <c r="E1288" s="86">
        <v>45820</v>
      </c>
      <c r="F1288" s="87">
        <v>24888.19921875</v>
      </c>
      <c r="G1288" s="88">
        <f t="shared" si="41"/>
        <v>-1.0071084662786582E-2</v>
      </c>
    </row>
    <row r="1289" spans="1:7" ht="14.25" customHeight="1" x14ac:dyDescent="0.35">
      <c r="A1289" s="85">
        <v>45821</v>
      </c>
      <c r="B1289">
        <v>1177.07</v>
      </c>
      <c r="C1289">
        <f t="shared" si="40"/>
        <v>-3.6904429377958296E-3</v>
      </c>
      <c r="E1289" s="86">
        <v>45821</v>
      </c>
      <c r="F1289" s="87">
        <v>24718.599609375</v>
      </c>
      <c r="G1289" s="88">
        <f t="shared" si="41"/>
        <v>-6.814458847919736E-3</v>
      </c>
    </row>
    <row r="1290" spans="1:7" ht="14.25" customHeight="1" x14ac:dyDescent="0.35">
      <c r="A1290" s="85">
        <v>45824</v>
      </c>
      <c r="B1290">
        <v>1183.51</v>
      </c>
      <c r="C1290">
        <f t="shared" si="40"/>
        <v>5.4712124172734454E-3</v>
      </c>
      <c r="E1290" s="86">
        <v>45824</v>
      </c>
      <c r="F1290" s="87">
        <v>24946.5</v>
      </c>
      <c r="G1290" s="88">
        <f t="shared" si="41"/>
        <v>9.2197937677086055E-3</v>
      </c>
    </row>
    <row r="1291" spans="1:7" ht="14.25" customHeight="1" x14ac:dyDescent="0.35">
      <c r="A1291" s="85">
        <v>45825</v>
      </c>
      <c r="B1291">
        <v>1169.74</v>
      </c>
      <c r="C1291">
        <f t="shared" si="40"/>
        <v>-1.1634882679487273E-2</v>
      </c>
      <c r="E1291" s="86">
        <v>45825</v>
      </c>
      <c r="F1291" s="87">
        <v>24853.400390625</v>
      </c>
      <c r="G1291" s="88">
        <f t="shared" si="41"/>
        <v>-3.7319707924959415E-3</v>
      </c>
    </row>
    <row r="1292" spans="1:7" ht="14.25" customHeight="1" x14ac:dyDescent="0.35">
      <c r="A1292" s="85">
        <v>45826</v>
      </c>
      <c r="B1292">
        <v>1159.24</v>
      </c>
      <c r="C1292">
        <f t="shared" si="40"/>
        <v>-8.9763537196300026E-3</v>
      </c>
      <c r="E1292" s="86">
        <v>45826</v>
      </c>
      <c r="F1292" s="87">
        <v>24812.05078125</v>
      </c>
      <c r="G1292" s="88">
        <f t="shared" si="41"/>
        <v>-1.6637405234334682E-3</v>
      </c>
    </row>
    <row r="1293" spans="1:7" ht="14.25" customHeight="1" x14ac:dyDescent="0.35">
      <c r="A1293" s="85">
        <v>45827</v>
      </c>
      <c r="B1293">
        <v>1148.4000000000001</v>
      </c>
      <c r="C1293">
        <f t="shared" si="40"/>
        <v>-9.3509540733583366E-3</v>
      </c>
      <c r="E1293" s="86">
        <v>45827</v>
      </c>
      <c r="F1293" s="87">
        <v>24793.25</v>
      </c>
      <c r="G1293" s="88">
        <f t="shared" si="41"/>
        <v>-7.5772782410260889E-4</v>
      </c>
    </row>
    <row r="1294" spans="1:7" ht="14.25" customHeight="1" x14ac:dyDescent="0.35">
      <c r="A1294" s="85">
        <v>45828</v>
      </c>
      <c r="B1294">
        <v>1168.95</v>
      </c>
      <c r="C1294">
        <f t="shared" si="40"/>
        <v>1.7894461859979061E-2</v>
      </c>
      <c r="E1294" s="86">
        <v>45828</v>
      </c>
      <c r="F1294" s="87">
        <v>25112.400390625</v>
      </c>
      <c r="G1294" s="88">
        <f t="shared" si="41"/>
        <v>1.2872470959837859E-2</v>
      </c>
    </row>
    <row r="1295" spans="1:7" ht="14.25" customHeight="1" x14ac:dyDescent="0.35">
      <c r="A1295" s="85">
        <v>45831</v>
      </c>
      <c r="B1295">
        <v>1168.3</v>
      </c>
      <c r="C1295">
        <f t="shared" si="40"/>
        <v>-5.5605457889566789E-4</v>
      </c>
      <c r="E1295" s="86">
        <v>45831</v>
      </c>
      <c r="F1295" s="87">
        <v>24971.900390625</v>
      </c>
      <c r="G1295" s="88">
        <f t="shared" si="41"/>
        <v>-5.5948454872697742E-3</v>
      </c>
    </row>
    <row r="1296" spans="1:7" ht="14.25" customHeight="1" x14ac:dyDescent="0.35">
      <c r="A1296" s="85">
        <v>45832</v>
      </c>
      <c r="B1296">
        <v>1171.6199999999999</v>
      </c>
      <c r="C1296">
        <f t="shared" si="40"/>
        <v>2.8417358555165081E-3</v>
      </c>
      <c r="E1296" s="86">
        <v>45832</v>
      </c>
      <c r="F1296" s="87">
        <v>25044.349609375</v>
      </c>
      <c r="G1296" s="88">
        <f t="shared" si="41"/>
        <v>2.9012296868362901E-3</v>
      </c>
    </row>
    <row r="1297" spans="1:7" ht="14.25" customHeight="1" x14ac:dyDescent="0.35">
      <c r="A1297" s="85">
        <v>45833</v>
      </c>
      <c r="B1297">
        <v>1190.74</v>
      </c>
      <c r="C1297">
        <f t="shared" si="40"/>
        <v>1.6319284409620969E-2</v>
      </c>
      <c r="E1297" s="86">
        <v>45833</v>
      </c>
      <c r="F1297" s="87">
        <v>25244.75</v>
      </c>
      <c r="G1297" s="88">
        <f t="shared" si="41"/>
        <v>8.0018205204252114E-3</v>
      </c>
    </row>
    <row r="1298" spans="1:7" ht="14.25" customHeight="1" x14ac:dyDescent="0.35">
      <c r="A1298" s="85">
        <v>45834</v>
      </c>
      <c r="B1298">
        <v>1204.1099999999999</v>
      </c>
      <c r="C1298">
        <f t="shared" si="40"/>
        <v>1.1228311806103676E-2</v>
      </c>
      <c r="E1298" s="86">
        <v>45834</v>
      </c>
      <c r="F1298" s="87">
        <v>25549</v>
      </c>
      <c r="G1298" s="88">
        <f t="shared" si="41"/>
        <v>1.205201081412967E-2</v>
      </c>
    </row>
    <row r="1299" spans="1:7" ht="14.25" customHeight="1" x14ac:dyDescent="0.35">
      <c r="A1299" s="85">
        <v>45835</v>
      </c>
      <c r="B1299">
        <v>1217.6300000000001</v>
      </c>
      <c r="C1299">
        <f t="shared" si="40"/>
        <v>1.1228210047254994E-2</v>
      </c>
      <c r="E1299" s="86">
        <v>45835</v>
      </c>
      <c r="F1299" s="87">
        <v>25637.80078125</v>
      </c>
      <c r="G1299" s="88">
        <f t="shared" si="41"/>
        <v>3.4757047731809464E-3</v>
      </c>
    </row>
    <row r="1300" spans="1:7" ht="14.25" customHeight="1" x14ac:dyDescent="0.35">
      <c r="A1300" s="85">
        <v>45838</v>
      </c>
      <c r="B1300">
        <v>1220.9000000000001</v>
      </c>
      <c r="C1300">
        <f t="shared" si="40"/>
        <v>2.6855448699522693E-3</v>
      </c>
      <c r="E1300" s="86">
        <v>45838</v>
      </c>
      <c r="F1300" s="87">
        <v>25517.05078125</v>
      </c>
      <c r="G1300" s="88">
        <f t="shared" si="41"/>
        <v>-4.7098423546652075E-3</v>
      </c>
    </row>
    <row r="1301" spans="1:7" ht="14.25" customHeight="1" x14ac:dyDescent="0.35">
      <c r="A1301" s="85">
        <v>45839</v>
      </c>
      <c r="B1301">
        <v>1193.56</v>
      </c>
      <c r="C1301">
        <f t="shared" si="40"/>
        <v>-2.2393316405930168E-2</v>
      </c>
      <c r="E1301" s="86">
        <v>45839</v>
      </c>
      <c r="F1301" s="87">
        <v>25541.80078125</v>
      </c>
      <c r="G1301" s="88">
        <f t="shared" si="41"/>
        <v>9.6993967728380148E-4</v>
      </c>
    </row>
    <row r="1302" spans="1:7" ht="14.25" customHeight="1" x14ac:dyDescent="0.35">
      <c r="A1302" s="85">
        <v>45840</v>
      </c>
      <c r="B1302">
        <v>1182.6199999999999</v>
      </c>
      <c r="C1302">
        <f t="shared" si="40"/>
        <v>-9.1658567646369302E-3</v>
      </c>
      <c r="E1302" s="86">
        <v>45840</v>
      </c>
      <c r="F1302" s="87">
        <v>25453.400390625</v>
      </c>
      <c r="G1302" s="88">
        <f t="shared" si="41"/>
        <v>-3.4610085397695964E-3</v>
      </c>
    </row>
    <row r="1303" spans="1:7" ht="14.25" customHeight="1" x14ac:dyDescent="0.35">
      <c r="A1303" s="85">
        <v>45841</v>
      </c>
      <c r="B1303">
        <v>1182.81</v>
      </c>
      <c r="C1303">
        <f t="shared" si="40"/>
        <v>1.6066022898315147E-4</v>
      </c>
      <c r="E1303" s="86">
        <v>45841</v>
      </c>
      <c r="F1303" s="87">
        <v>25405.30078125</v>
      </c>
      <c r="G1303" s="88">
        <f t="shared" si="41"/>
        <v>-1.8897125192245848E-3</v>
      </c>
    </row>
    <row r="1304" spans="1:7" ht="14.25" customHeight="1" x14ac:dyDescent="0.35">
      <c r="A1304" s="85">
        <v>45842</v>
      </c>
      <c r="B1304">
        <v>1189.98</v>
      </c>
      <c r="C1304">
        <f t="shared" si="40"/>
        <v>6.0618357978035973E-3</v>
      </c>
      <c r="E1304" s="86">
        <v>45842</v>
      </c>
      <c r="F1304" s="87">
        <v>25461</v>
      </c>
      <c r="G1304" s="88">
        <f t="shared" si="41"/>
        <v>2.1924250859926041E-3</v>
      </c>
    </row>
    <row r="1305" spans="1:7" ht="14.25" customHeight="1" x14ac:dyDescent="0.35">
      <c r="A1305" s="85">
        <v>45845</v>
      </c>
      <c r="B1305">
        <v>1204.55</v>
      </c>
      <c r="C1305">
        <f t="shared" si="40"/>
        <v>1.2243903258878247E-2</v>
      </c>
      <c r="E1305" s="86">
        <v>45845</v>
      </c>
      <c r="F1305" s="87">
        <v>25461.30078125</v>
      </c>
      <c r="G1305" s="88">
        <f t="shared" si="41"/>
        <v>1.1813410706570834E-5</v>
      </c>
    </row>
    <row r="1306" spans="1:7" ht="14.25" customHeight="1" x14ac:dyDescent="0.35">
      <c r="A1306" s="85">
        <v>45846</v>
      </c>
      <c r="B1306">
        <v>1202.46</v>
      </c>
      <c r="C1306">
        <f t="shared" si="40"/>
        <v>-1.7350877921214712E-3</v>
      </c>
      <c r="E1306" s="86">
        <v>45846</v>
      </c>
      <c r="F1306" s="87">
        <v>25522.5</v>
      </c>
      <c r="G1306" s="88">
        <f t="shared" si="41"/>
        <v>2.4036171315751404E-3</v>
      </c>
    </row>
    <row r="1307" spans="1:7" ht="14.25" customHeight="1" x14ac:dyDescent="0.35">
      <c r="A1307" s="85">
        <v>45847</v>
      </c>
      <c r="B1307">
        <v>1207.3800000000001</v>
      </c>
      <c r="C1307">
        <f t="shared" si="40"/>
        <v>4.0916121950003098E-3</v>
      </c>
      <c r="E1307" s="86">
        <v>45847</v>
      </c>
      <c r="F1307" s="87">
        <v>25476.099609375</v>
      </c>
      <c r="G1307" s="88">
        <f t="shared" si="41"/>
        <v>-1.8180190273288275E-3</v>
      </c>
    </row>
    <row r="1308" spans="1:7" ht="14.25" customHeight="1" x14ac:dyDescent="0.35">
      <c r="A1308" s="85">
        <v>45848</v>
      </c>
      <c r="B1308">
        <v>1194.25</v>
      </c>
      <c r="C1308">
        <f t="shared" si="40"/>
        <v>-1.0874786728287787E-2</v>
      </c>
      <c r="E1308" s="86">
        <v>45848</v>
      </c>
      <c r="F1308" s="87">
        <v>25355.25</v>
      </c>
      <c r="G1308" s="88">
        <f t="shared" si="41"/>
        <v>-4.7436464461980792E-3</v>
      </c>
    </row>
    <row r="1309" spans="1:7" ht="14.25" customHeight="1" x14ac:dyDescent="0.35">
      <c r="A1309" s="85">
        <v>45849</v>
      </c>
      <c r="B1309">
        <v>1195.3</v>
      </c>
      <c r="C1309">
        <f t="shared" si="40"/>
        <v>8.7921289512242376E-4</v>
      </c>
      <c r="E1309" s="86">
        <v>45849</v>
      </c>
      <c r="F1309" s="87">
        <v>25149.849609375</v>
      </c>
      <c r="G1309" s="88">
        <f t="shared" si="41"/>
        <v>-8.1009018102759789E-3</v>
      </c>
    </row>
    <row r="1310" spans="1:7" ht="14.25" customHeight="1" x14ac:dyDescent="0.35">
      <c r="A1310" s="85">
        <v>45852</v>
      </c>
      <c r="B1310">
        <v>1190.02</v>
      </c>
      <c r="C1310">
        <f t="shared" si="40"/>
        <v>-4.4173010959591506E-3</v>
      </c>
      <c r="E1310" s="86">
        <v>45852</v>
      </c>
      <c r="F1310" s="87">
        <v>25082.30078125</v>
      </c>
      <c r="G1310" s="88">
        <f t="shared" si="41"/>
        <v>-2.685854157148523E-3</v>
      </c>
    </row>
    <row r="1311" spans="1:7" ht="14.25" customHeight="1" x14ac:dyDescent="0.35">
      <c r="A1311" s="85">
        <v>45853</v>
      </c>
      <c r="B1311">
        <v>1201.6600000000001</v>
      </c>
      <c r="C1311">
        <f t="shared" si="40"/>
        <v>9.7813482126351652E-3</v>
      </c>
      <c r="E1311" s="86">
        <v>45853</v>
      </c>
      <c r="F1311" s="87">
        <v>25195.80078125</v>
      </c>
      <c r="G1311" s="88">
        <f t="shared" si="41"/>
        <v>4.5251032187942535E-3</v>
      </c>
    </row>
    <row r="1312" spans="1:7" ht="14.25" customHeight="1" x14ac:dyDescent="0.35">
      <c r="A1312" s="85">
        <v>45854</v>
      </c>
      <c r="B1312">
        <v>1223.3900000000001</v>
      </c>
      <c r="C1312">
        <f t="shared" si="40"/>
        <v>1.8083318076660634E-2</v>
      </c>
      <c r="E1312" s="86">
        <v>45854</v>
      </c>
      <c r="F1312" s="87">
        <v>25212.05078125</v>
      </c>
      <c r="G1312" s="88">
        <f t="shared" si="41"/>
        <v>6.4494874130346306E-4</v>
      </c>
    </row>
    <row r="1313" spans="1:7" ht="14.25" customHeight="1" x14ac:dyDescent="0.35">
      <c r="A1313" s="85">
        <v>45855</v>
      </c>
      <c r="B1313">
        <v>1217.97</v>
      </c>
      <c r="C1313">
        <f t="shared" si="40"/>
        <v>-4.4303124923369261E-3</v>
      </c>
      <c r="E1313" s="86">
        <v>45855</v>
      </c>
      <c r="F1313" s="87">
        <v>25111.44921875</v>
      </c>
      <c r="G1313" s="88">
        <f t="shared" si="41"/>
        <v>-3.9902173517283477E-3</v>
      </c>
    </row>
    <row r="1314" spans="1:7" ht="14.25" customHeight="1" x14ac:dyDescent="0.35">
      <c r="A1314" s="85">
        <v>45856</v>
      </c>
      <c r="B1314">
        <v>1229.46</v>
      </c>
      <c r="C1314">
        <f t="shared" si="40"/>
        <v>9.4337298948250024E-3</v>
      </c>
      <c r="E1314" s="86">
        <v>45856</v>
      </c>
      <c r="F1314" s="87">
        <v>24968.400390625</v>
      </c>
      <c r="G1314" s="88">
        <f t="shared" si="41"/>
        <v>-5.6965580472428303E-3</v>
      </c>
    </row>
    <row r="1315" spans="1:7" ht="14.25" customHeight="1" x14ac:dyDescent="0.35">
      <c r="A1315" s="85">
        <v>45859</v>
      </c>
      <c r="B1315">
        <v>1229.6600000000001</v>
      </c>
      <c r="C1315">
        <f t="shared" si="40"/>
        <v>1.6267304345000689E-4</v>
      </c>
      <c r="E1315" s="86">
        <v>45859</v>
      </c>
      <c r="F1315" s="87">
        <v>25090.69921875</v>
      </c>
      <c r="G1315" s="88">
        <f t="shared" si="41"/>
        <v>4.8981443028653171E-3</v>
      </c>
    </row>
    <row r="1316" spans="1:7" ht="14.25" customHeight="1" x14ac:dyDescent="0.35">
      <c r="A1316" s="85">
        <v>45860</v>
      </c>
      <c r="B1316">
        <v>1215.19</v>
      </c>
      <c r="C1316">
        <f t="shared" si="40"/>
        <v>-1.1767480441748147E-2</v>
      </c>
      <c r="E1316" s="86">
        <v>45860</v>
      </c>
      <c r="F1316" s="87">
        <v>25060.900390625</v>
      </c>
      <c r="G1316" s="88">
        <f t="shared" si="41"/>
        <v>-1.1876443882732318E-3</v>
      </c>
    </row>
    <row r="1317" spans="1:7" ht="14.25" customHeight="1" x14ac:dyDescent="0.35">
      <c r="A1317" s="85">
        <v>45861</v>
      </c>
      <c r="B1317">
        <v>1219.6600000000001</v>
      </c>
      <c r="C1317">
        <f t="shared" si="40"/>
        <v>3.6784371168294893E-3</v>
      </c>
      <c r="E1317" s="86">
        <v>45861</v>
      </c>
      <c r="F1317" s="87">
        <v>25219.900390625</v>
      </c>
      <c r="G1317" s="88">
        <f t="shared" si="41"/>
        <v>6.3445445902446549E-3</v>
      </c>
    </row>
    <row r="1318" spans="1:7" ht="14.25" customHeight="1" x14ac:dyDescent="0.35">
      <c r="A1318" s="85">
        <v>45862</v>
      </c>
      <c r="B1318">
        <v>1154.82</v>
      </c>
      <c r="C1318">
        <f t="shared" si="40"/>
        <v>-5.3162356722365363E-2</v>
      </c>
      <c r="E1318" s="86">
        <v>45862</v>
      </c>
      <c r="F1318" s="87">
        <v>25062.099609375</v>
      </c>
      <c r="G1318" s="88">
        <f t="shared" si="41"/>
        <v>-6.2569946274910479E-3</v>
      </c>
    </row>
    <row r="1319" spans="1:7" ht="14.25" customHeight="1" x14ac:dyDescent="0.35">
      <c r="A1319" s="85">
        <v>45863</v>
      </c>
      <c r="B1319">
        <v>1131.19</v>
      </c>
      <c r="C1319">
        <f t="shared" si="40"/>
        <v>-2.0462063351864259E-2</v>
      </c>
      <c r="E1319" s="86">
        <v>45863</v>
      </c>
      <c r="F1319" s="87">
        <v>24837</v>
      </c>
      <c r="G1319" s="88">
        <f t="shared" si="41"/>
        <v>-8.9816740370306722E-3</v>
      </c>
    </row>
    <row r="1320" spans="1:7" ht="14.25" customHeight="1" x14ac:dyDescent="0.35">
      <c r="A1320" s="85">
        <v>45866</v>
      </c>
      <c r="B1320">
        <v>1108.6600000000001</v>
      </c>
      <c r="C1320">
        <f t="shared" si="40"/>
        <v>-1.9917078474880411E-2</v>
      </c>
      <c r="E1320" s="86">
        <v>45866</v>
      </c>
      <c r="F1320" s="87">
        <v>24680.900390625</v>
      </c>
      <c r="G1320" s="88">
        <f t="shared" si="41"/>
        <v>-6.2849623293876073E-3</v>
      </c>
    </row>
    <row r="1321" spans="1:7" ht="14.25" customHeight="1" x14ac:dyDescent="0.35">
      <c r="A1321" s="85">
        <v>45867</v>
      </c>
      <c r="B1321">
        <v>1105.8800000000001</v>
      </c>
      <c r="C1321">
        <f t="shared" si="40"/>
        <v>-2.5075316147420961E-3</v>
      </c>
      <c r="E1321" s="86">
        <v>45867</v>
      </c>
      <c r="F1321" s="87">
        <v>24821.099609375</v>
      </c>
      <c r="G1321" s="88">
        <f t="shared" si="41"/>
        <v>5.6804742343700898E-3</v>
      </c>
    </row>
    <row r="1322" spans="1:7" ht="14.25" customHeight="1" x14ac:dyDescent="0.35">
      <c r="A1322" s="85">
        <v>45868</v>
      </c>
      <c r="B1322">
        <v>1109.76</v>
      </c>
      <c r="C1322">
        <f t="shared" si="40"/>
        <v>3.5085181032298994E-3</v>
      </c>
      <c r="E1322" s="86">
        <v>45868</v>
      </c>
      <c r="F1322" s="87">
        <v>24855.05078125</v>
      </c>
      <c r="G1322" s="88">
        <f t="shared" si="41"/>
        <v>1.3678351245235141E-3</v>
      </c>
    </row>
    <row r="1323" spans="1:7" ht="14.25" customHeight="1" x14ac:dyDescent="0.35">
      <c r="A1323" s="85">
        <v>45869</v>
      </c>
      <c r="B1323">
        <v>1117.81</v>
      </c>
      <c r="C1323">
        <f t="shared" si="40"/>
        <v>7.2538206459053798E-3</v>
      </c>
      <c r="E1323" s="86">
        <v>45869</v>
      </c>
      <c r="F1323" s="87">
        <v>24768.349609375</v>
      </c>
      <c r="G1323" s="88">
        <f t="shared" si="41"/>
        <v>-3.4882717656889721E-3</v>
      </c>
    </row>
    <row r="1324" spans="1:7" ht="14.25" customHeight="1" x14ac:dyDescent="0.35">
      <c r="A1324" s="85">
        <v>45870</v>
      </c>
      <c r="B1324">
        <v>1132.1400000000001</v>
      </c>
      <c r="C1324">
        <f t="shared" si="40"/>
        <v>1.2819709968599454E-2</v>
      </c>
      <c r="E1324" s="86">
        <v>45870</v>
      </c>
      <c r="F1324" s="87">
        <v>24565.349609375</v>
      </c>
      <c r="G1324" s="88">
        <f t="shared" si="41"/>
        <v>-8.1959437427822409E-3</v>
      </c>
    </row>
    <row r="1325" spans="1:7" ht="14.25" customHeight="1" x14ac:dyDescent="0.35">
      <c r="A1325" s="85">
        <v>45873</v>
      </c>
      <c r="B1325">
        <v>1132.58</v>
      </c>
      <c r="C1325">
        <f t="shared" si="40"/>
        <v>3.8864451392922004E-4</v>
      </c>
      <c r="E1325" s="86">
        <v>45873</v>
      </c>
      <c r="F1325" s="87">
        <v>24722.75</v>
      </c>
      <c r="G1325" s="88">
        <f t="shared" si="41"/>
        <v>6.4074150430544043E-3</v>
      </c>
    </row>
    <row r="1326" spans="1:7" ht="14.25" customHeight="1" x14ac:dyDescent="0.35">
      <c r="A1326" s="85">
        <v>45874</v>
      </c>
      <c r="B1326">
        <v>1127.56</v>
      </c>
      <c r="C1326">
        <f t="shared" si="40"/>
        <v>-4.4323579791272867E-3</v>
      </c>
      <c r="E1326" s="86">
        <v>45874</v>
      </c>
      <c r="F1326" s="87">
        <v>24649.55078125</v>
      </c>
      <c r="G1326" s="88">
        <f t="shared" si="41"/>
        <v>-2.9608040671041855E-3</v>
      </c>
    </row>
    <row r="1327" spans="1:7" ht="14.25" customHeight="1" x14ac:dyDescent="0.35">
      <c r="A1327" s="85">
        <v>45875</v>
      </c>
      <c r="B1327">
        <v>1110.6500000000001</v>
      </c>
      <c r="C1327">
        <f t="shared" si="40"/>
        <v>-1.4996984639398218E-2</v>
      </c>
      <c r="E1327" s="86">
        <v>45875</v>
      </c>
      <c r="F1327" s="87">
        <v>24574.19921875</v>
      </c>
      <c r="G1327" s="88">
        <f t="shared" si="41"/>
        <v>-3.0569142281212337E-3</v>
      </c>
    </row>
    <row r="1328" spans="1:7" ht="14.25" customHeight="1" x14ac:dyDescent="0.35">
      <c r="A1328" s="85">
        <v>45876</v>
      </c>
      <c r="B1328">
        <v>1111.3</v>
      </c>
      <c r="C1328">
        <f t="shared" si="40"/>
        <v>5.8524287579333144E-4</v>
      </c>
      <c r="E1328" s="86">
        <v>45876</v>
      </c>
      <c r="F1328" s="87">
        <v>24596.150390625</v>
      </c>
      <c r="G1328" s="88">
        <f t="shared" si="41"/>
        <v>8.9326092295415906E-4</v>
      </c>
    </row>
    <row r="1329" spans="1:7" ht="14.25" customHeight="1" x14ac:dyDescent="0.35">
      <c r="A1329" s="85">
        <v>45877</v>
      </c>
      <c r="B1329">
        <v>1090.6099999999999</v>
      </c>
      <c r="C1329">
        <f t="shared" si="40"/>
        <v>-1.8617834968055479E-2</v>
      </c>
      <c r="E1329" s="86">
        <v>45877</v>
      </c>
      <c r="F1329" s="87">
        <v>24363.30078125</v>
      </c>
      <c r="G1329" s="88">
        <f t="shared" si="41"/>
        <v>-9.4669127354072569E-3</v>
      </c>
    </row>
    <row r="1330" spans="1:7" ht="14.25" customHeight="1" x14ac:dyDescent="0.35">
      <c r="A1330" s="85">
        <v>45880</v>
      </c>
      <c r="B1330">
        <v>1099.07</v>
      </c>
      <c r="C1330">
        <f t="shared" si="40"/>
        <v>7.7571267455827818E-3</v>
      </c>
      <c r="E1330" s="86">
        <v>45880</v>
      </c>
      <c r="F1330" s="87">
        <v>24585.05078125</v>
      </c>
      <c r="G1330" s="88">
        <f t="shared" si="41"/>
        <v>9.1018044718578876E-3</v>
      </c>
    </row>
    <row r="1331" spans="1:7" ht="14.25" customHeight="1" x14ac:dyDescent="0.35">
      <c r="A1331" s="85">
        <v>45881</v>
      </c>
      <c r="B1331">
        <v>1085.24</v>
      </c>
      <c r="C1331">
        <f t="shared" si="40"/>
        <v>-1.2583365936655471E-2</v>
      </c>
      <c r="E1331" s="86">
        <v>45881</v>
      </c>
      <c r="F1331" s="87">
        <v>24487.400390625</v>
      </c>
      <c r="G1331" s="88">
        <f t="shared" si="41"/>
        <v>-3.9719417907191756E-3</v>
      </c>
    </row>
    <row r="1332" spans="1:7" ht="14.25" customHeight="1" x14ac:dyDescent="0.35">
      <c r="A1332" s="85">
        <v>45882</v>
      </c>
      <c r="B1332">
        <v>1091.01</v>
      </c>
      <c r="C1332">
        <f t="shared" si="40"/>
        <v>5.3167962846927697E-3</v>
      </c>
      <c r="E1332" s="86">
        <v>45882</v>
      </c>
      <c r="F1332" s="87">
        <v>24619.349609375</v>
      </c>
      <c r="G1332" s="88">
        <f t="shared" si="41"/>
        <v>5.3884535167120782E-3</v>
      </c>
    </row>
    <row r="1333" spans="1:7" ht="14.25" customHeight="1" x14ac:dyDescent="0.35">
      <c r="A1333" s="85">
        <v>45883</v>
      </c>
      <c r="B1333">
        <v>1083.55</v>
      </c>
      <c r="C1333">
        <f t="shared" si="40"/>
        <v>-6.837700846005111E-3</v>
      </c>
      <c r="E1333" s="86">
        <v>45883</v>
      </c>
      <c r="F1333" s="87">
        <v>24631.30078125</v>
      </c>
      <c r="G1333" s="88">
        <f t="shared" si="41"/>
        <v>4.8543816407111817E-4</v>
      </c>
    </row>
    <row r="1334" spans="1:7" ht="14.25" customHeight="1" x14ac:dyDescent="0.35">
      <c r="A1334" s="85">
        <v>45887</v>
      </c>
      <c r="B1334">
        <v>1137.96</v>
      </c>
      <c r="C1334">
        <f t="shared" si="40"/>
        <v>5.0214572470121441E-2</v>
      </c>
      <c r="E1334" s="86">
        <v>45887</v>
      </c>
      <c r="F1334" s="87">
        <v>24876.94921875</v>
      </c>
      <c r="G1334" s="88">
        <f t="shared" si="41"/>
        <v>9.9730192766349594E-3</v>
      </c>
    </row>
    <row r="1335" spans="1:7" ht="14.25" customHeight="1" x14ac:dyDescent="0.35">
      <c r="A1335" s="85">
        <v>45888</v>
      </c>
      <c r="B1335">
        <v>1155.1600000000001</v>
      </c>
      <c r="C1335">
        <f t="shared" si="40"/>
        <v>1.511476677563363E-2</v>
      </c>
      <c r="E1335" s="86">
        <v>45888</v>
      </c>
      <c r="F1335" s="87">
        <v>24980.650390625</v>
      </c>
      <c r="G1335" s="88">
        <f t="shared" si="41"/>
        <v>4.1685646806256856E-3</v>
      </c>
    </row>
    <row r="1336" spans="1:7" ht="14.25" customHeight="1" x14ac:dyDescent="0.35">
      <c r="A1336" s="85">
        <v>45889</v>
      </c>
      <c r="B1336">
        <v>1183.9100000000001</v>
      </c>
      <c r="C1336">
        <f t="shared" si="40"/>
        <v>2.4888327158142595E-2</v>
      </c>
      <c r="E1336" s="86">
        <v>45889</v>
      </c>
      <c r="F1336" s="87">
        <v>25050.55078125</v>
      </c>
      <c r="G1336" s="88">
        <f t="shared" si="41"/>
        <v>2.7981813736616301E-3</v>
      </c>
    </row>
    <row r="1337" spans="1:7" ht="14.25" customHeight="1" x14ac:dyDescent="0.35">
      <c r="A1337" s="85">
        <v>45890</v>
      </c>
      <c r="B1337">
        <v>1173.07</v>
      </c>
      <c r="C1337">
        <f t="shared" si="40"/>
        <v>-9.1561013928424841E-3</v>
      </c>
      <c r="E1337" s="86">
        <v>45890</v>
      </c>
      <c r="F1337" s="87">
        <v>25083.75</v>
      </c>
      <c r="G1337" s="88">
        <f t="shared" si="41"/>
        <v>1.325288974278728E-3</v>
      </c>
    </row>
    <row r="1338" spans="1:7" ht="14.25" customHeight="1" x14ac:dyDescent="0.35">
      <c r="A1338" s="85">
        <v>45891</v>
      </c>
      <c r="B1338">
        <v>1156.6600000000001</v>
      </c>
      <c r="C1338">
        <f t="shared" si="40"/>
        <v>-1.3988935016665548E-2</v>
      </c>
      <c r="E1338" s="86">
        <v>45891</v>
      </c>
      <c r="F1338" s="87">
        <v>24870.099609375</v>
      </c>
      <c r="G1338" s="88">
        <f t="shared" si="41"/>
        <v>-8.5174820600986689E-3</v>
      </c>
    </row>
    <row r="1339" spans="1:7" ht="14.25" customHeight="1" x14ac:dyDescent="0.35">
      <c r="A1339" s="85">
        <v>45894</v>
      </c>
      <c r="B1339">
        <v>1146.81</v>
      </c>
      <c r="C1339">
        <f t="shared" si="40"/>
        <v>-8.5158992270850005E-3</v>
      </c>
      <c r="E1339" s="86">
        <v>45894</v>
      </c>
      <c r="F1339" s="87">
        <v>24967.75</v>
      </c>
      <c r="G1339" s="88">
        <f t="shared" si="41"/>
        <v>3.9264173509055761E-3</v>
      </c>
    </row>
    <row r="1340" spans="1:7" ht="14.25" customHeight="1" x14ac:dyDescent="0.35">
      <c r="A1340" s="85">
        <v>45895</v>
      </c>
      <c r="B1340">
        <v>1155.96</v>
      </c>
      <c r="C1340">
        <f t="shared" si="40"/>
        <v>7.9786538310618951E-3</v>
      </c>
      <c r="E1340" s="86">
        <v>45895</v>
      </c>
      <c r="F1340" s="87">
        <v>24712.05078125</v>
      </c>
      <c r="G1340" s="88">
        <f t="shared" si="41"/>
        <v>-1.0241179872034925E-2</v>
      </c>
    </row>
    <row r="1341" spans="1:7" ht="14.25" customHeight="1" x14ac:dyDescent="0.35">
      <c r="A1341" s="85">
        <v>45897</v>
      </c>
      <c r="B1341">
        <v>1156.1600000000001</v>
      </c>
      <c r="C1341">
        <f t="shared" si="40"/>
        <v>1.7301636734839049E-4</v>
      </c>
      <c r="E1341" s="86">
        <v>45897</v>
      </c>
      <c r="F1341" s="87">
        <v>24500.900390625</v>
      </c>
      <c r="G1341" s="88">
        <f t="shared" si="41"/>
        <v>-8.5444301039235507E-3</v>
      </c>
    </row>
    <row r="1342" spans="1:7" ht="14.25" customHeight="1" x14ac:dyDescent="0.35">
      <c r="A1342" s="85">
        <v>45898</v>
      </c>
      <c r="B1342">
        <v>1149.99</v>
      </c>
      <c r="C1342">
        <f t="shared" si="40"/>
        <v>-5.3366316080819889E-3</v>
      </c>
      <c r="E1342" s="86">
        <v>45898</v>
      </c>
      <c r="F1342" s="87">
        <v>24426.849609375</v>
      </c>
      <c r="G1342" s="88">
        <f t="shared" si="41"/>
        <v>-3.0223697933295024E-3</v>
      </c>
    </row>
    <row r="1343" spans="1:7" ht="14.25" customHeight="1" x14ac:dyDescent="0.35">
      <c r="A1343" s="85">
        <v>45901</v>
      </c>
      <c r="B1343">
        <v>1168.0899999999999</v>
      </c>
      <c r="C1343">
        <f t="shared" si="40"/>
        <v>1.5739267297976426E-2</v>
      </c>
      <c r="E1343" s="86">
        <v>45901</v>
      </c>
      <c r="F1343" s="87">
        <v>24625.05078125</v>
      </c>
      <c r="G1343" s="88">
        <f t="shared" si="41"/>
        <v>8.1140701746053485E-3</v>
      </c>
    </row>
    <row r="1344" spans="1:7" ht="14.25" customHeight="1" x14ac:dyDescent="0.35">
      <c r="A1344" s="85">
        <v>45902</v>
      </c>
      <c r="B1344">
        <v>1194.45</v>
      </c>
      <c r="C1344">
        <f t="shared" si="40"/>
        <v>2.2566754274071458E-2</v>
      </c>
      <c r="E1344" s="86">
        <v>45902</v>
      </c>
      <c r="F1344" s="87">
        <v>24579.599609375</v>
      </c>
      <c r="G1344" s="88">
        <f t="shared" si="41"/>
        <v>-1.8457290617896885E-3</v>
      </c>
    </row>
    <row r="1345" spans="1:7" ht="14.25" customHeight="1" x14ac:dyDescent="0.35">
      <c r="A1345" s="85">
        <v>45903</v>
      </c>
      <c r="B1345">
        <v>1188.3800000000001</v>
      </c>
      <c r="C1345">
        <f t="shared" si="40"/>
        <v>-5.0818368286658601E-3</v>
      </c>
      <c r="E1345" s="86">
        <v>45903</v>
      </c>
      <c r="F1345" s="87">
        <v>24715.05078125</v>
      </c>
      <c r="G1345" s="88">
        <f t="shared" si="41"/>
        <v>5.5107151470171652E-3</v>
      </c>
    </row>
    <row r="1346" spans="1:7" ht="14.25" customHeight="1" x14ac:dyDescent="0.35">
      <c r="A1346" s="85">
        <v>45904</v>
      </c>
      <c r="B1346">
        <v>1206.0899999999999</v>
      </c>
      <c r="C1346">
        <f t="shared" si="40"/>
        <v>1.490264056951464E-2</v>
      </c>
      <c r="E1346" s="86">
        <v>45904</v>
      </c>
      <c r="F1346" s="87">
        <v>24734.30078125</v>
      </c>
      <c r="G1346" s="88">
        <f t="shared" si="41"/>
        <v>7.7887762280480347E-4</v>
      </c>
    </row>
    <row r="1347" spans="1:7" ht="14.25" customHeight="1" x14ac:dyDescent="0.35">
      <c r="A1347" s="85">
        <v>45905</v>
      </c>
      <c r="B1347">
        <v>1202.01</v>
      </c>
      <c r="C1347">
        <f t="shared" si="40"/>
        <v>-3.3828321269556397E-3</v>
      </c>
      <c r="E1347" s="86">
        <v>45905</v>
      </c>
      <c r="F1347" s="87">
        <v>24741</v>
      </c>
      <c r="G1347" s="88">
        <f t="shared" si="41"/>
        <v>2.708473067117542E-4</v>
      </c>
    </row>
    <row r="1348" spans="1:7" ht="14.25" customHeight="1" x14ac:dyDescent="0.35">
      <c r="A1348" s="85">
        <v>45908</v>
      </c>
      <c r="B1348">
        <v>1181.32</v>
      </c>
      <c r="C1348">
        <f t="shared" si="40"/>
        <v>-1.7212835167760714E-2</v>
      </c>
      <c r="E1348" s="86">
        <v>45908</v>
      </c>
      <c r="F1348" s="87">
        <v>24773.150390625</v>
      </c>
      <c r="G1348" s="88">
        <f t="shared" si="41"/>
        <v>1.2994782193524919E-3</v>
      </c>
    </row>
    <row r="1349" spans="1:7" ht="14.25" customHeight="1" x14ac:dyDescent="0.35">
      <c r="A1349" s="85">
        <v>45909</v>
      </c>
      <c r="B1349">
        <v>1195.74</v>
      </c>
      <c r="C1349">
        <f t="shared" ref="C1349:C1412" si="42">(B1349-B1348)/B1348</f>
        <v>1.2206684048352753E-2</v>
      </c>
      <c r="E1349" s="86">
        <v>45909</v>
      </c>
      <c r="F1349" s="87">
        <v>24868.599609375</v>
      </c>
      <c r="G1349" s="88">
        <f t="shared" ref="G1349:G1412" si="43">(F1349-F1348)/F1348</f>
        <v>3.852930178235273E-3</v>
      </c>
    </row>
    <row r="1350" spans="1:7" ht="14.25" customHeight="1" x14ac:dyDescent="0.35">
      <c r="A1350" s="85">
        <v>45910</v>
      </c>
      <c r="B1350">
        <v>1210.96</v>
      </c>
      <c r="C1350">
        <f t="shared" si="42"/>
        <v>1.272851957783467E-2</v>
      </c>
      <c r="E1350" s="86">
        <v>45910</v>
      </c>
      <c r="F1350" s="87">
        <v>24973.099609375</v>
      </c>
      <c r="G1350" s="88">
        <f t="shared" si="43"/>
        <v>4.20208623088714E-3</v>
      </c>
    </row>
    <row r="1351" spans="1:7" ht="14.25" customHeight="1" x14ac:dyDescent="0.35">
      <c r="A1351" s="85">
        <v>45911</v>
      </c>
      <c r="B1351">
        <v>1214.24</v>
      </c>
      <c r="C1351">
        <f t="shared" si="42"/>
        <v>2.7085948338508065E-3</v>
      </c>
      <c r="E1351" s="86">
        <v>45911</v>
      </c>
      <c r="F1351" s="87">
        <v>25005.5</v>
      </c>
      <c r="G1351" s="88">
        <f t="shared" si="43"/>
        <v>1.2974116602184522E-3</v>
      </c>
    </row>
    <row r="1352" spans="1:7" ht="14.25" customHeight="1" x14ac:dyDescent="0.35">
      <c r="A1352" s="85">
        <v>45912</v>
      </c>
      <c r="B1352">
        <v>1211.06</v>
      </c>
      <c r="C1352">
        <f t="shared" si="42"/>
        <v>-2.6189221241270785E-3</v>
      </c>
      <c r="E1352" s="86">
        <v>45912</v>
      </c>
      <c r="F1352" s="87">
        <v>25114</v>
      </c>
      <c r="G1352" s="88">
        <f t="shared" si="43"/>
        <v>4.3390454100097975E-3</v>
      </c>
    </row>
    <row r="1353" spans="1:7" ht="14.25" customHeight="1" x14ac:dyDescent="0.35">
      <c r="A1353" s="85">
        <v>45915</v>
      </c>
      <c r="B1353">
        <v>1205.99</v>
      </c>
      <c r="C1353">
        <f t="shared" si="42"/>
        <v>-4.1864152065132498E-3</v>
      </c>
      <c r="E1353" s="86">
        <v>45915</v>
      </c>
      <c r="F1353" s="87">
        <v>25069.19921875</v>
      </c>
      <c r="G1353" s="88">
        <f t="shared" si="43"/>
        <v>-1.7838966811340288E-3</v>
      </c>
    </row>
    <row r="1354" spans="1:7" ht="14.25" customHeight="1" x14ac:dyDescent="0.35">
      <c r="A1354" s="85">
        <v>45916</v>
      </c>
      <c r="B1354">
        <v>1197.73</v>
      </c>
      <c r="C1354">
        <f t="shared" si="42"/>
        <v>-6.8491446861085005E-3</v>
      </c>
      <c r="E1354" s="86">
        <v>45916</v>
      </c>
      <c r="F1354" s="87">
        <v>25239.099609375</v>
      </c>
      <c r="G1354" s="88">
        <f t="shared" si="43"/>
        <v>6.7772563910987009E-3</v>
      </c>
    </row>
    <row r="1355" spans="1:7" ht="14.25" customHeight="1" x14ac:dyDescent="0.35">
      <c r="A1355" s="85">
        <v>45917</v>
      </c>
      <c r="B1355">
        <v>1197.83</v>
      </c>
      <c r="C1355">
        <f t="shared" si="42"/>
        <v>8.3491270987542306E-5</v>
      </c>
      <c r="E1355" s="86">
        <v>45917</v>
      </c>
      <c r="F1355" s="87">
        <v>25330.25</v>
      </c>
      <c r="G1355" s="88">
        <f t="shared" si="43"/>
        <v>3.6114755294654973E-3</v>
      </c>
    </row>
    <row r="1356" spans="1:7" ht="14.25" customHeight="1" x14ac:dyDescent="0.35">
      <c r="A1356" s="85">
        <v>45918</v>
      </c>
      <c r="B1356">
        <v>1202.6099999999999</v>
      </c>
      <c r="C1356">
        <f t="shared" si="42"/>
        <v>3.9905495771519941E-3</v>
      </c>
      <c r="E1356" s="86">
        <v>45918</v>
      </c>
      <c r="F1356" s="87">
        <v>25423.599609375</v>
      </c>
      <c r="G1356" s="88">
        <f t="shared" si="43"/>
        <v>3.6853015416350018E-3</v>
      </c>
    </row>
    <row r="1357" spans="1:7" ht="14.25" customHeight="1" x14ac:dyDescent="0.35">
      <c r="A1357" s="85">
        <v>45919</v>
      </c>
      <c r="B1357">
        <v>1188.0899999999999</v>
      </c>
      <c r="C1357">
        <f t="shared" si="42"/>
        <v>-1.2073739616334459E-2</v>
      </c>
      <c r="E1357" s="86">
        <v>45919</v>
      </c>
      <c r="F1357" s="87">
        <v>25327.05078125</v>
      </c>
      <c r="G1357" s="88">
        <f t="shared" si="43"/>
        <v>-3.7976065391384403E-3</v>
      </c>
    </row>
    <row r="1358" spans="1:7" ht="14.25" customHeight="1" x14ac:dyDescent="0.35">
      <c r="A1358" s="85">
        <v>45922</v>
      </c>
      <c r="B1358">
        <v>1181.92</v>
      </c>
      <c r="C1358">
        <f t="shared" si="42"/>
        <v>-5.1932092686579681E-3</v>
      </c>
      <c r="E1358" s="86">
        <v>45922</v>
      </c>
      <c r="F1358" s="87">
        <v>25202.349609375</v>
      </c>
      <c r="G1358" s="88">
        <f t="shared" si="43"/>
        <v>-4.9236357186648108E-3</v>
      </c>
    </row>
    <row r="1359" spans="1:7" ht="14.25" customHeight="1" x14ac:dyDescent="0.35">
      <c r="A1359" s="85">
        <v>45923</v>
      </c>
      <c r="B1359">
        <v>1162.1300000000001</v>
      </c>
      <c r="C1359">
        <f t="shared" si="42"/>
        <v>-1.6743942060376306E-2</v>
      </c>
      <c r="E1359" s="86">
        <v>45923</v>
      </c>
      <c r="F1359" s="87">
        <v>25169.5</v>
      </c>
      <c r="G1359" s="88">
        <f t="shared" si="43"/>
        <v>-1.3034343973539794E-3</v>
      </c>
    </row>
    <row r="1360" spans="1:7" ht="14.25" customHeight="1" x14ac:dyDescent="0.35">
      <c r="A1360" s="85">
        <v>45924</v>
      </c>
      <c r="B1360">
        <v>1172.27</v>
      </c>
      <c r="C1360">
        <f t="shared" si="42"/>
        <v>8.7253577482724574E-3</v>
      </c>
      <c r="E1360" s="86">
        <v>45924</v>
      </c>
      <c r="F1360" s="87">
        <v>25056.900390625</v>
      </c>
      <c r="G1360" s="88">
        <f t="shared" si="43"/>
        <v>-4.4736530076084149E-3</v>
      </c>
    </row>
    <row r="1361" spans="1:7" ht="14.25" customHeight="1" x14ac:dyDescent="0.35">
      <c r="A1361" s="85">
        <v>45925</v>
      </c>
      <c r="B1361">
        <v>1167.2</v>
      </c>
      <c r="C1361">
        <f t="shared" si="42"/>
        <v>-4.3249422061469936E-3</v>
      </c>
      <c r="E1361" s="86">
        <v>45925</v>
      </c>
      <c r="F1361" s="87">
        <v>24890.849609375</v>
      </c>
      <c r="G1361" s="88">
        <f t="shared" si="43"/>
        <v>-6.6269482123226878E-3</v>
      </c>
    </row>
    <row r="1362" spans="1:7" ht="14.25" customHeight="1" x14ac:dyDescent="0.35">
      <c r="A1362" s="85">
        <v>45926</v>
      </c>
      <c r="B1362">
        <v>1156.3599999999999</v>
      </c>
      <c r="C1362">
        <f t="shared" si="42"/>
        <v>-9.2871830020563265E-3</v>
      </c>
      <c r="E1362" s="86">
        <v>45926</v>
      </c>
      <c r="F1362" s="87">
        <v>24654.69921875</v>
      </c>
      <c r="G1362" s="88">
        <f t="shared" si="43"/>
        <v>-9.4874379272315099E-3</v>
      </c>
    </row>
    <row r="1363" spans="1:7" ht="14.25" customHeight="1" x14ac:dyDescent="0.35">
      <c r="A1363" s="85">
        <v>45929</v>
      </c>
      <c r="B1363">
        <v>1146.31</v>
      </c>
      <c r="C1363">
        <f t="shared" si="42"/>
        <v>-8.6910650662423081E-3</v>
      </c>
      <c r="E1363" s="86">
        <v>45929</v>
      </c>
      <c r="F1363" s="87">
        <v>24634.900390625</v>
      </c>
      <c r="G1363" s="88">
        <f t="shared" si="43"/>
        <v>-8.030448049409952E-4</v>
      </c>
    </row>
    <row r="1364" spans="1:7" ht="14.25" customHeight="1" x14ac:dyDescent="0.35">
      <c r="A1364" s="85">
        <v>45930</v>
      </c>
      <c r="B1364">
        <v>1146.71</v>
      </c>
      <c r="C1364">
        <f t="shared" si="42"/>
        <v>3.4894574765996196E-4</v>
      </c>
      <c r="E1364" s="86">
        <v>45930</v>
      </c>
      <c r="F1364" s="87">
        <v>24611.099609375</v>
      </c>
      <c r="G1364" s="88">
        <f t="shared" si="43"/>
        <v>-9.6614075448251335E-4</v>
      </c>
    </row>
    <row r="1365" spans="1:7" ht="14.25" customHeight="1" x14ac:dyDescent="0.35">
      <c r="A1365" s="85">
        <v>45931</v>
      </c>
      <c r="B1365">
        <v>1160.1400000000001</v>
      </c>
      <c r="C1365">
        <f t="shared" si="42"/>
        <v>1.1711766706490798E-2</v>
      </c>
      <c r="E1365" s="86">
        <v>45931</v>
      </c>
      <c r="F1365" s="87">
        <v>24836.30078125</v>
      </c>
      <c r="G1365" s="88">
        <f t="shared" si="43"/>
        <v>9.1503904924758045E-3</v>
      </c>
    </row>
    <row r="1366" spans="1:7" ht="14.25" customHeight="1" x14ac:dyDescent="0.35">
      <c r="A1366" s="85">
        <v>45933</v>
      </c>
      <c r="B1366">
        <v>1163.6199999999999</v>
      </c>
      <c r="C1366">
        <f t="shared" si="42"/>
        <v>2.9996379747270073E-3</v>
      </c>
      <c r="E1366" s="86">
        <v>45933</v>
      </c>
      <c r="F1366" s="87">
        <v>24894.25</v>
      </c>
      <c r="G1366" s="88">
        <f t="shared" si="43"/>
        <v>2.3332467769817144E-3</v>
      </c>
    </row>
    <row r="1367" spans="1:7" ht="14.25" customHeight="1" x14ac:dyDescent="0.35">
      <c r="A1367" s="85">
        <v>45936</v>
      </c>
      <c r="B1367">
        <v>1175.3499999999999</v>
      </c>
      <c r="C1367">
        <f t="shared" si="42"/>
        <v>1.0080610508585294E-2</v>
      </c>
      <c r="E1367" s="86">
        <v>45936</v>
      </c>
      <c r="F1367" s="87">
        <v>25077.650390625</v>
      </c>
      <c r="G1367" s="88">
        <f t="shared" si="43"/>
        <v>7.3671787912871446E-3</v>
      </c>
    </row>
    <row r="1368" spans="1:7" ht="14.25" customHeight="1" x14ac:dyDescent="0.35">
      <c r="A1368" s="85">
        <v>45937</v>
      </c>
      <c r="B1368">
        <v>1170.48</v>
      </c>
      <c r="C1368">
        <f t="shared" si="42"/>
        <v>-4.1434466329177619E-3</v>
      </c>
      <c r="E1368" s="86">
        <v>45937</v>
      </c>
      <c r="F1368" s="87">
        <v>25108.30078125</v>
      </c>
      <c r="G1368" s="88">
        <f t="shared" si="43"/>
        <v>1.2222193924698109E-3</v>
      </c>
    </row>
    <row r="1369" spans="1:7" ht="14.25" customHeight="1" x14ac:dyDescent="0.35">
      <c r="A1369" s="85">
        <v>45938</v>
      </c>
      <c r="B1369">
        <v>1174.1600000000001</v>
      </c>
      <c r="C1369">
        <f t="shared" si="42"/>
        <v>3.1440092953318841E-3</v>
      </c>
      <c r="E1369" s="86">
        <v>45938</v>
      </c>
      <c r="F1369" s="87">
        <v>25046.150390625</v>
      </c>
      <c r="G1369" s="88">
        <f t="shared" si="43"/>
        <v>-2.4752925801897249E-3</v>
      </c>
    </row>
    <row r="1370" spans="1:7" ht="14.25" customHeight="1" x14ac:dyDescent="0.35">
      <c r="A1370" s="85">
        <v>45939</v>
      </c>
      <c r="B1370">
        <v>1181.42</v>
      </c>
      <c r="C1370">
        <f t="shared" si="42"/>
        <v>6.1831436942154311E-3</v>
      </c>
      <c r="E1370" s="86">
        <v>45939</v>
      </c>
      <c r="F1370" s="87">
        <v>25181.80078125</v>
      </c>
      <c r="G1370" s="88">
        <f t="shared" si="43"/>
        <v>5.4160175719369296E-3</v>
      </c>
    </row>
    <row r="1371" spans="1:7" ht="14.25" customHeight="1" x14ac:dyDescent="0.35">
      <c r="A1371" s="85">
        <v>45940</v>
      </c>
      <c r="B1371">
        <v>1193.06</v>
      </c>
      <c r="C1371">
        <f t="shared" si="42"/>
        <v>9.8525503208002838E-3</v>
      </c>
      <c r="E1371" s="86">
        <v>45940</v>
      </c>
      <c r="F1371" s="87">
        <v>25285.349609375</v>
      </c>
      <c r="G1371" s="88">
        <f t="shared" si="43"/>
        <v>4.1120501676790702E-3</v>
      </c>
    </row>
    <row r="1372" spans="1:7" ht="14.25" customHeight="1" x14ac:dyDescent="0.35">
      <c r="A1372" s="85">
        <v>45943</v>
      </c>
      <c r="B1372">
        <v>1181.72</v>
      </c>
      <c r="C1372">
        <f t="shared" si="42"/>
        <v>-9.5049704122172549E-3</v>
      </c>
      <c r="E1372" s="86">
        <v>45943</v>
      </c>
      <c r="F1372" s="87">
        <v>25227.349609375</v>
      </c>
      <c r="G1372" s="88">
        <f t="shared" si="43"/>
        <v>-2.2938183927065595E-3</v>
      </c>
    </row>
    <row r="1373" spans="1:7" ht="14.25" customHeight="1" x14ac:dyDescent="0.35">
      <c r="A1373" s="85">
        <v>45944</v>
      </c>
      <c r="B1373">
        <v>1169.19</v>
      </c>
      <c r="C1373">
        <f t="shared" si="42"/>
        <v>-1.0603188572589083E-2</v>
      </c>
      <c r="E1373" s="86">
        <v>45944</v>
      </c>
      <c r="F1373" s="87">
        <v>25145.5</v>
      </c>
      <c r="G1373" s="88">
        <f t="shared" si="43"/>
        <v>-3.2444791324643557E-3</v>
      </c>
    </row>
    <row r="1374" spans="1:7" ht="14.25" customHeight="1" x14ac:dyDescent="0.35">
      <c r="A1374" s="85">
        <v>45945</v>
      </c>
      <c r="B1374">
        <v>1214.8399999999999</v>
      </c>
      <c r="C1374">
        <f t="shared" si="42"/>
        <v>3.9044124564869574E-2</v>
      </c>
      <c r="E1374" s="86">
        <v>45945</v>
      </c>
      <c r="F1374" s="87">
        <v>25323.55078125</v>
      </c>
      <c r="G1374" s="88">
        <f t="shared" si="43"/>
        <v>7.0808208725219226E-3</v>
      </c>
    </row>
    <row r="1375" spans="1:7" ht="14.25" customHeight="1" x14ac:dyDescent="0.35">
      <c r="A1375" s="85">
        <v>45946</v>
      </c>
      <c r="B1375">
        <v>1269.74</v>
      </c>
      <c r="C1375">
        <f t="shared" si="42"/>
        <v>4.5191136281321077E-2</v>
      </c>
      <c r="E1375" s="86">
        <v>45946</v>
      </c>
      <c r="F1375" s="87">
        <v>25585.30078125</v>
      </c>
      <c r="G1375" s="88">
        <f t="shared" si="43"/>
        <v>1.0336228211479895E-2</v>
      </c>
    </row>
    <row r="1376" spans="1:7" ht="14.25" customHeight="1" x14ac:dyDescent="0.35">
      <c r="A1376" s="85">
        <v>45947</v>
      </c>
      <c r="B1376">
        <v>1282.58</v>
      </c>
      <c r="C1376">
        <f t="shared" si="42"/>
        <v>1.0112306456439837E-2</v>
      </c>
      <c r="E1376" s="86">
        <v>45947</v>
      </c>
      <c r="F1376" s="87">
        <v>25709.849609375</v>
      </c>
      <c r="G1376" s="88">
        <f t="shared" si="43"/>
        <v>4.8679837376105692E-3</v>
      </c>
    </row>
    <row r="1377" spans="1:7" ht="14.25" customHeight="1" x14ac:dyDescent="0.35">
      <c r="A1377" s="85">
        <v>45950</v>
      </c>
      <c r="B1377">
        <v>1278.5</v>
      </c>
      <c r="C1377">
        <f t="shared" si="42"/>
        <v>-3.1810881192595609E-3</v>
      </c>
      <c r="E1377" s="86">
        <v>45950</v>
      </c>
      <c r="F1377" s="87">
        <v>25843.150390625</v>
      </c>
      <c r="G1377" s="88">
        <f t="shared" si="43"/>
        <v>5.1848137299641134E-3</v>
      </c>
    </row>
    <row r="1378" spans="1:7" ht="14.25" customHeight="1" x14ac:dyDescent="0.35">
      <c r="A1378" s="85">
        <v>45951</v>
      </c>
      <c r="B1378">
        <v>1280.3900000000001</v>
      </c>
      <c r="C1378">
        <f t="shared" si="42"/>
        <v>1.4782948768088384E-3</v>
      </c>
      <c r="E1378" s="86">
        <v>45951</v>
      </c>
      <c r="F1378" s="87">
        <v>25868.599609375</v>
      </c>
      <c r="G1378" s="88">
        <f t="shared" si="43"/>
        <v>9.8475682590277742E-4</v>
      </c>
    </row>
    <row r="1379" spans="1:7" ht="14.25" customHeight="1" x14ac:dyDescent="0.35">
      <c r="A1379" s="85">
        <v>45953</v>
      </c>
      <c r="B1379">
        <v>1265.96</v>
      </c>
      <c r="C1379">
        <f t="shared" si="42"/>
        <v>-1.1270003670756616E-2</v>
      </c>
      <c r="E1379" s="86">
        <v>45953</v>
      </c>
      <c r="F1379" s="87">
        <v>25891.400390625</v>
      </c>
      <c r="G1379" s="88">
        <f t="shared" si="43"/>
        <v>8.8140763683770514E-4</v>
      </c>
    </row>
    <row r="1380" spans="1:7" ht="14.25" customHeight="1" x14ac:dyDescent="0.35">
      <c r="A1380" s="85">
        <v>45954</v>
      </c>
      <c r="B1380">
        <v>1275.1199999999999</v>
      </c>
      <c r="C1380">
        <f t="shared" si="42"/>
        <v>7.2356156592624206E-3</v>
      </c>
      <c r="E1380" s="86">
        <v>45954</v>
      </c>
      <c r="F1380" s="87">
        <v>25795.150390625</v>
      </c>
      <c r="G1380" s="88">
        <f t="shared" si="43"/>
        <v>-3.7174505259611641E-3</v>
      </c>
    </row>
    <row r="1381" spans="1:7" ht="14.25" customHeight="1" x14ac:dyDescent="0.35">
      <c r="A1381" s="85">
        <v>45957</v>
      </c>
      <c r="B1381">
        <v>1276.1099999999999</v>
      </c>
      <c r="C1381">
        <f t="shared" si="42"/>
        <v>7.7639751552795752E-4</v>
      </c>
      <c r="E1381" s="86">
        <v>45957</v>
      </c>
      <c r="F1381" s="87">
        <v>25966.05078125</v>
      </c>
      <c r="G1381" s="88">
        <f t="shared" si="43"/>
        <v>6.6252915000298701E-3</v>
      </c>
    </row>
    <row r="1382" spans="1:7" ht="14.25" customHeight="1" x14ac:dyDescent="0.35">
      <c r="A1382" s="85">
        <v>45958</v>
      </c>
      <c r="B1382">
        <v>1264.17</v>
      </c>
      <c r="C1382">
        <f t="shared" si="42"/>
        <v>-9.3565601711449852E-3</v>
      </c>
      <c r="E1382" s="86">
        <v>45958</v>
      </c>
      <c r="F1382" s="87">
        <v>25936.19921875</v>
      </c>
      <c r="G1382" s="88">
        <f t="shared" si="43"/>
        <v>-1.1496381468049702E-3</v>
      </c>
    </row>
    <row r="1383" spans="1:7" ht="14.25" customHeight="1" x14ac:dyDescent="0.35">
      <c r="A1383" s="85">
        <v>45959</v>
      </c>
      <c r="B1383">
        <v>1266.1600000000001</v>
      </c>
      <c r="C1383">
        <f t="shared" si="42"/>
        <v>1.5741553746727172E-3</v>
      </c>
      <c r="E1383" s="86">
        <v>45959</v>
      </c>
      <c r="F1383" s="87">
        <v>26053.900390625</v>
      </c>
      <c r="G1383" s="88">
        <f t="shared" si="43"/>
        <v>4.5381040946782421E-3</v>
      </c>
    </row>
    <row r="1384" spans="1:7" ht="14.25" customHeight="1" x14ac:dyDescent="0.35">
      <c r="A1384" s="85">
        <v>45960</v>
      </c>
      <c r="B1384">
        <v>1273.03</v>
      </c>
      <c r="C1384">
        <f t="shared" si="42"/>
        <v>5.4258545523471679E-3</v>
      </c>
      <c r="E1384" s="86">
        <v>45960</v>
      </c>
      <c r="F1384" s="87">
        <v>25877.849609375</v>
      </c>
      <c r="G1384" s="88">
        <f t="shared" si="43"/>
        <v>-6.7571756478100502E-3</v>
      </c>
    </row>
    <row r="1385" spans="1:7" ht="14.25" customHeight="1" x14ac:dyDescent="0.35">
      <c r="A1385" s="85">
        <v>45961</v>
      </c>
      <c r="B1385">
        <v>1264.77</v>
      </c>
      <c r="C1385">
        <f t="shared" si="42"/>
        <v>-6.4884566742339075E-3</v>
      </c>
      <c r="E1385" s="86">
        <v>45961</v>
      </c>
      <c r="F1385" s="87">
        <v>25722.099609375</v>
      </c>
      <c r="G1385" s="88">
        <f t="shared" si="43"/>
        <v>-6.0186608373972101E-3</v>
      </c>
    </row>
    <row r="1386" spans="1:7" ht="14.25" customHeight="1" x14ac:dyDescent="0.35">
      <c r="A1386" s="85">
        <v>45964</v>
      </c>
      <c r="B1386">
        <v>1259.9000000000001</v>
      </c>
      <c r="C1386">
        <f t="shared" si="42"/>
        <v>-3.8505024628983065E-3</v>
      </c>
      <c r="E1386" s="86">
        <v>45964</v>
      </c>
      <c r="F1386" s="87">
        <v>25763.349609375</v>
      </c>
      <c r="G1386" s="88">
        <f t="shared" si="43"/>
        <v>1.6036793506920993E-3</v>
      </c>
    </row>
    <row r="1387" spans="1:7" ht="14.25" customHeight="1" x14ac:dyDescent="0.35">
      <c r="A1387" s="85">
        <v>45965</v>
      </c>
      <c r="B1387">
        <v>1258.21</v>
      </c>
      <c r="C1387">
        <f t="shared" si="42"/>
        <v>-1.3413762997063691E-3</v>
      </c>
      <c r="E1387" s="86">
        <v>45965</v>
      </c>
      <c r="F1387" s="87">
        <v>25597.650390625</v>
      </c>
      <c r="G1387" s="88">
        <f t="shared" si="43"/>
        <v>-6.4315867797603409E-3</v>
      </c>
    </row>
    <row r="1388" spans="1:7" ht="14.25" customHeight="1" x14ac:dyDescent="0.35">
      <c r="A1388" s="85">
        <v>45967</v>
      </c>
      <c r="B1388">
        <v>1259.3</v>
      </c>
      <c r="C1388">
        <f t="shared" si="42"/>
        <v>8.6631007542454608E-4</v>
      </c>
      <c r="E1388" s="86">
        <v>45967</v>
      </c>
      <c r="F1388" s="87">
        <v>25509.69921875</v>
      </c>
      <c r="G1388" s="88">
        <f t="shared" si="43"/>
        <v>-3.4359080045569977E-3</v>
      </c>
    </row>
    <row r="1389" spans="1:7" ht="14.25" customHeight="1" x14ac:dyDescent="0.35">
      <c r="A1389" s="85">
        <v>45968</v>
      </c>
      <c r="B1389">
        <v>1255.92</v>
      </c>
      <c r="C1389">
        <f t="shared" si="42"/>
        <v>-2.6840308107677932E-3</v>
      </c>
      <c r="E1389" s="86">
        <v>45968</v>
      </c>
      <c r="F1389" s="87">
        <v>25492.30078125</v>
      </c>
      <c r="G1389" s="88">
        <f t="shared" si="43"/>
        <v>-6.8203224784445498E-4</v>
      </c>
    </row>
    <row r="1390" spans="1:7" ht="14.25" customHeight="1" x14ac:dyDescent="0.35">
      <c r="A1390" s="85">
        <v>45971</v>
      </c>
      <c r="B1390">
        <v>1256.1199999999999</v>
      </c>
      <c r="C1390">
        <f t="shared" si="42"/>
        <v>1.592458118350039E-4</v>
      </c>
      <c r="E1390" s="86">
        <v>45971</v>
      </c>
      <c r="F1390" s="87">
        <v>25574.349609375</v>
      </c>
      <c r="G1390" s="88">
        <f t="shared" si="43"/>
        <v>3.2185728871263058E-3</v>
      </c>
    </row>
    <row r="1391" spans="1:7" ht="14.25" customHeight="1" x14ac:dyDescent="0.35">
      <c r="A1391" s="85">
        <v>45972</v>
      </c>
      <c r="B1391">
        <v>1261.29</v>
      </c>
      <c r="C1391">
        <f t="shared" si="42"/>
        <v>4.1158488042544288E-3</v>
      </c>
      <c r="E1391" s="86">
        <v>45972</v>
      </c>
      <c r="F1391" s="87">
        <v>25694.94921875</v>
      </c>
      <c r="G1391" s="88">
        <f t="shared" si="43"/>
        <v>4.7156471705849679E-3</v>
      </c>
    </row>
    <row r="1392" spans="1:7" ht="14.25" customHeight="1" x14ac:dyDescent="0.35">
      <c r="A1392" s="85">
        <v>45973</v>
      </c>
      <c r="B1392">
        <v>1271.3399999999999</v>
      </c>
      <c r="C1392">
        <f t="shared" si="42"/>
        <v>7.9680327283970821E-3</v>
      </c>
      <c r="E1392" s="86">
        <v>45973</v>
      </c>
      <c r="F1392" s="87">
        <v>25875.80078125</v>
      </c>
      <c r="G1392" s="88">
        <f t="shared" si="43"/>
        <v>7.0384090258497119E-3</v>
      </c>
    </row>
    <row r="1393" spans="1:7" ht="14.25" customHeight="1" x14ac:dyDescent="0.35">
      <c r="A1393" s="85">
        <v>45974</v>
      </c>
      <c r="B1393">
        <v>1268.3499999999999</v>
      </c>
      <c r="C1393">
        <f t="shared" si="42"/>
        <v>-2.3518492299463632E-3</v>
      </c>
      <c r="E1393" s="86">
        <v>45974</v>
      </c>
      <c r="F1393" s="87">
        <v>25879.150390625</v>
      </c>
      <c r="G1393" s="88">
        <f t="shared" si="43"/>
        <v>1.2944949620369539E-4</v>
      </c>
    </row>
    <row r="1394" spans="1:7" ht="14.25" customHeight="1" x14ac:dyDescent="0.35">
      <c r="A1394" s="85">
        <v>45975</v>
      </c>
      <c r="B1394">
        <v>1264.77</v>
      </c>
      <c r="C1394">
        <f t="shared" si="42"/>
        <v>-2.8225647494776107E-3</v>
      </c>
      <c r="E1394" s="86">
        <v>45975</v>
      </c>
      <c r="F1394" s="87">
        <v>25910.05078125</v>
      </c>
      <c r="G1394" s="88">
        <f t="shared" si="43"/>
        <v>1.1940264714483827E-3</v>
      </c>
    </row>
    <row r="1395" spans="1:7" ht="14.25" customHeight="1" x14ac:dyDescent="0.35">
      <c r="A1395" s="85">
        <v>45978</v>
      </c>
      <c r="B1395">
        <v>1263.48</v>
      </c>
      <c r="C1395">
        <f t="shared" si="42"/>
        <v>-1.0199482909935907E-3</v>
      </c>
      <c r="E1395" s="86">
        <v>45978</v>
      </c>
      <c r="F1395" s="87">
        <v>26013.44921875</v>
      </c>
      <c r="G1395" s="88">
        <f t="shared" si="43"/>
        <v>3.9906690408659891E-3</v>
      </c>
    </row>
    <row r="1396" spans="1:7" ht="14.25" customHeight="1" x14ac:dyDescent="0.35">
      <c r="A1396" s="85">
        <v>45979</v>
      </c>
      <c r="B1396">
        <v>1258.31</v>
      </c>
      <c r="C1396">
        <f t="shared" si="42"/>
        <v>-4.0918732389907814E-3</v>
      </c>
      <c r="E1396" s="86">
        <v>45979</v>
      </c>
      <c r="F1396" s="87">
        <v>25910.05078125</v>
      </c>
      <c r="G1396" s="88">
        <f t="shared" si="43"/>
        <v>-3.974806902018682E-3</v>
      </c>
    </row>
    <row r="1397" spans="1:7" ht="14.25" customHeight="1" x14ac:dyDescent="0.35">
      <c r="A1397" s="85">
        <v>45980</v>
      </c>
      <c r="B1397">
        <v>1272.1300000000001</v>
      </c>
      <c r="C1397">
        <f t="shared" si="42"/>
        <v>1.0982985114955905E-2</v>
      </c>
      <c r="E1397" s="86">
        <v>45980</v>
      </c>
      <c r="F1397" s="87">
        <v>26052.650390625</v>
      </c>
      <c r="G1397" s="88">
        <f t="shared" si="43"/>
        <v>5.503640675154263E-3</v>
      </c>
    </row>
    <row r="1398" spans="1:7" ht="14.25" customHeight="1" x14ac:dyDescent="0.35">
      <c r="A1398" s="85">
        <v>45981</v>
      </c>
      <c r="B1398">
        <v>1272.33</v>
      </c>
      <c r="C1398">
        <f t="shared" si="42"/>
        <v>1.5721663666434883E-4</v>
      </c>
      <c r="E1398" s="86">
        <v>45981</v>
      </c>
      <c r="F1398" s="87">
        <v>26192.150390625</v>
      </c>
      <c r="G1398" s="88">
        <f t="shared" si="43"/>
        <v>5.3545415882216276E-3</v>
      </c>
    </row>
    <row r="1399" spans="1:7" ht="14.25" customHeight="1" x14ac:dyDescent="0.35">
      <c r="A1399" s="85">
        <v>45982</v>
      </c>
      <c r="B1399">
        <v>1273.82</v>
      </c>
      <c r="C1399">
        <f t="shared" si="42"/>
        <v>1.1710798299183461E-3</v>
      </c>
      <c r="E1399" s="86">
        <v>45982</v>
      </c>
      <c r="F1399" s="87">
        <v>26068.150390625</v>
      </c>
      <c r="G1399" s="88">
        <f t="shared" si="43"/>
        <v>-4.7342428227803521E-3</v>
      </c>
    </row>
    <row r="1400" spans="1:7" ht="14.25" customHeight="1" x14ac:dyDescent="0.35">
      <c r="A1400" s="85">
        <v>45985</v>
      </c>
      <c r="B1400">
        <v>1262.3800000000001</v>
      </c>
      <c r="C1400">
        <f t="shared" si="42"/>
        <v>-8.9808607181547061E-3</v>
      </c>
      <c r="E1400" s="86">
        <v>45985</v>
      </c>
      <c r="F1400" s="87">
        <v>25959.5</v>
      </c>
      <c r="G1400" s="88">
        <f t="shared" si="43"/>
        <v>-4.167936312968119E-3</v>
      </c>
    </row>
    <row r="1401" spans="1:7" ht="14.25" customHeight="1" x14ac:dyDescent="0.35">
      <c r="A1401" s="85">
        <v>45986</v>
      </c>
      <c r="B1401">
        <v>1256.42</v>
      </c>
      <c r="C1401">
        <f t="shared" si="42"/>
        <v>-4.7212408308116701E-3</v>
      </c>
      <c r="E1401" s="86">
        <v>45986</v>
      </c>
      <c r="F1401" s="87">
        <v>25884.80078125</v>
      </c>
      <c r="G1401" s="88">
        <f t="shared" si="43"/>
        <v>-2.8775291800689534E-3</v>
      </c>
    </row>
    <row r="1402" spans="1:7" ht="14.25" customHeight="1" x14ac:dyDescent="0.35">
      <c r="A1402" s="85">
        <v>45987</v>
      </c>
      <c r="B1402">
        <v>1269.94</v>
      </c>
      <c r="C1402">
        <f t="shared" si="42"/>
        <v>1.076073287594911E-2</v>
      </c>
      <c r="E1402" s="86">
        <v>45987</v>
      </c>
      <c r="F1402" s="87">
        <v>26205.30078125</v>
      </c>
      <c r="G1402" s="88">
        <f t="shared" si="43"/>
        <v>1.2381783530362669E-2</v>
      </c>
    </row>
    <row r="1403" spans="1:7" ht="14.25" customHeight="1" x14ac:dyDescent="0.35">
      <c r="A1403" s="85">
        <v>45988</v>
      </c>
      <c r="B1403">
        <v>1259.5999999999999</v>
      </c>
      <c r="C1403">
        <f t="shared" si="42"/>
        <v>-8.1421169504072195E-3</v>
      </c>
      <c r="E1403" s="86">
        <v>45988</v>
      </c>
      <c r="F1403" s="87">
        <v>26215.55078125</v>
      </c>
      <c r="G1403" s="88">
        <f t="shared" si="43"/>
        <v>3.9114223818922608E-4</v>
      </c>
    </row>
    <row r="1404" spans="1:7" ht="14.25" customHeight="1" x14ac:dyDescent="0.35">
      <c r="A1404" s="85">
        <v>45989</v>
      </c>
      <c r="B1404">
        <v>1254.33</v>
      </c>
      <c r="C1404">
        <f t="shared" si="42"/>
        <v>-4.1838678945696909E-3</v>
      </c>
      <c r="E1404" s="86">
        <v>45989</v>
      </c>
      <c r="F1404" s="87">
        <v>26202.94921875</v>
      </c>
      <c r="G1404" s="88">
        <f t="shared" si="43"/>
        <v>-4.8069035837358583E-4</v>
      </c>
    </row>
    <row r="1405" spans="1:7" ht="14.25" customHeight="1" x14ac:dyDescent="0.35">
      <c r="A1405" s="85">
        <v>45992</v>
      </c>
      <c r="B1405">
        <v>1253.83</v>
      </c>
      <c r="C1405">
        <f t="shared" si="42"/>
        <v>-3.986191831495699E-4</v>
      </c>
      <c r="E1405" s="86">
        <v>45992</v>
      </c>
      <c r="F1405" s="87">
        <v>26175.75</v>
      </c>
      <c r="G1405" s="88">
        <f t="shared" si="43"/>
        <v>-1.0380212747402153E-3</v>
      </c>
    </row>
    <row r="1406" spans="1:7" ht="14.25" customHeight="1" x14ac:dyDescent="0.35">
      <c r="A1406" s="85">
        <v>45993</v>
      </c>
      <c r="B1406">
        <v>1252.1400000000001</v>
      </c>
      <c r="C1406">
        <f t="shared" si="42"/>
        <v>-1.3478701259340001E-3</v>
      </c>
      <c r="E1406" s="86">
        <v>45993</v>
      </c>
      <c r="F1406" s="87">
        <v>26032.19921875</v>
      </c>
      <c r="G1406" s="88">
        <f t="shared" si="43"/>
        <v>-5.4841133969418263E-3</v>
      </c>
    </row>
    <row r="1407" spans="1:7" ht="14.25" customHeight="1" x14ac:dyDescent="0.35">
      <c r="A1407" s="85">
        <v>45994</v>
      </c>
      <c r="B1407">
        <v>1235.23</v>
      </c>
      <c r="C1407">
        <f t="shared" si="42"/>
        <v>-1.3504879646046034E-2</v>
      </c>
      <c r="E1407" s="86">
        <v>45994</v>
      </c>
      <c r="F1407" s="87">
        <v>25986</v>
      </c>
      <c r="G1407" s="88">
        <f t="shared" si="43"/>
        <v>-1.7746951904364832E-3</v>
      </c>
    </row>
    <row r="1408" spans="1:7" ht="14.25" customHeight="1" x14ac:dyDescent="0.35">
      <c r="A1408" s="85">
        <v>45995</v>
      </c>
      <c r="B1408">
        <v>1235.73</v>
      </c>
      <c r="C1408">
        <f t="shared" si="42"/>
        <v>4.0478291492272695E-4</v>
      </c>
      <c r="E1408" s="86">
        <v>45995</v>
      </c>
      <c r="F1408" s="87">
        <v>26033.75</v>
      </c>
      <c r="G1408" s="88">
        <f t="shared" si="43"/>
        <v>1.8375278996382667E-3</v>
      </c>
    </row>
    <row r="1409" spans="1:7" ht="14.25" customHeight="1" x14ac:dyDescent="0.35">
      <c r="A1409" s="85">
        <v>45996</v>
      </c>
      <c r="B1409">
        <v>1240.2</v>
      </c>
      <c r="C1409">
        <f t="shared" si="42"/>
        <v>3.6172950401787019E-3</v>
      </c>
      <c r="E1409" s="86">
        <v>45996</v>
      </c>
      <c r="F1409" s="87">
        <v>26186.44921875</v>
      </c>
      <c r="G1409" s="88">
        <f t="shared" si="43"/>
        <v>5.8654330916598644E-3</v>
      </c>
    </row>
    <row r="1410" spans="1:7" ht="14.25" customHeight="1" x14ac:dyDescent="0.35">
      <c r="A1410" s="85">
        <v>45999</v>
      </c>
      <c r="B1410">
        <v>1208.28</v>
      </c>
      <c r="C1410">
        <f t="shared" si="42"/>
        <v>-2.5737784228350324E-2</v>
      </c>
      <c r="E1410" s="86">
        <v>45999</v>
      </c>
      <c r="F1410" s="87">
        <v>25960.55078125</v>
      </c>
      <c r="G1410" s="88">
        <f t="shared" si="43"/>
        <v>-8.6265394598918129E-3</v>
      </c>
    </row>
    <row r="1411" spans="1:7" ht="14.25" customHeight="1" x14ac:dyDescent="0.35">
      <c r="A1411" s="85">
        <v>46000</v>
      </c>
      <c r="B1411">
        <v>1209.27</v>
      </c>
      <c r="C1411">
        <f t="shared" si="42"/>
        <v>8.1934650908730517E-4</v>
      </c>
      <c r="E1411" s="86">
        <v>46000</v>
      </c>
      <c r="F1411" s="87">
        <v>25839.650390625</v>
      </c>
      <c r="G1411" s="88">
        <f t="shared" si="43"/>
        <v>-4.6570811090926572E-3</v>
      </c>
    </row>
    <row r="1412" spans="1:7" ht="14.25" customHeight="1" x14ac:dyDescent="0.35">
      <c r="A1412" s="85">
        <v>46001</v>
      </c>
      <c r="B1412">
        <v>1202.81</v>
      </c>
      <c r="C1412">
        <f t="shared" si="42"/>
        <v>-5.342065874453213E-3</v>
      </c>
      <c r="E1412" s="86">
        <v>46001</v>
      </c>
      <c r="F1412" s="87">
        <v>25758</v>
      </c>
      <c r="G1412" s="88">
        <f t="shared" si="43"/>
        <v>-3.159887590995579E-3</v>
      </c>
    </row>
    <row r="1413" spans="1:7" ht="14.25" customHeight="1" x14ac:dyDescent="0.35">
      <c r="A1413" s="85">
        <v>46002</v>
      </c>
      <c r="B1413">
        <v>1208.48</v>
      </c>
      <c r="C1413">
        <f t="shared" ref="C1413:C1476" si="44">(B1413-B1412)/B1412</f>
        <v>4.7139614735494991E-3</v>
      </c>
      <c r="E1413" s="86">
        <v>46002</v>
      </c>
      <c r="F1413" s="87">
        <v>25898.55078125</v>
      </c>
      <c r="G1413" s="88">
        <f t="shared" ref="G1413:G1476" si="45">(F1413-F1412)/F1412</f>
        <v>5.4565875164997281E-3</v>
      </c>
    </row>
    <row r="1414" spans="1:7" ht="14.25" customHeight="1" x14ac:dyDescent="0.35">
      <c r="A1414" s="85">
        <v>46003</v>
      </c>
      <c r="B1414">
        <v>1231.6500000000001</v>
      </c>
      <c r="C1414">
        <f t="shared" si="44"/>
        <v>1.9172845227062155E-2</v>
      </c>
      <c r="E1414" s="86">
        <v>46003</v>
      </c>
      <c r="F1414" s="87">
        <v>26046.94921875</v>
      </c>
      <c r="G1414" s="88">
        <f t="shared" si="45"/>
        <v>5.7299900196514974E-3</v>
      </c>
    </row>
    <row r="1415" spans="1:7" ht="14.25" customHeight="1" x14ac:dyDescent="0.35">
      <c r="A1415" s="85">
        <v>46006</v>
      </c>
      <c r="B1415">
        <v>1236.82</v>
      </c>
      <c r="C1415">
        <f t="shared" si="44"/>
        <v>4.197621077416348E-3</v>
      </c>
      <c r="E1415" s="86">
        <v>46006</v>
      </c>
      <c r="F1415" s="87">
        <v>26027.30078125</v>
      </c>
      <c r="G1415" s="88">
        <f t="shared" si="45"/>
        <v>-7.5434698071496196E-4</v>
      </c>
    </row>
    <row r="1416" spans="1:7" ht="14.25" customHeight="1" x14ac:dyDescent="0.35">
      <c r="A1416" s="85">
        <v>46007</v>
      </c>
      <c r="B1416">
        <v>1233.94</v>
      </c>
      <c r="C1416">
        <f t="shared" si="44"/>
        <v>-2.3285522549763766E-3</v>
      </c>
      <c r="E1416" s="86">
        <v>46007</v>
      </c>
      <c r="F1416" s="87">
        <v>25860.099609375</v>
      </c>
      <c r="G1416" s="88">
        <f t="shared" si="45"/>
        <v>-6.4240688375742476E-3</v>
      </c>
    </row>
    <row r="1417" spans="1:7" ht="14.25" customHeight="1" x14ac:dyDescent="0.35">
      <c r="A1417" s="85">
        <v>46008</v>
      </c>
      <c r="B1417">
        <v>1227.97</v>
      </c>
      <c r="C1417">
        <f t="shared" si="44"/>
        <v>-4.8381606885262067E-3</v>
      </c>
      <c r="E1417" s="86">
        <v>46008</v>
      </c>
      <c r="F1417" s="87">
        <v>25818.55078125</v>
      </c>
      <c r="G1417" s="88">
        <f t="shared" si="45"/>
        <v>-1.6066770334456639E-3</v>
      </c>
    </row>
    <row r="1418" spans="1:7" ht="14.25" customHeight="1" x14ac:dyDescent="0.35">
      <c r="A1418" s="85">
        <v>46009</v>
      </c>
      <c r="B1418">
        <v>1226.8800000000001</v>
      </c>
      <c r="C1418">
        <f t="shared" si="44"/>
        <v>-8.8764383494704111E-4</v>
      </c>
      <c r="E1418" s="86">
        <v>46009</v>
      </c>
      <c r="F1418" s="87">
        <v>25815.55078125</v>
      </c>
      <c r="G1418" s="88">
        <f t="shared" si="45"/>
        <v>-1.1619552256893776E-4</v>
      </c>
    </row>
    <row r="1419" spans="1:7" ht="14.25" customHeight="1" x14ac:dyDescent="0.35">
      <c r="A1419" s="85">
        <v>46010</v>
      </c>
      <c r="B1419">
        <v>1237.72</v>
      </c>
      <c r="C1419">
        <f t="shared" si="44"/>
        <v>8.8354199269691548E-3</v>
      </c>
      <c r="E1419" s="86">
        <v>46010</v>
      </c>
      <c r="F1419" s="87">
        <v>25966.400390625</v>
      </c>
      <c r="G1419" s="88">
        <f t="shared" si="45"/>
        <v>5.8433620360547577E-3</v>
      </c>
    </row>
    <row r="1420" spans="1:7" ht="14.25" customHeight="1" x14ac:dyDescent="0.35">
      <c r="A1420" s="85">
        <v>46013</v>
      </c>
      <c r="B1420">
        <v>1250.45</v>
      </c>
      <c r="C1420">
        <f t="shared" si="44"/>
        <v>1.028504023527132E-2</v>
      </c>
      <c r="E1420" s="86">
        <v>46013</v>
      </c>
      <c r="F1420" s="87">
        <v>26172.400390625</v>
      </c>
      <c r="G1420" s="88">
        <f t="shared" si="45"/>
        <v>7.9333291061157232E-3</v>
      </c>
    </row>
    <row r="1421" spans="1:7" ht="14.25" customHeight="1" x14ac:dyDescent="0.35">
      <c r="A1421" s="85">
        <v>46014</v>
      </c>
      <c r="B1421">
        <v>1249.75</v>
      </c>
      <c r="C1421">
        <f t="shared" si="44"/>
        <v>-5.5979847254991838E-4</v>
      </c>
      <c r="E1421" s="86">
        <v>46014</v>
      </c>
      <c r="F1421" s="87">
        <v>26177.150390625</v>
      </c>
      <c r="G1421" s="88">
        <f t="shared" si="45"/>
        <v>1.814888939916057E-4</v>
      </c>
    </row>
    <row r="1422" spans="1:7" ht="14.25" customHeight="1" x14ac:dyDescent="0.35">
      <c r="A1422" s="85">
        <v>46015</v>
      </c>
      <c r="B1422">
        <v>1252.94</v>
      </c>
      <c r="C1422">
        <f t="shared" si="44"/>
        <v>2.5525105021004637E-3</v>
      </c>
      <c r="E1422" s="86">
        <v>46015</v>
      </c>
      <c r="F1422" s="87">
        <v>26142.099609375</v>
      </c>
      <c r="G1422" s="88">
        <f t="shared" si="45"/>
        <v>-1.3389838361685454E-3</v>
      </c>
    </row>
    <row r="1423" spans="1:7" ht="14.25" customHeight="1" x14ac:dyDescent="0.35">
      <c r="A1423" s="85">
        <v>46017</v>
      </c>
      <c r="B1423">
        <v>1265.77</v>
      </c>
      <c r="C1423">
        <f t="shared" si="44"/>
        <v>1.0239915718230663E-2</v>
      </c>
      <c r="E1423" s="86">
        <v>46017</v>
      </c>
      <c r="F1423" s="87">
        <v>26042.30078125</v>
      </c>
      <c r="G1423" s="88">
        <f t="shared" si="45"/>
        <v>-3.8175521330050493E-3</v>
      </c>
    </row>
    <row r="1424" spans="1:7" ht="14.25" customHeight="1" x14ac:dyDescent="0.35">
      <c r="A1424" s="85">
        <v>46020</v>
      </c>
      <c r="B1424">
        <v>1273.1300000000001</v>
      </c>
      <c r="C1424">
        <f t="shared" si="44"/>
        <v>5.8146424705911243E-3</v>
      </c>
      <c r="E1424" s="86">
        <v>46020</v>
      </c>
      <c r="F1424" s="87">
        <v>25942.099609375</v>
      </c>
      <c r="G1424" s="88">
        <f t="shared" si="45"/>
        <v>-3.8476313101775974E-3</v>
      </c>
    </row>
    <row r="1425" spans="1:7" ht="14.25" customHeight="1" x14ac:dyDescent="0.35">
      <c r="A1425" s="85">
        <v>46021</v>
      </c>
      <c r="B1425">
        <v>1267.26</v>
      </c>
      <c r="C1425">
        <f t="shared" si="44"/>
        <v>-4.610683905021575E-3</v>
      </c>
      <c r="E1425" s="86">
        <v>46021</v>
      </c>
      <c r="F1425" s="87">
        <v>25938.849609375</v>
      </c>
      <c r="G1425" s="88">
        <f t="shared" si="45"/>
        <v>-1.2527898855285829E-4</v>
      </c>
    </row>
    <row r="1426" spans="1:7" ht="14.25" customHeight="1" x14ac:dyDescent="0.35">
      <c r="A1426" s="85">
        <v>46022</v>
      </c>
      <c r="B1426">
        <v>1281.08</v>
      </c>
      <c r="C1426">
        <f t="shared" si="44"/>
        <v>1.0905417988415902E-2</v>
      </c>
      <c r="E1426" s="86">
        <v>46022</v>
      </c>
      <c r="F1426" s="87">
        <v>26129.599609375</v>
      </c>
      <c r="G1426" s="88">
        <f t="shared" si="45"/>
        <v>7.353834224439075E-3</v>
      </c>
    </row>
    <row r="1427" spans="1:7" ht="14.25" customHeight="1" x14ac:dyDescent="0.35">
      <c r="A1427" s="85">
        <v>46023</v>
      </c>
      <c r="B1427">
        <v>1288.05</v>
      </c>
      <c r="C1427">
        <f t="shared" si="44"/>
        <v>5.4407218909045705E-3</v>
      </c>
      <c r="E1427" s="86">
        <v>46023</v>
      </c>
      <c r="F1427" s="87">
        <v>26146.55078125</v>
      </c>
      <c r="G1427" s="88">
        <f t="shared" si="45"/>
        <v>6.4873446698043217E-4</v>
      </c>
    </row>
    <row r="1428" spans="1:7" ht="14.25" customHeight="1" x14ac:dyDescent="0.35">
      <c r="A1428" s="85">
        <v>46024</v>
      </c>
      <c r="B1428">
        <v>1272.83</v>
      </c>
      <c r="C1428">
        <f t="shared" si="44"/>
        <v>-1.1816311478591692E-2</v>
      </c>
      <c r="E1428" s="86">
        <v>46024</v>
      </c>
      <c r="F1428" s="87">
        <v>26328.55078125</v>
      </c>
      <c r="G1428" s="88">
        <f t="shared" si="45"/>
        <v>6.9607651702386052E-3</v>
      </c>
    </row>
    <row r="1429" spans="1:7" ht="14.25" customHeight="1" x14ac:dyDescent="0.35">
      <c r="A1429" s="85">
        <v>46027</v>
      </c>
      <c r="B1429">
        <v>1307.54</v>
      </c>
      <c r="C1429">
        <f t="shared" si="44"/>
        <v>2.7269941783270382E-2</v>
      </c>
      <c r="E1429" s="86">
        <v>46027</v>
      </c>
      <c r="F1429" s="87">
        <v>26250.30078125</v>
      </c>
      <c r="G1429" s="88">
        <f t="shared" si="45"/>
        <v>-2.9720587604740519E-3</v>
      </c>
    </row>
    <row r="1430" spans="1:7" ht="14.25" customHeight="1" x14ac:dyDescent="0.35">
      <c r="A1430" s="85">
        <v>46028</v>
      </c>
      <c r="B1430">
        <v>1312.81</v>
      </c>
      <c r="C1430">
        <f t="shared" si="44"/>
        <v>4.0304694311454961E-3</v>
      </c>
      <c r="E1430" s="86">
        <v>46028</v>
      </c>
      <c r="F1430" s="87">
        <v>26178.69921875</v>
      </c>
      <c r="G1430" s="88">
        <f t="shared" si="45"/>
        <v>-2.7276473171363958E-3</v>
      </c>
    </row>
    <row r="1431" spans="1:7" ht="14.25" customHeight="1" x14ac:dyDescent="0.35">
      <c r="A1431" s="85">
        <v>46029</v>
      </c>
      <c r="B1431">
        <v>1307.74</v>
      </c>
      <c r="C1431">
        <f t="shared" si="44"/>
        <v>-3.8619449882313027E-3</v>
      </c>
      <c r="E1431" s="86">
        <v>46029</v>
      </c>
      <c r="F1431" s="87">
        <v>26140.75</v>
      </c>
      <c r="G1431" s="88">
        <f t="shared" si="45"/>
        <v>-1.4496220164682432E-3</v>
      </c>
    </row>
    <row r="1432" spans="1:7" ht="14.25" customHeight="1" x14ac:dyDescent="0.35">
      <c r="A1432" s="85">
        <v>46030</v>
      </c>
      <c r="B1432">
        <v>1299.8800000000001</v>
      </c>
      <c r="C1432">
        <f t="shared" si="44"/>
        <v>-6.0103690335998744E-3</v>
      </c>
      <c r="E1432" s="86">
        <v>46030</v>
      </c>
      <c r="F1432" s="87">
        <v>25876.849609375</v>
      </c>
      <c r="G1432" s="88">
        <f t="shared" si="45"/>
        <v>-1.0095364158449929E-2</v>
      </c>
    </row>
    <row r="1433" spans="1:7" ht="14.25" customHeight="1" x14ac:dyDescent="0.35">
      <c r="A1433" s="85">
        <v>46031</v>
      </c>
      <c r="B1433">
        <v>1292.1199999999999</v>
      </c>
      <c r="C1433">
        <f t="shared" si="44"/>
        <v>-5.9697818260148767E-3</v>
      </c>
      <c r="E1433" s="86">
        <v>46031</v>
      </c>
      <c r="F1433" s="87">
        <v>25683.30078125</v>
      </c>
      <c r="G1433" s="88">
        <f t="shared" si="45"/>
        <v>-7.4796132854935563E-3</v>
      </c>
    </row>
    <row r="1434" spans="1:7" ht="14.25" customHeight="1" x14ac:dyDescent="0.35">
      <c r="A1434" s="85">
        <v>46034</v>
      </c>
      <c r="B1434">
        <v>1305.3499999999999</v>
      </c>
      <c r="C1434">
        <f t="shared" si="44"/>
        <v>1.0238987090982277E-2</v>
      </c>
      <c r="E1434" s="86">
        <v>46034</v>
      </c>
      <c r="F1434" s="87">
        <v>25790.25</v>
      </c>
      <c r="G1434" s="88">
        <f t="shared" si="45"/>
        <v>4.1641539637334267E-3</v>
      </c>
    </row>
    <row r="1435" spans="1:7" ht="14.25" customHeight="1" x14ac:dyDescent="0.35">
      <c r="A1435" s="85">
        <v>46035</v>
      </c>
      <c r="B1435">
        <v>1311.62</v>
      </c>
      <c r="C1435">
        <f t="shared" si="44"/>
        <v>4.8033094572336784E-3</v>
      </c>
      <c r="E1435" s="86">
        <v>46035</v>
      </c>
      <c r="F1435" s="87">
        <v>25732.30078125</v>
      </c>
      <c r="G1435" s="88">
        <f t="shared" si="45"/>
        <v>-2.2469428853927357E-3</v>
      </c>
    </row>
    <row r="1436" spans="1:7" ht="14.25" customHeight="1" x14ac:dyDescent="0.35">
      <c r="A1436" s="85">
        <v>46036</v>
      </c>
      <c r="B1436">
        <v>1300.08</v>
      </c>
      <c r="C1436">
        <f t="shared" si="44"/>
        <v>-8.7982799896311158E-3</v>
      </c>
      <c r="E1436" s="86">
        <v>46036</v>
      </c>
      <c r="F1436" s="87">
        <v>25665.599609375</v>
      </c>
      <c r="G1436" s="88">
        <f t="shared" si="45"/>
        <v>-2.5921184600641006E-3</v>
      </c>
    </row>
    <row r="1437" spans="1:7" ht="14.25" customHeight="1" x14ac:dyDescent="0.35">
      <c r="A1437" s="85">
        <v>46038</v>
      </c>
      <c r="B1437">
        <v>1308.83</v>
      </c>
      <c r="C1437">
        <f t="shared" si="44"/>
        <v>6.7303550550735346E-3</v>
      </c>
      <c r="E1437" s="86">
        <v>46038</v>
      </c>
      <c r="F1437" s="87">
        <v>25694.349609375</v>
      </c>
      <c r="G1437" s="88">
        <f t="shared" si="45"/>
        <v>1.1201764399651254E-3</v>
      </c>
    </row>
    <row r="1438" spans="1:7" ht="14.25" customHeight="1" x14ac:dyDescent="0.35">
      <c r="A1438" s="85">
        <v>46041</v>
      </c>
      <c r="B1438">
        <v>1308.54</v>
      </c>
      <c r="C1438">
        <f t="shared" si="44"/>
        <v>-2.2157193829600762E-4</v>
      </c>
      <c r="E1438" s="86">
        <v>46041</v>
      </c>
      <c r="F1438" s="87">
        <v>25585.5</v>
      </c>
      <c r="G1438" s="88">
        <f t="shared" si="45"/>
        <v>-4.2363247573810724E-3</v>
      </c>
    </row>
    <row r="1439" spans="1:7" ht="14.25" customHeight="1" x14ac:dyDescent="0.35">
      <c r="A1439" s="85">
        <v>46042</v>
      </c>
      <c r="B1439">
        <v>1288.74</v>
      </c>
      <c r="C1439">
        <f t="shared" si="44"/>
        <v>-1.5131367783942374E-2</v>
      </c>
      <c r="E1439" s="86">
        <v>46042</v>
      </c>
      <c r="F1439" s="87">
        <v>25232.5</v>
      </c>
      <c r="G1439" s="88">
        <f t="shared" si="45"/>
        <v>-1.3796877137441129E-2</v>
      </c>
    </row>
    <row r="1440" spans="1:7" ht="14.25" customHeight="1" x14ac:dyDescent="0.35">
      <c r="A1440" s="85">
        <v>46043</v>
      </c>
      <c r="B1440">
        <v>1276.31</v>
      </c>
      <c r="C1440">
        <f t="shared" si="44"/>
        <v>-9.6450796902401281E-3</v>
      </c>
      <c r="E1440" s="86">
        <v>46043</v>
      </c>
      <c r="F1440" s="87">
        <v>25157.5</v>
      </c>
      <c r="G1440" s="88">
        <f t="shared" si="45"/>
        <v>-2.9723570791637768E-3</v>
      </c>
    </row>
    <row r="1441" spans="1:7" ht="14.25" customHeight="1" x14ac:dyDescent="0.35">
      <c r="A1441" s="85">
        <v>46044</v>
      </c>
      <c r="B1441">
        <v>1298.99</v>
      </c>
      <c r="C1441">
        <f t="shared" si="44"/>
        <v>1.776997751330011E-2</v>
      </c>
      <c r="E1441" s="86">
        <v>46044</v>
      </c>
      <c r="F1441" s="87">
        <v>25289.900390625</v>
      </c>
      <c r="G1441" s="88">
        <f t="shared" si="45"/>
        <v>5.2628596094603996E-3</v>
      </c>
    </row>
    <row r="1442" spans="1:7" ht="14.25" customHeight="1" x14ac:dyDescent="0.35">
      <c r="A1442" s="85">
        <v>46045</v>
      </c>
      <c r="B1442">
        <v>1286.8499999999999</v>
      </c>
      <c r="C1442">
        <f t="shared" si="44"/>
        <v>-9.3457224459003539E-3</v>
      </c>
      <c r="E1442" s="86">
        <v>46045</v>
      </c>
      <c r="F1442" s="87">
        <v>25048.650390625</v>
      </c>
      <c r="G1442" s="88">
        <f t="shared" si="45"/>
        <v>-9.5393811867061241E-3</v>
      </c>
    </row>
    <row r="1443" spans="1:7" ht="14.25" customHeight="1" x14ac:dyDescent="0.35">
      <c r="A1443" s="85">
        <v>46049</v>
      </c>
      <c r="B1443">
        <v>1296.3</v>
      </c>
      <c r="C1443">
        <f t="shared" si="44"/>
        <v>7.3435132299802201E-3</v>
      </c>
      <c r="E1443" s="86">
        <v>46049</v>
      </c>
      <c r="F1443" s="87">
        <v>25175.400390625</v>
      </c>
      <c r="G1443" s="88">
        <f t="shared" si="45"/>
        <v>5.0601528634628126E-3</v>
      </c>
    </row>
    <row r="1444" spans="1:7" ht="14.25" customHeight="1" x14ac:dyDescent="0.35">
      <c r="A1444" s="85">
        <v>46050</v>
      </c>
      <c r="B1444">
        <v>1285.46</v>
      </c>
      <c r="C1444">
        <f t="shared" si="44"/>
        <v>-8.3622618221090173E-3</v>
      </c>
      <c r="E1444" s="86">
        <v>46050</v>
      </c>
      <c r="F1444" s="87">
        <v>25342.75</v>
      </c>
      <c r="G1444" s="88">
        <f t="shared" si="45"/>
        <v>6.6473464881741809E-3</v>
      </c>
    </row>
    <row r="1445" spans="1:7" ht="14.25" customHeight="1" x14ac:dyDescent="0.35">
      <c r="A1445" s="85">
        <v>46051</v>
      </c>
      <c r="B1445">
        <v>1280.98</v>
      </c>
      <c r="C1445">
        <f t="shared" si="44"/>
        <v>-3.4851337264481339E-3</v>
      </c>
      <c r="E1445" s="86">
        <v>46051</v>
      </c>
      <c r="F1445" s="87">
        <v>25418.900390625</v>
      </c>
      <c r="G1445" s="88">
        <f t="shared" si="45"/>
        <v>3.004819548983437E-3</v>
      </c>
    </row>
    <row r="1446" spans="1:7" ht="14.25" customHeight="1" x14ac:dyDescent="0.35">
      <c r="A1446" s="85">
        <v>46052</v>
      </c>
      <c r="B1446">
        <v>1325.24</v>
      </c>
      <c r="C1446">
        <f t="shared" si="44"/>
        <v>3.4551671376602283E-2</v>
      </c>
      <c r="E1446" s="86">
        <v>46052</v>
      </c>
      <c r="F1446" s="87">
        <v>25320.650390625</v>
      </c>
      <c r="G1446" s="88">
        <f t="shared" si="45"/>
        <v>-3.8652340774047241E-3</v>
      </c>
    </row>
    <row r="1447" spans="1:7" ht="14.25" customHeight="1" x14ac:dyDescent="0.35">
      <c r="A1447" s="85">
        <v>46055</v>
      </c>
      <c r="B1447">
        <v>1301.27</v>
      </c>
      <c r="C1447">
        <f t="shared" si="44"/>
        <v>-1.8087289849385794E-2</v>
      </c>
      <c r="E1447" s="86">
        <v>46055</v>
      </c>
      <c r="F1447" s="87">
        <v>25088.400390625</v>
      </c>
      <c r="G1447" s="88">
        <f t="shared" si="45"/>
        <v>-9.1723552285209401E-3</v>
      </c>
    </row>
    <row r="1448" spans="1:7" ht="14.25" customHeight="1" x14ac:dyDescent="0.35">
      <c r="A1448" s="85">
        <v>46056</v>
      </c>
      <c r="B1448">
        <v>1300.98</v>
      </c>
      <c r="C1448">
        <f t="shared" si="44"/>
        <v>-2.2285920677489194E-4</v>
      </c>
      <c r="E1448" s="86">
        <v>46056</v>
      </c>
      <c r="F1448" s="87">
        <v>25727.55078125</v>
      </c>
      <c r="G1448" s="88">
        <f t="shared" si="45"/>
        <v>2.5475932330218904E-2</v>
      </c>
    </row>
    <row r="1449" spans="1:7" ht="14.25" customHeight="1" x14ac:dyDescent="0.35">
      <c r="A1449" s="85">
        <v>46057</v>
      </c>
      <c r="B1449">
        <v>1296.2</v>
      </c>
      <c r="C1449">
        <f t="shared" si="44"/>
        <v>-3.6741533305661676E-3</v>
      </c>
      <c r="E1449" s="86">
        <v>46057</v>
      </c>
      <c r="F1449" s="87">
        <v>25776</v>
      </c>
      <c r="G1449" s="88">
        <f t="shared" si="45"/>
        <v>1.8831648283174059E-3</v>
      </c>
    </row>
    <row r="1450" spans="1:7" ht="14.25" customHeight="1" x14ac:dyDescent="0.35">
      <c r="A1450" s="85">
        <v>46058</v>
      </c>
      <c r="B1450">
        <v>1296.5</v>
      </c>
      <c r="C1450">
        <f t="shared" si="44"/>
        <v>2.3144576454247378E-4</v>
      </c>
      <c r="E1450" s="86">
        <v>46058</v>
      </c>
      <c r="F1450" s="87">
        <v>25642.80078125</v>
      </c>
      <c r="G1450" s="88">
        <f t="shared" si="45"/>
        <v>-5.1675674561607694E-3</v>
      </c>
    </row>
    <row r="1451" spans="1:7" ht="14.25" customHeight="1" x14ac:dyDescent="0.35">
      <c r="A1451" s="85">
        <v>46059</v>
      </c>
      <c r="B1451">
        <v>1303.3</v>
      </c>
      <c r="C1451">
        <f t="shared" si="44"/>
        <v>5.2448900887003122E-3</v>
      </c>
      <c r="E1451" s="86">
        <v>46059</v>
      </c>
      <c r="F1451" s="87">
        <v>25693.69921875</v>
      </c>
      <c r="G1451" s="88">
        <f t="shared" si="45"/>
        <v>1.9849016468285676E-3</v>
      </c>
    </row>
    <row r="1452" spans="1:7" ht="14.25" customHeight="1" x14ac:dyDescent="0.35">
      <c r="A1452" s="85">
        <v>46062</v>
      </c>
      <c r="B1452">
        <v>1295.5999999999999</v>
      </c>
      <c r="C1452">
        <f t="shared" si="44"/>
        <v>-5.9080794905240893E-3</v>
      </c>
      <c r="E1452" s="86">
        <v>46062</v>
      </c>
      <c r="F1452" s="87">
        <v>25867.30078125</v>
      </c>
      <c r="G1452" s="88">
        <f t="shared" si="45"/>
        <v>6.7565810988132885E-3</v>
      </c>
    </row>
    <row r="1453" spans="1:7" ht="14.25" customHeight="1" x14ac:dyDescent="0.35">
      <c r="A1453" s="85">
        <v>46063</v>
      </c>
      <c r="B1453">
        <v>1308.5999999999999</v>
      </c>
      <c r="C1453">
        <f t="shared" si="44"/>
        <v>1.0033961099104663E-2</v>
      </c>
      <c r="E1453" s="86">
        <v>46063</v>
      </c>
      <c r="F1453" s="87">
        <v>25935.150390625</v>
      </c>
      <c r="G1453" s="88">
        <f t="shared" si="45"/>
        <v>2.6229876069706129E-3</v>
      </c>
    </row>
    <row r="1454" spans="1:7" ht="14.25" customHeight="1" x14ac:dyDescent="0.35">
      <c r="A1454" s="85">
        <v>46064</v>
      </c>
      <c r="B1454">
        <v>1305.3</v>
      </c>
      <c r="C1454">
        <f t="shared" si="44"/>
        <v>-2.5217790004584705E-3</v>
      </c>
      <c r="E1454" s="86">
        <v>46064</v>
      </c>
      <c r="F1454" s="87">
        <v>25953.849609375</v>
      </c>
      <c r="G1454" s="88">
        <f t="shared" si="45"/>
        <v>7.2099904833246569E-4</v>
      </c>
    </row>
    <row r="1455" spans="1:7" ht="14.25" customHeight="1" x14ac:dyDescent="0.35">
      <c r="A1455" s="85">
        <v>46065</v>
      </c>
      <c r="B1455">
        <v>1305.5</v>
      </c>
      <c r="C1455">
        <f t="shared" si="44"/>
        <v>1.5322148165176241E-4</v>
      </c>
      <c r="E1455" s="86">
        <v>46065</v>
      </c>
      <c r="F1455" s="87">
        <v>25807.19921875</v>
      </c>
      <c r="G1455" s="88">
        <f t="shared" si="45"/>
        <v>-5.6504292362096155E-3</v>
      </c>
    </row>
    <row r="1456" spans="1:7" ht="14.25" customHeight="1" x14ac:dyDescent="0.35">
      <c r="A1456" s="85">
        <v>46066</v>
      </c>
      <c r="B1456">
        <v>1282.5999999999999</v>
      </c>
      <c r="C1456">
        <f t="shared" si="44"/>
        <v>-1.7541171964764526E-2</v>
      </c>
      <c r="E1456" s="86">
        <v>46066</v>
      </c>
      <c r="F1456" s="87">
        <v>25471.099609375</v>
      </c>
      <c r="G1456" s="88">
        <f t="shared" si="45"/>
        <v>-1.3023482576552116E-2</v>
      </c>
    </row>
    <row r="1457" spans="1:7" ht="14.25" customHeight="1" x14ac:dyDescent="0.35">
      <c r="A1457" s="85">
        <v>46069</v>
      </c>
      <c r="B1457">
        <v>1289.8</v>
      </c>
      <c r="C1457">
        <f t="shared" si="44"/>
        <v>5.6135973803212585E-3</v>
      </c>
      <c r="E1457" s="86">
        <v>46069</v>
      </c>
      <c r="F1457" s="87">
        <v>25682.75</v>
      </c>
      <c r="G1457" s="88">
        <f t="shared" si="45"/>
        <v>8.3094328030933959E-3</v>
      </c>
    </row>
    <row r="1458" spans="1:7" ht="14.25" customHeight="1" x14ac:dyDescent="0.35">
      <c r="A1458" s="85">
        <v>46070</v>
      </c>
      <c r="B1458">
        <v>1285.3</v>
      </c>
      <c r="C1458">
        <f t="shared" si="44"/>
        <v>-3.4889130097689566E-3</v>
      </c>
      <c r="E1458" s="86">
        <v>46070</v>
      </c>
      <c r="F1458" s="87">
        <v>25725.400390625</v>
      </c>
      <c r="G1458" s="88">
        <f t="shared" si="45"/>
        <v>1.6606629206373927E-3</v>
      </c>
    </row>
    <row r="1459" spans="1:7" ht="14.25" customHeight="1" x14ac:dyDescent="0.35">
      <c r="A1459" s="85">
        <v>46071</v>
      </c>
      <c r="B1459">
        <v>1300.9000000000001</v>
      </c>
      <c r="C1459">
        <f t="shared" si="44"/>
        <v>1.2137244223138673E-2</v>
      </c>
      <c r="E1459" s="86">
        <v>46071</v>
      </c>
      <c r="F1459" s="87">
        <v>25819.349609375</v>
      </c>
      <c r="G1459" s="88">
        <f t="shared" si="45"/>
        <v>3.6520021971839754E-3</v>
      </c>
    </row>
    <row r="1460" spans="1:7" ht="14.25" customHeight="1" x14ac:dyDescent="0.35">
      <c r="A1460" s="85">
        <v>46072</v>
      </c>
      <c r="B1460">
        <v>1278.5</v>
      </c>
      <c r="C1460">
        <f t="shared" si="44"/>
        <v>-1.7218848489507332E-2</v>
      </c>
      <c r="E1460" s="86">
        <v>46072</v>
      </c>
      <c r="F1460" s="87">
        <v>25454.349609375</v>
      </c>
      <c r="G1460" s="88">
        <f t="shared" si="45"/>
        <v>-1.4136684522350191E-2</v>
      </c>
    </row>
    <row r="1461" spans="1:7" ht="14.25" customHeight="1" x14ac:dyDescent="0.35">
      <c r="A1461" s="85">
        <v>46073</v>
      </c>
      <c r="B1461">
        <v>1293.8</v>
      </c>
      <c r="C1461">
        <f t="shared" si="44"/>
        <v>1.1967149002737548E-2</v>
      </c>
      <c r="E1461" s="86">
        <v>46073</v>
      </c>
      <c r="F1461" s="87">
        <v>25571.25</v>
      </c>
      <c r="G1461" s="88">
        <f t="shared" si="45"/>
        <v>4.5925506806877847E-3</v>
      </c>
    </row>
    <row r="1462" spans="1:7" ht="14.25" customHeight="1" x14ac:dyDescent="0.35">
      <c r="A1462" s="85">
        <v>46076</v>
      </c>
      <c r="B1462">
        <v>1315.1</v>
      </c>
      <c r="C1462">
        <f t="shared" si="44"/>
        <v>1.6463131859638241E-2</v>
      </c>
      <c r="E1462" s="86">
        <v>46076</v>
      </c>
      <c r="F1462" s="87">
        <v>25713</v>
      </c>
      <c r="G1462" s="88">
        <f t="shared" si="45"/>
        <v>5.5433347998240208E-3</v>
      </c>
    </row>
    <row r="1463" spans="1:7" ht="14.25" customHeight="1" x14ac:dyDescent="0.35">
      <c r="A1463" s="85">
        <v>46077</v>
      </c>
      <c r="B1463">
        <v>1320</v>
      </c>
      <c r="C1463">
        <f t="shared" si="44"/>
        <v>3.7259523990571751E-3</v>
      </c>
      <c r="E1463" s="86">
        <v>46077</v>
      </c>
      <c r="F1463" s="87">
        <v>25424.650390625</v>
      </c>
      <c r="G1463" s="88">
        <f t="shared" si="45"/>
        <v>-1.1214156627970288E-2</v>
      </c>
    </row>
    <row r="1464" spans="1:7" ht="14.25" customHeight="1" x14ac:dyDescent="0.35">
      <c r="A1464" s="85">
        <v>46078</v>
      </c>
      <c r="B1464">
        <v>1323.4</v>
      </c>
      <c r="C1464">
        <f t="shared" si="44"/>
        <v>2.5757575757576448E-3</v>
      </c>
      <c r="E1464" s="86">
        <v>46078</v>
      </c>
      <c r="F1464" s="87">
        <v>25482.5</v>
      </c>
      <c r="G1464" s="88">
        <f t="shared" si="45"/>
        <v>2.2753354908011348E-3</v>
      </c>
    </row>
    <row r="1465" spans="1:7" ht="14.25" customHeight="1" x14ac:dyDescent="0.35">
      <c r="A1465" s="85">
        <v>46079</v>
      </c>
      <c r="B1465">
        <v>1318</v>
      </c>
      <c r="C1465">
        <f t="shared" si="44"/>
        <v>-4.0803989723440307E-3</v>
      </c>
      <c r="E1465" s="86">
        <v>46079</v>
      </c>
      <c r="F1465" s="87">
        <v>25496.55078125</v>
      </c>
      <c r="G1465" s="88">
        <f t="shared" si="45"/>
        <v>5.5138943392524285E-4</v>
      </c>
    </row>
    <row r="1466" spans="1:7" ht="14.25" customHeight="1" x14ac:dyDescent="0.35">
      <c r="A1466" s="85">
        <v>46080</v>
      </c>
      <c r="B1466">
        <v>1291.7</v>
      </c>
      <c r="C1466">
        <f t="shared" si="44"/>
        <v>-1.9954476479514382E-2</v>
      </c>
      <c r="E1466" s="86">
        <v>46080</v>
      </c>
      <c r="F1466" s="87">
        <v>25178.650390625</v>
      </c>
      <c r="G1466" s="88">
        <f t="shared" si="45"/>
        <v>-1.2468368500212268E-2</v>
      </c>
    </row>
    <row r="1467" spans="1:7" ht="14.25" customHeight="1" x14ac:dyDescent="0.35">
      <c r="A1467" s="85">
        <v>46083</v>
      </c>
      <c r="B1467">
        <v>1279.7</v>
      </c>
      <c r="C1467">
        <f t="shared" si="44"/>
        <v>-9.2900828365719591E-3</v>
      </c>
      <c r="E1467" s="86">
        <v>46083</v>
      </c>
      <c r="F1467" s="87">
        <v>24865.69921875</v>
      </c>
      <c r="G1467" s="88">
        <f t="shared" si="45"/>
        <v>-1.2429227421638295E-2</v>
      </c>
    </row>
    <row r="1468" spans="1:7" ht="14.25" customHeight="1" x14ac:dyDescent="0.35">
      <c r="A1468" s="85">
        <v>46085</v>
      </c>
      <c r="B1468">
        <v>1245.3</v>
      </c>
      <c r="C1468">
        <f t="shared" si="44"/>
        <v>-2.6881300304759E-2</v>
      </c>
      <c r="E1468" s="86">
        <v>46085</v>
      </c>
      <c r="F1468" s="87">
        <v>24480.5</v>
      </c>
      <c r="G1468" s="88">
        <f t="shared" si="45"/>
        <v>-1.5491187895474108E-2</v>
      </c>
    </row>
    <row r="1469" spans="1:7" ht="14.25" customHeight="1" x14ac:dyDescent="0.35">
      <c r="A1469" s="85">
        <v>46086</v>
      </c>
      <c r="B1469">
        <v>1250.9000000000001</v>
      </c>
      <c r="C1469">
        <f t="shared" si="44"/>
        <v>4.4969083754919587E-3</v>
      </c>
      <c r="E1469" s="86">
        <v>46086</v>
      </c>
      <c r="F1469" s="87">
        <v>24765.900390625</v>
      </c>
      <c r="G1469" s="88">
        <f t="shared" si="45"/>
        <v>1.165827457057658E-2</v>
      </c>
    </row>
    <row r="1470" spans="1:7" ht="14.25" customHeight="1" x14ac:dyDescent="0.35">
      <c r="A1470" s="85">
        <v>46087</v>
      </c>
      <c r="B1470">
        <v>1252.4000000000001</v>
      </c>
      <c r="C1470">
        <f t="shared" si="44"/>
        <v>1.1991366216324245E-3</v>
      </c>
      <c r="E1470" s="86">
        <v>46087</v>
      </c>
      <c r="F1470" s="87">
        <v>24450.44921875</v>
      </c>
      <c r="G1470" s="88">
        <f t="shared" si="45"/>
        <v>-1.273731893044407E-2</v>
      </c>
    </row>
    <row r="1471" spans="1:7" ht="14.25" customHeight="1" x14ac:dyDescent="0.35">
      <c r="A1471" s="85">
        <v>46090</v>
      </c>
      <c r="B1471">
        <v>1235.8</v>
      </c>
      <c r="C1471">
        <f t="shared" si="44"/>
        <v>-1.3254551261577879E-2</v>
      </c>
      <c r="E1471" s="86">
        <v>46090</v>
      </c>
      <c r="F1471" s="87">
        <v>24028.05078125</v>
      </c>
      <c r="G1471" s="88">
        <f t="shared" si="45"/>
        <v>-1.7275692308183883E-2</v>
      </c>
    </row>
    <row r="1472" spans="1:7" ht="14.25" customHeight="1" x14ac:dyDescent="0.35">
      <c r="A1472" s="85">
        <v>46091</v>
      </c>
      <c r="B1472">
        <v>1241.2</v>
      </c>
      <c r="C1472">
        <f t="shared" si="44"/>
        <v>4.3696391001780957E-3</v>
      </c>
      <c r="E1472" s="86">
        <v>46091</v>
      </c>
      <c r="F1472" s="87">
        <v>24261.599609375</v>
      </c>
      <c r="G1472" s="88">
        <f t="shared" si="45"/>
        <v>9.7198407915488096E-3</v>
      </c>
    </row>
    <row r="1473" spans="1:7" ht="14.25" customHeight="1" x14ac:dyDescent="0.35">
      <c r="A1473" s="85">
        <v>46092</v>
      </c>
      <c r="B1473">
        <v>1233.7</v>
      </c>
      <c r="C1473">
        <f t="shared" si="44"/>
        <v>-6.0425394779245892E-3</v>
      </c>
      <c r="E1473" s="86">
        <v>46092</v>
      </c>
      <c r="F1473" s="87">
        <v>23866.849609375</v>
      </c>
      <c r="G1473" s="88">
        <f t="shared" si="45"/>
        <v>-1.6270567743087452E-2</v>
      </c>
    </row>
    <row r="1474" spans="1:7" ht="14.25" customHeight="1" x14ac:dyDescent="0.35">
      <c r="A1474" s="85">
        <v>46093</v>
      </c>
      <c r="B1474">
        <v>1220.8</v>
      </c>
      <c r="C1474">
        <f t="shared" si="44"/>
        <v>-1.0456350814622753E-2</v>
      </c>
      <c r="E1474" s="86">
        <v>46093</v>
      </c>
      <c r="F1474" s="87">
        <v>23639.150390625</v>
      </c>
      <c r="G1474" s="88">
        <f t="shared" si="45"/>
        <v>-9.5403969303329752E-3</v>
      </c>
    </row>
    <row r="1475" spans="1:7" ht="14.25" customHeight="1" x14ac:dyDescent="0.35">
      <c r="A1475" s="85">
        <v>46094</v>
      </c>
      <c r="B1475">
        <v>1202.2</v>
      </c>
      <c r="C1475">
        <f t="shared" si="44"/>
        <v>-1.5235910878112638E-2</v>
      </c>
      <c r="E1475" s="86">
        <v>46094</v>
      </c>
      <c r="F1475" s="87">
        <v>23151.099609375</v>
      </c>
      <c r="G1475" s="88">
        <f t="shared" si="45"/>
        <v>-2.0645868112229408E-2</v>
      </c>
    </row>
    <row r="1476" spans="1:7" ht="14.25" customHeight="1" x14ac:dyDescent="0.35">
      <c r="A1476" s="85">
        <v>46097</v>
      </c>
      <c r="B1476">
        <v>1213.4000000000001</v>
      </c>
      <c r="C1476">
        <f t="shared" si="44"/>
        <v>9.3162535351855313E-3</v>
      </c>
      <c r="E1476" s="86">
        <v>46097</v>
      </c>
      <c r="F1476" s="87">
        <v>23408.80078125</v>
      </c>
      <c r="G1476" s="88">
        <f t="shared" si="45"/>
        <v>1.1131271353117254E-2</v>
      </c>
    </row>
    <row r="1477" spans="1:7" ht="14.25" customHeight="1" x14ac:dyDescent="0.35">
      <c r="A1477" s="85">
        <v>46098</v>
      </c>
      <c r="B1477">
        <v>1206.9000000000001</v>
      </c>
      <c r="C1477">
        <f t="shared" ref="C1477:C1485" si="46">(B1477-B1476)/B1476</f>
        <v>-5.3568485248063286E-3</v>
      </c>
      <c r="E1477" s="86">
        <v>46098</v>
      </c>
      <c r="F1477" s="87">
        <v>23581.150390625</v>
      </c>
      <c r="G1477" s="88">
        <f t="shared" ref="G1477:G1485" si="47">(F1477-F1476)/F1476</f>
        <v>7.3625988356075351E-3</v>
      </c>
    </row>
    <row r="1478" spans="1:7" ht="14.25" customHeight="1" x14ac:dyDescent="0.35">
      <c r="A1478" s="85">
        <v>46099</v>
      </c>
      <c r="B1478">
        <v>1204.8</v>
      </c>
      <c r="C1478">
        <f t="shared" si="46"/>
        <v>-1.7399950285857456E-3</v>
      </c>
      <c r="E1478" s="86">
        <v>46099</v>
      </c>
      <c r="F1478" s="87">
        <v>23777.80078125</v>
      </c>
      <c r="G1478" s="88">
        <f t="shared" si="47"/>
        <v>8.339304375208979E-3</v>
      </c>
    </row>
    <row r="1479" spans="1:7" ht="14.25" customHeight="1" x14ac:dyDescent="0.35">
      <c r="A1479" s="85">
        <v>46100</v>
      </c>
      <c r="B1479">
        <v>1186.3</v>
      </c>
      <c r="C1479">
        <f t="shared" si="46"/>
        <v>-1.5355245683930943E-2</v>
      </c>
      <c r="E1479" s="86">
        <v>46100</v>
      </c>
      <c r="F1479" s="87">
        <v>23002.150390625</v>
      </c>
      <c r="G1479" s="88">
        <f t="shared" si="47"/>
        <v>-3.2620779262169594E-2</v>
      </c>
    </row>
    <row r="1480" spans="1:7" ht="14.25" customHeight="1" x14ac:dyDescent="0.35">
      <c r="A1480" s="85">
        <v>46101</v>
      </c>
      <c r="B1480">
        <v>1193.5999999999999</v>
      </c>
      <c r="C1480">
        <f t="shared" si="46"/>
        <v>6.1535867824327357E-3</v>
      </c>
      <c r="E1480" s="86">
        <v>46101</v>
      </c>
      <c r="F1480" s="87">
        <v>23114.5</v>
      </c>
      <c r="G1480" s="88">
        <f t="shared" si="47"/>
        <v>4.8843089653387538E-3</v>
      </c>
    </row>
    <row r="1481" spans="1:7" ht="14.25" customHeight="1" x14ac:dyDescent="0.35">
      <c r="A1481" s="85">
        <v>46104</v>
      </c>
      <c r="B1481">
        <v>1166.8</v>
      </c>
      <c r="C1481">
        <f t="shared" si="46"/>
        <v>-2.2453083109919534E-2</v>
      </c>
      <c r="E1481" s="86">
        <v>46104</v>
      </c>
      <c r="F1481" s="87">
        <v>22512.650390625</v>
      </c>
      <c r="G1481" s="88">
        <f t="shared" si="47"/>
        <v>-2.6037751600726817E-2</v>
      </c>
    </row>
    <row r="1482" spans="1:7" ht="14.25" customHeight="1" x14ac:dyDescent="0.35">
      <c r="A1482" s="85">
        <v>46105</v>
      </c>
      <c r="B1482">
        <v>1183.2</v>
      </c>
      <c r="C1482">
        <f t="shared" si="46"/>
        <v>1.4055536510113209E-2</v>
      </c>
      <c r="E1482" s="86">
        <v>46105</v>
      </c>
      <c r="F1482" s="87">
        <v>22912.400390625</v>
      </c>
      <c r="G1482" s="88">
        <f t="shared" si="47"/>
        <v>1.7756683156527359E-2</v>
      </c>
    </row>
    <row r="1483" spans="1:7" ht="14.25" customHeight="1" x14ac:dyDescent="0.35">
      <c r="A1483" s="85">
        <v>46106</v>
      </c>
      <c r="B1483">
        <v>1204.0999999999999</v>
      </c>
      <c r="C1483">
        <f t="shared" si="46"/>
        <v>1.7663962136578653E-2</v>
      </c>
      <c r="E1483" s="86">
        <v>46106</v>
      </c>
      <c r="F1483" s="87">
        <v>23306.44921875</v>
      </c>
      <c r="G1483" s="88">
        <f t="shared" si="47"/>
        <v>1.719805962740734E-2</v>
      </c>
    </row>
    <row r="1484" spans="1:7" ht="14.25" customHeight="1" x14ac:dyDescent="0.35">
      <c r="A1484" s="85">
        <v>46108</v>
      </c>
      <c r="B1484">
        <v>1193.2</v>
      </c>
      <c r="C1484">
        <f t="shared" si="46"/>
        <v>-9.0524042853582457E-3</v>
      </c>
      <c r="E1484" s="86">
        <v>46108</v>
      </c>
      <c r="F1484" s="87">
        <v>22819.599609375</v>
      </c>
      <c r="G1484" s="88">
        <f t="shared" si="47"/>
        <v>-2.0889051129389984E-2</v>
      </c>
    </row>
    <row r="1485" spans="1:7" ht="14.25" customHeight="1" x14ac:dyDescent="0.35">
      <c r="A1485" s="85">
        <v>46111</v>
      </c>
      <c r="B1485">
        <v>1174.8</v>
      </c>
      <c r="C1485">
        <f t="shared" si="46"/>
        <v>-1.5420717398592097E-2</v>
      </c>
      <c r="E1485" s="86">
        <v>46111</v>
      </c>
      <c r="F1485" s="87">
        <v>22331.400390625</v>
      </c>
      <c r="G1485" s="88">
        <f t="shared" si="47"/>
        <v>-2.1393855593742871E-2</v>
      </c>
    </row>
  </sheetData>
  <mergeCells count="9">
    <mergeCell ref="L7:O7"/>
    <mergeCell ref="J9:K9"/>
    <mergeCell ref="J10:K10"/>
    <mergeCell ref="J17:O17"/>
    <mergeCell ref="A2:C2"/>
    <mergeCell ref="E2:G2"/>
    <mergeCell ref="I2:O2"/>
    <mergeCell ref="L4:O4"/>
    <mergeCell ref="L5:O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89999084444715716"/>
  </sheetPr>
  <dimension ref="B2:I47"/>
  <sheetViews>
    <sheetView topLeftCell="A23" zoomScale="88" zoomScaleNormal="88" workbookViewId="0">
      <selection activeCell="A2" sqref="A2"/>
    </sheetView>
  </sheetViews>
  <sheetFormatPr defaultColWidth="8.54296875" defaultRowHeight="14.5" x14ac:dyDescent="0.35"/>
  <cols>
    <col min="2" max="2" width="35.1796875" customWidth="1"/>
    <col min="3" max="8" width="12.7265625" customWidth="1"/>
  </cols>
  <sheetData>
    <row r="2" spans="2:9" ht="14.25" customHeight="1" x14ac:dyDescent="0.35">
      <c r="B2" s="101" t="s">
        <v>44</v>
      </c>
      <c r="C2" s="102">
        <v>2021</v>
      </c>
      <c r="D2" s="102">
        <v>2022</v>
      </c>
      <c r="E2" s="102">
        <v>2023</v>
      </c>
      <c r="F2" s="102">
        <v>2024</v>
      </c>
      <c r="G2" s="102">
        <v>2025</v>
      </c>
      <c r="H2" s="102">
        <v>2026</v>
      </c>
      <c r="I2" s="103"/>
    </row>
    <row r="3" spans="2:9" ht="14.25" customHeight="1" x14ac:dyDescent="0.35">
      <c r="B3" s="104" t="s">
        <v>252</v>
      </c>
      <c r="C3" s="105">
        <f>'Standalone Financials'!C4</f>
        <v>14709.41</v>
      </c>
      <c r="D3" s="105">
        <f>'Standalone Financials'!D4</f>
        <v>16896.96</v>
      </c>
      <c r="E3" s="105">
        <f>'Standalone Financials'!E4</f>
        <v>19126.3</v>
      </c>
      <c r="F3" s="105">
        <f>'Standalone Financials'!F4</f>
        <v>24393.89</v>
      </c>
      <c r="G3" s="105">
        <f>'Standalone Financials'!G4</f>
        <v>20201.560000000001</v>
      </c>
      <c r="H3" s="105">
        <f>'Standalone Financials'!H4</f>
        <v>23154.6</v>
      </c>
      <c r="I3" s="103"/>
    </row>
    <row r="4" spans="2:9" ht="14.25" customHeight="1" x14ac:dyDescent="0.35">
      <c r="B4" s="106" t="s">
        <v>253</v>
      </c>
      <c r="C4" s="107"/>
      <c r="D4" s="108">
        <f>('Standalone Financials'!D4-'Standalone Financials'!C4)/'Standalone Financials'!C4</f>
        <v>0.14871772559198496</v>
      </c>
      <c r="E4" s="108">
        <f>('Standalone Financials'!E4-'Standalone Financials'!D4)/'Standalone Financials'!D4</f>
        <v>0.13193734257523249</v>
      </c>
      <c r="F4" s="108">
        <f>('Standalone Financials'!F4-'Standalone Financials'!E4)/'Standalone Financials'!E4</f>
        <v>0.27541082174806419</v>
      </c>
      <c r="G4" s="108">
        <f>('Standalone Financials'!G4-'Standalone Financials'!F4)/'Standalone Financials'!F4</f>
        <v>-0.17185983867271673</v>
      </c>
      <c r="H4" s="108">
        <f>('Standalone Financials'!H4-'Standalone Financials'!G4)/'Standalone Financials'!G4</f>
        <v>0.14617880995329058</v>
      </c>
      <c r="I4" s="103"/>
    </row>
    <row r="5" spans="2:9" ht="14.25" customHeight="1" x14ac:dyDescent="0.35">
      <c r="B5" s="104" t="s">
        <v>254</v>
      </c>
      <c r="C5" s="105">
        <f>'Standalone Financials'!C10+'Standalone Financials'!C11+'Standalone Financials'!C13</f>
        <v>7616.8499999999995</v>
      </c>
      <c r="D5" s="105">
        <f>'Standalone Financials'!D10+'Standalone Financials'!D11+'Standalone Financials'!D13</f>
        <v>9341.74</v>
      </c>
      <c r="E5" s="105">
        <f>'Standalone Financials'!E10+'Standalone Financials'!E11+'Standalone Financials'!E13</f>
        <v>8512.2199999999993</v>
      </c>
      <c r="F5" s="105">
        <f>'Standalone Financials'!F10+'Standalone Financials'!F11+'Standalone Financials'!F13</f>
        <v>12809.01</v>
      </c>
      <c r="G5" s="105">
        <f>'Standalone Financials'!G10+'Standalone Financials'!G11+'Standalone Financials'!G13</f>
        <v>10474.18</v>
      </c>
      <c r="H5" s="105">
        <f>'Standalone Financials'!H10+'Standalone Financials'!H11+'Standalone Financials'!H13</f>
        <v>10509.52</v>
      </c>
      <c r="I5" s="103"/>
    </row>
    <row r="6" spans="2:9" ht="14.25" customHeight="1" x14ac:dyDescent="0.35">
      <c r="B6" s="104" t="s">
        <v>255</v>
      </c>
      <c r="C6" s="105">
        <f>'Standalone Financials'!C12</f>
        <v>1521.3</v>
      </c>
      <c r="D6" s="105">
        <f>'Standalone Financials'!D12</f>
        <v>1635.46</v>
      </c>
      <c r="E6" s="105">
        <f>'Standalone Financials'!E12</f>
        <v>1849.18</v>
      </c>
      <c r="F6" s="105">
        <f>'Standalone Financials'!F12</f>
        <v>2336.06</v>
      </c>
      <c r="G6" s="105">
        <f>'Standalone Financials'!G12</f>
        <v>2023.71</v>
      </c>
      <c r="H6" s="105">
        <f>'Standalone Financials'!H12</f>
        <v>2165.81</v>
      </c>
      <c r="I6" s="103"/>
    </row>
    <row r="7" spans="2:9" ht="14.25" customHeight="1" x14ac:dyDescent="0.35">
      <c r="B7" s="104" t="s">
        <v>256</v>
      </c>
      <c r="C7" s="105">
        <f>'Standalone Financials'!C14</f>
        <v>2042.42</v>
      </c>
      <c r="D7" s="105">
        <f>'Standalone Financials'!D14</f>
        <v>2457.48</v>
      </c>
      <c r="E7" s="105">
        <f>'Standalone Financials'!E14</f>
        <v>4333.92</v>
      </c>
      <c r="F7" s="105">
        <f>'Standalone Financials'!F14</f>
        <v>3474.69</v>
      </c>
      <c r="G7" s="105">
        <f>'Standalone Financials'!G14</f>
        <v>3091.37</v>
      </c>
      <c r="H7" s="105">
        <f>'Standalone Financials'!H14</f>
        <v>5341.44</v>
      </c>
      <c r="I7" s="103"/>
    </row>
    <row r="8" spans="2:9" ht="14.25" customHeight="1" x14ac:dyDescent="0.35">
      <c r="B8" s="109" t="s">
        <v>257</v>
      </c>
      <c r="C8" s="105">
        <f t="shared" ref="C8:H8" si="0">SUM(C5:C7)</f>
        <v>11180.57</v>
      </c>
      <c r="D8" s="105">
        <f t="shared" si="0"/>
        <v>13434.68</v>
      </c>
      <c r="E8" s="105">
        <f t="shared" si="0"/>
        <v>14695.32</v>
      </c>
      <c r="F8" s="105">
        <f t="shared" si="0"/>
        <v>18619.759999999998</v>
      </c>
      <c r="G8" s="105">
        <f t="shared" si="0"/>
        <v>15589.259999999998</v>
      </c>
      <c r="H8" s="105">
        <f t="shared" si="0"/>
        <v>18016.77</v>
      </c>
      <c r="I8" s="103"/>
    </row>
    <row r="9" spans="2:9" ht="14.25" customHeight="1" x14ac:dyDescent="0.35">
      <c r="B9" s="104" t="s">
        <v>258</v>
      </c>
      <c r="C9" s="105">
        <f t="shared" ref="C9:H9" si="1">C3-C8</f>
        <v>3528.84</v>
      </c>
      <c r="D9" s="105">
        <f t="shared" si="1"/>
        <v>3462.2799999999988</v>
      </c>
      <c r="E9" s="105">
        <f t="shared" si="1"/>
        <v>4430.9799999999996</v>
      </c>
      <c r="F9" s="105">
        <f t="shared" si="1"/>
        <v>5774.130000000001</v>
      </c>
      <c r="G9" s="105">
        <f t="shared" si="1"/>
        <v>4612.3000000000029</v>
      </c>
      <c r="H9" s="105">
        <f t="shared" si="1"/>
        <v>5137.8299999999981</v>
      </c>
      <c r="I9" s="103"/>
    </row>
    <row r="10" spans="2:9" ht="14.25" customHeight="1" x14ac:dyDescent="0.35">
      <c r="B10" s="104" t="s">
        <v>259</v>
      </c>
      <c r="C10" s="105">
        <f>'Standalone Financials'!C20</f>
        <v>390.19</v>
      </c>
      <c r="D10" s="105">
        <f>'Standalone Financials'!D20</f>
        <v>403.01</v>
      </c>
      <c r="E10" s="105">
        <f>'Standalone Financials'!E20</f>
        <v>428.91</v>
      </c>
      <c r="F10" s="105">
        <f>'Standalone Financials'!F20</f>
        <v>537.78</v>
      </c>
      <c r="G10" s="105">
        <f>'Standalone Financials'!G20</f>
        <v>518.16999999999996</v>
      </c>
      <c r="H10" s="105">
        <f>'Standalone Financials'!H20</f>
        <v>699.23</v>
      </c>
      <c r="I10" s="103"/>
    </row>
    <row r="11" spans="2:9" ht="14.25" customHeight="1" x14ac:dyDescent="0.35">
      <c r="B11" s="104" t="s">
        <v>260</v>
      </c>
      <c r="C11" s="105">
        <f t="shared" ref="C11:H11" si="2">C9-C10</f>
        <v>3138.65</v>
      </c>
      <c r="D11" s="105">
        <f t="shared" si="2"/>
        <v>3059.2699999999986</v>
      </c>
      <c r="E11" s="105">
        <f t="shared" si="2"/>
        <v>4002.0699999999997</v>
      </c>
      <c r="F11" s="105">
        <f t="shared" si="2"/>
        <v>5236.3500000000013</v>
      </c>
      <c r="G11" s="105">
        <f t="shared" si="2"/>
        <v>4094.1300000000028</v>
      </c>
      <c r="H11" s="105">
        <f t="shared" si="2"/>
        <v>4438.5999999999985</v>
      </c>
      <c r="I11" s="103"/>
    </row>
    <row r="12" spans="2:9" ht="14.25" customHeight="1" x14ac:dyDescent="0.35">
      <c r="B12" s="104" t="s">
        <v>261</v>
      </c>
      <c r="C12" s="105">
        <f>'Standalone Financials'!C6</f>
        <v>-267.95</v>
      </c>
      <c r="D12" s="105">
        <f>'Standalone Financials'!D6</f>
        <v>214.92</v>
      </c>
      <c r="E12" s="105">
        <f>'Standalone Financials'!E6</f>
        <v>115.5</v>
      </c>
      <c r="F12" s="105">
        <f>'Standalone Financials'!F6</f>
        <v>109.43</v>
      </c>
      <c r="G12" s="105">
        <f>'Standalone Financials'!G6</f>
        <v>269.11</v>
      </c>
      <c r="H12" s="105">
        <f>'Standalone Financials'!H6</f>
        <v>161.13</v>
      </c>
      <c r="I12" s="103"/>
    </row>
    <row r="13" spans="2:9" ht="14.25" customHeight="1" x14ac:dyDescent="0.35">
      <c r="B13" s="104" t="s">
        <v>262</v>
      </c>
      <c r="C13" s="105">
        <f>'Standalone Financials'!C18</f>
        <v>201.19</v>
      </c>
      <c r="D13" s="105">
        <f>'Standalone Financials'!D18</f>
        <v>154.57</v>
      </c>
      <c r="E13" s="105">
        <f>'Standalone Financials'!E18</f>
        <v>119.29</v>
      </c>
      <c r="F13" s="105">
        <f>'Standalone Financials'!F18</f>
        <v>145.49</v>
      </c>
      <c r="G13" s="105">
        <f>'Standalone Financials'!G18</f>
        <v>136</v>
      </c>
      <c r="H13" s="105">
        <f>'Standalone Financials'!H18</f>
        <v>158.31</v>
      </c>
      <c r="I13" s="103"/>
    </row>
    <row r="14" spans="2:9" ht="14.25" customHeight="1" x14ac:dyDescent="0.35">
      <c r="B14" s="104" t="s">
        <v>263</v>
      </c>
      <c r="C14" s="105">
        <f t="shared" ref="C14:H14" si="3">C11+C12-C13</f>
        <v>2669.51</v>
      </c>
      <c r="D14" s="105">
        <f t="shared" si="3"/>
        <v>3119.6199999999985</v>
      </c>
      <c r="E14" s="105">
        <f t="shared" si="3"/>
        <v>3998.2799999999997</v>
      </c>
      <c r="F14" s="105">
        <f t="shared" si="3"/>
        <v>5200.2900000000018</v>
      </c>
      <c r="G14" s="105">
        <f t="shared" si="3"/>
        <v>4227.2400000000025</v>
      </c>
      <c r="H14" s="105">
        <f t="shared" si="3"/>
        <v>4441.4199999999983</v>
      </c>
      <c r="I14" s="103"/>
    </row>
    <row r="15" spans="2:9" ht="14.25" customHeight="1" x14ac:dyDescent="0.35">
      <c r="B15" s="104" t="s">
        <v>264</v>
      </c>
      <c r="C15" s="105">
        <f>'Standalone Financials'!C23</f>
        <v>738.91</v>
      </c>
      <c r="D15" s="105">
        <f>'Standalone Financials'!D23</f>
        <v>865.45</v>
      </c>
      <c r="E15" s="105">
        <f>'Standalone Financials'!E23</f>
        <v>1039.6199999999999</v>
      </c>
      <c r="F15" s="105">
        <f>'Standalone Financials'!F23</f>
        <v>1356.03</v>
      </c>
      <c r="G15" s="105">
        <f>'Standalone Financials'!G23</f>
        <v>1132.97</v>
      </c>
      <c r="H15" s="105">
        <f>'Standalone Financials'!H23</f>
        <v>1065.05</v>
      </c>
      <c r="I15" s="103"/>
    </row>
    <row r="16" spans="2:9" ht="14.25" customHeight="1" x14ac:dyDescent="0.35">
      <c r="B16" s="104" t="s">
        <v>265</v>
      </c>
      <c r="C16" s="105">
        <v>0</v>
      </c>
      <c r="D16" s="105">
        <v>0</v>
      </c>
      <c r="E16" s="105">
        <v>0</v>
      </c>
      <c r="F16" s="105">
        <v>0</v>
      </c>
      <c r="G16" s="105">
        <v>0</v>
      </c>
      <c r="H16" s="105">
        <v>0</v>
      </c>
      <c r="I16" s="103"/>
    </row>
    <row r="17" spans="2:9" ht="14.25" customHeight="1" x14ac:dyDescent="0.35">
      <c r="B17" s="109" t="s">
        <v>266</v>
      </c>
      <c r="C17" s="105">
        <f t="shared" ref="C17:H17" si="4">C14-C15-C16</f>
        <v>1930.6000000000004</v>
      </c>
      <c r="D17" s="105">
        <f t="shared" si="4"/>
        <v>2254.1699999999983</v>
      </c>
      <c r="E17" s="105">
        <f t="shared" si="4"/>
        <v>2958.66</v>
      </c>
      <c r="F17" s="105">
        <f t="shared" si="4"/>
        <v>3844.260000000002</v>
      </c>
      <c r="G17" s="105">
        <f t="shared" si="4"/>
        <v>3094.2700000000023</v>
      </c>
      <c r="H17" s="105">
        <f t="shared" si="4"/>
        <v>3376.3699999999981</v>
      </c>
      <c r="I17" s="103"/>
    </row>
    <row r="18" spans="2:9" ht="14.25" customHeight="1" x14ac:dyDescent="0.35">
      <c r="B18" s="103"/>
      <c r="C18" s="103"/>
      <c r="D18" s="103"/>
      <c r="E18" s="103"/>
      <c r="F18" s="103"/>
      <c r="G18" s="103"/>
      <c r="H18" s="103"/>
      <c r="I18" s="103"/>
    </row>
    <row r="19" spans="2:9" ht="14.25" customHeight="1" x14ac:dyDescent="0.35">
      <c r="B19" s="287" t="s">
        <v>267</v>
      </c>
      <c r="C19" s="287"/>
      <c r="D19" s="287"/>
      <c r="E19" s="103"/>
      <c r="F19" s="103"/>
      <c r="G19" s="103"/>
      <c r="H19" s="103"/>
      <c r="I19" s="103"/>
    </row>
    <row r="20" spans="2:9" ht="14.25" customHeight="1" x14ac:dyDescent="0.35">
      <c r="B20" s="104" t="s">
        <v>268</v>
      </c>
      <c r="C20" s="110">
        <f>AVERAGE(D4:H4)</f>
        <v>0.10607697223917109</v>
      </c>
      <c r="D20" s="107"/>
      <c r="E20" s="111"/>
      <c r="F20" s="111"/>
      <c r="G20" s="111"/>
      <c r="H20" s="111"/>
      <c r="I20" s="103"/>
    </row>
    <row r="21" spans="2:9" ht="14.25" customHeight="1" x14ac:dyDescent="0.35">
      <c r="B21" s="104" t="s">
        <v>269</v>
      </c>
      <c r="C21" s="110">
        <f>(H3/C3)^(1/5)-1</f>
        <v>9.4985595044563276E-2</v>
      </c>
      <c r="D21" s="107"/>
      <c r="E21" s="111"/>
      <c r="F21" s="111"/>
      <c r="G21" s="111"/>
      <c r="H21" s="111"/>
      <c r="I21" s="103"/>
    </row>
    <row r="22" spans="2:9" ht="14.25" customHeight="1" x14ac:dyDescent="0.35">
      <c r="B22" s="112" t="s">
        <v>270</v>
      </c>
      <c r="C22" s="113"/>
      <c r="D22" s="113"/>
      <c r="E22" s="113"/>
      <c r="F22" s="113"/>
      <c r="G22" s="113"/>
      <c r="H22" s="103"/>
      <c r="I22" s="103"/>
    </row>
    <row r="23" spans="2:9" ht="14.25" customHeight="1" x14ac:dyDescent="0.35">
      <c r="B23" s="114" t="s">
        <v>271</v>
      </c>
      <c r="C23" s="110">
        <f t="shared" ref="C23:H23" si="5">C9/C3</f>
        <v>0.23990357193116515</v>
      </c>
      <c r="D23" s="108">
        <f t="shared" si="5"/>
        <v>0.20490549779368591</v>
      </c>
      <c r="E23" s="110">
        <f t="shared" si="5"/>
        <v>0.23166948129016066</v>
      </c>
      <c r="F23" s="110">
        <f t="shared" si="5"/>
        <v>0.23670394512724297</v>
      </c>
      <c r="G23" s="110">
        <f t="shared" si="5"/>
        <v>0.22831405099408178</v>
      </c>
      <c r="H23" s="110">
        <f t="shared" si="5"/>
        <v>0.22189241014744363</v>
      </c>
      <c r="I23" s="103"/>
    </row>
    <row r="24" spans="2:9" ht="14.25" customHeight="1" x14ac:dyDescent="0.35">
      <c r="B24" s="114" t="s">
        <v>272</v>
      </c>
      <c r="C24" s="110">
        <f t="shared" ref="C24:H24" si="6">C11/C3</f>
        <v>0.21337701512161264</v>
      </c>
      <c r="D24" s="110">
        <f t="shared" si="6"/>
        <v>0.18105446186769683</v>
      </c>
      <c r="E24" s="110">
        <f t="shared" si="6"/>
        <v>0.20924433894689509</v>
      </c>
      <c r="F24" s="110">
        <f t="shared" si="6"/>
        <v>0.21465826073660255</v>
      </c>
      <c r="G24" s="110">
        <f t="shared" si="6"/>
        <v>0.20266405168709756</v>
      </c>
      <c r="H24" s="110">
        <f t="shared" si="6"/>
        <v>0.19169409102295004</v>
      </c>
      <c r="I24" s="103"/>
    </row>
    <row r="25" spans="2:9" ht="14.25" customHeight="1" x14ac:dyDescent="0.35">
      <c r="B25" s="114" t="s">
        <v>273</v>
      </c>
      <c r="C25" s="110">
        <f t="shared" ref="C25:H25" si="7">C14/C3</f>
        <v>0.18148314582298</v>
      </c>
      <c r="D25" s="110">
        <f t="shared" si="7"/>
        <v>0.18462611025888673</v>
      </c>
      <c r="E25" s="110">
        <f t="shared" si="7"/>
        <v>0.20904618248171367</v>
      </c>
      <c r="F25" s="110">
        <f t="shared" si="7"/>
        <v>0.21318002171855338</v>
      </c>
      <c r="G25" s="110">
        <f t="shared" si="7"/>
        <v>0.20925314678668391</v>
      </c>
      <c r="H25" s="110">
        <f t="shared" si="7"/>
        <v>0.19181588107762598</v>
      </c>
      <c r="I25" s="103"/>
    </row>
    <row r="26" spans="2:9" ht="14.25" customHeight="1" x14ac:dyDescent="0.35">
      <c r="B26" s="114" t="s">
        <v>274</v>
      </c>
      <c r="C26" s="110">
        <f t="shared" ref="C26:H26" si="8">C17/C3</f>
        <v>0.13124931591409855</v>
      </c>
      <c r="D26" s="110">
        <f t="shared" si="8"/>
        <v>0.1334068376796772</v>
      </c>
      <c r="E26" s="110">
        <f t="shared" si="8"/>
        <v>0.15469066154980315</v>
      </c>
      <c r="F26" s="110">
        <f t="shared" si="8"/>
        <v>0.15759110170620602</v>
      </c>
      <c r="G26" s="110">
        <f t="shared" si="8"/>
        <v>0.15316985420927898</v>
      </c>
      <c r="H26" s="110">
        <f t="shared" si="8"/>
        <v>0.14581854145612527</v>
      </c>
      <c r="I26" s="103"/>
    </row>
    <row r="27" spans="2:9" ht="14.25" customHeight="1" x14ac:dyDescent="0.35">
      <c r="B27" s="104"/>
      <c r="C27" s="115"/>
      <c r="D27" s="115"/>
      <c r="E27" s="115"/>
      <c r="F27" s="115"/>
      <c r="G27" s="115"/>
      <c r="H27" s="115"/>
      <c r="I27" s="103"/>
    </row>
    <row r="28" spans="2:9" ht="14.25" customHeight="1" x14ac:dyDescent="0.35">
      <c r="B28" s="112" t="s">
        <v>275</v>
      </c>
      <c r="C28" s="103"/>
      <c r="D28" s="103"/>
      <c r="E28" s="103"/>
      <c r="F28" s="103"/>
      <c r="G28" s="103"/>
      <c r="H28" s="103"/>
      <c r="I28" s="103"/>
    </row>
    <row r="29" spans="2:9" ht="14.25" customHeight="1" x14ac:dyDescent="0.35">
      <c r="B29" s="114" t="s">
        <v>276</v>
      </c>
      <c r="C29" s="110">
        <f t="shared" ref="C29:H29" si="9">C15/C14</f>
        <v>0.27679611614116445</v>
      </c>
      <c r="D29" s="110">
        <f t="shared" si="9"/>
        <v>0.27742160904212709</v>
      </c>
      <c r="E29" s="110">
        <f t="shared" si="9"/>
        <v>0.26001680722710763</v>
      </c>
      <c r="F29" s="110">
        <f t="shared" si="9"/>
        <v>0.2607604575898651</v>
      </c>
      <c r="G29" s="110">
        <f t="shared" si="9"/>
        <v>0.26801648356847479</v>
      </c>
      <c r="H29" s="110">
        <f t="shared" si="9"/>
        <v>0.23979943351450669</v>
      </c>
      <c r="I29" s="103"/>
    </row>
    <row r="30" spans="2:9" ht="14.25" customHeight="1" x14ac:dyDescent="0.35">
      <c r="B30" s="114" t="s">
        <v>277</v>
      </c>
      <c r="C30" s="108">
        <v>0.25</v>
      </c>
      <c r="D30" s="108">
        <v>0.25</v>
      </c>
      <c r="E30" s="108">
        <v>0.25</v>
      </c>
      <c r="F30" s="108">
        <v>0.25</v>
      </c>
      <c r="G30" s="108">
        <v>0.25</v>
      </c>
      <c r="H30" s="108">
        <v>0.25</v>
      </c>
      <c r="I30" s="103"/>
    </row>
    <row r="31" spans="2:9" ht="14.25" customHeight="1" x14ac:dyDescent="0.35">
      <c r="B31" s="116"/>
      <c r="C31" s="113"/>
      <c r="D31" s="113"/>
      <c r="E31" s="113"/>
      <c r="F31" s="113"/>
      <c r="G31" s="113"/>
      <c r="H31" s="113"/>
      <c r="I31" s="103"/>
    </row>
    <row r="32" spans="2:9" ht="14.25" customHeight="1" x14ac:dyDescent="0.35">
      <c r="B32" s="112" t="s">
        <v>278</v>
      </c>
      <c r="C32" s="113"/>
      <c r="D32" s="113"/>
      <c r="E32" s="113"/>
      <c r="F32" s="113"/>
      <c r="G32" s="113"/>
      <c r="H32" s="113"/>
      <c r="I32" s="103"/>
    </row>
    <row r="33" spans="2:9" ht="14.25" customHeight="1" x14ac:dyDescent="0.35">
      <c r="B33" s="114" t="s">
        <v>279</v>
      </c>
      <c r="C33" s="105">
        <f t="shared" ref="C33:H33" si="10">C11*(1-C30)</f>
        <v>2353.9875000000002</v>
      </c>
      <c r="D33" s="105">
        <f t="shared" si="10"/>
        <v>2294.452499999999</v>
      </c>
      <c r="E33" s="105">
        <f t="shared" si="10"/>
        <v>3001.5524999999998</v>
      </c>
      <c r="F33" s="105">
        <f t="shared" si="10"/>
        <v>3927.2625000000007</v>
      </c>
      <c r="G33" s="105">
        <f t="shared" si="10"/>
        <v>3070.5975000000021</v>
      </c>
      <c r="H33" s="105">
        <f t="shared" si="10"/>
        <v>3328.9499999999989</v>
      </c>
      <c r="I33" s="103"/>
    </row>
    <row r="34" spans="2:9" ht="14.25" customHeight="1" x14ac:dyDescent="0.35">
      <c r="B34" s="114" t="s">
        <v>280</v>
      </c>
      <c r="C34" s="105">
        <f>'Standalone Financials'!Q3+'Standalone Financials'!Q4</f>
        <v>1946</v>
      </c>
      <c r="D34" s="105">
        <f>'Standalone Financials'!R3+'Standalone Financials'!R4</f>
        <v>2459</v>
      </c>
      <c r="E34" s="105">
        <f>'Standalone Financials'!S3+'Standalone Financials'!S4</f>
        <v>2459</v>
      </c>
      <c r="F34" s="105">
        <f>'Standalone Financials'!T3+'Standalone Financials'!T4</f>
        <v>3340</v>
      </c>
      <c r="G34" s="105">
        <f>'Standalone Financials'!U3+'Standalone Financials'!U4</f>
        <v>4117</v>
      </c>
      <c r="H34" s="105">
        <f>'Standalone Financials'!V3+'Standalone Financials'!V4</f>
        <v>5309</v>
      </c>
      <c r="I34" s="103"/>
    </row>
    <row r="35" spans="2:9" ht="14.25" customHeight="1" x14ac:dyDescent="0.35">
      <c r="B35" s="114" t="s">
        <v>281</v>
      </c>
      <c r="C35" s="105">
        <f>'Standalone Financials'!Q6+'Standalone Financials'!Q7</f>
        <v>34</v>
      </c>
      <c r="D35" s="105">
        <f>'Standalone Financials'!R6+'Standalone Financials'!R7</f>
        <v>30</v>
      </c>
      <c r="E35" s="105">
        <f>'Standalone Financials'!S6+'Standalone Financials'!S7</f>
        <v>30</v>
      </c>
      <c r="F35" s="105">
        <f>'Standalone Financials'!T6+'Standalone Financials'!T7</f>
        <v>31</v>
      </c>
      <c r="G35" s="105">
        <f>'Standalone Financials'!U6+'Standalone Financials'!U7</f>
        <v>753</v>
      </c>
      <c r="H35" s="105">
        <f>'Standalone Financials'!V6+'Standalone Financials'!V7</f>
        <v>24</v>
      </c>
      <c r="I35" s="103"/>
    </row>
    <row r="36" spans="2:9" ht="14.25" customHeight="1" x14ac:dyDescent="0.35">
      <c r="B36" s="114" t="s">
        <v>282</v>
      </c>
      <c r="C36" s="105">
        <f>'Standalone Financials'!Q32</f>
        <v>735</v>
      </c>
      <c r="D36" s="105">
        <f>'Standalone Financials'!R32</f>
        <v>946</v>
      </c>
      <c r="E36" s="105">
        <f>'Standalone Financials'!S32</f>
        <v>946</v>
      </c>
      <c r="F36" s="105">
        <f>'Standalone Financials'!T32</f>
        <v>779</v>
      </c>
      <c r="G36" s="105">
        <f>'Standalone Financials'!U32</f>
        <v>96</v>
      </c>
      <c r="H36" s="105">
        <f>'Standalone Financials'!V32</f>
        <v>1341</v>
      </c>
      <c r="I36" s="103"/>
    </row>
    <row r="37" spans="2:9" ht="14.25" customHeight="1" x14ac:dyDescent="0.35">
      <c r="B37" s="114" t="s">
        <v>283</v>
      </c>
      <c r="C37" s="105">
        <f t="shared" ref="C37:H37" si="11">C34+C35+C36</f>
        <v>2715</v>
      </c>
      <c r="D37" s="105">
        <f t="shared" si="11"/>
        <v>3435</v>
      </c>
      <c r="E37" s="105">
        <f t="shared" si="11"/>
        <v>3435</v>
      </c>
      <c r="F37" s="105">
        <f t="shared" si="11"/>
        <v>4150</v>
      </c>
      <c r="G37" s="105">
        <f t="shared" si="11"/>
        <v>4966</v>
      </c>
      <c r="H37" s="105">
        <f t="shared" si="11"/>
        <v>6674</v>
      </c>
      <c r="I37" s="103"/>
    </row>
    <row r="38" spans="2:9" ht="14.25" customHeight="1" x14ac:dyDescent="0.35">
      <c r="B38" s="116"/>
      <c r="C38" s="117"/>
      <c r="D38" s="117"/>
      <c r="E38" s="117"/>
      <c r="F38" s="117"/>
      <c r="G38" s="117"/>
      <c r="H38" s="117"/>
      <c r="I38" s="103"/>
    </row>
    <row r="39" spans="2:9" ht="14.25" customHeight="1" x14ac:dyDescent="0.35">
      <c r="B39" s="114" t="s">
        <v>284</v>
      </c>
      <c r="C39" s="108">
        <f t="shared" ref="C39:H39" si="12">C11/C37</f>
        <v>1.1560405156537754</v>
      </c>
      <c r="D39" s="108">
        <f t="shared" si="12"/>
        <v>0.89061717612809277</v>
      </c>
      <c r="E39" s="108">
        <f t="shared" si="12"/>
        <v>1.1650858806404658</v>
      </c>
      <c r="F39" s="108">
        <f t="shared" si="12"/>
        <v>1.2617710843373497</v>
      </c>
      <c r="G39" s="108">
        <f t="shared" si="12"/>
        <v>0.82443213854208675</v>
      </c>
      <c r="H39" s="108">
        <f t="shared" si="12"/>
        <v>0.665058435720707</v>
      </c>
      <c r="I39" s="103"/>
    </row>
    <row r="40" spans="2:9" ht="14.25" customHeight="1" x14ac:dyDescent="0.35">
      <c r="B40" s="114" t="s">
        <v>285</v>
      </c>
      <c r="C40" s="108">
        <f t="shared" ref="C40:H40" si="13">C33/C37</f>
        <v>0.8670303867403315</v>
      </c>
      <c r="D40" s="108">
        <f t="shared" si="13"/>
        <v>0.66796288209606958</v>
      </c>
      <c r="E40" s="108">
        <f t="shared" si="13"/>
        <v>0.87381441048034925</v>
      </c>
      <c r="F40" s="108">
        <f t="shared" si="13"/>
        <v>0.94632831325301225</v>
      </c>
      <c r="G40" s="108">
        <f t="shared" si="13"/>
        <v>0.61832410390656511</v>
      </c>
      <c r="H40" s="108">
        <f t="shared" si="13"/>
        <v>0.49879382679053025</v>
      </c>
      <c r="I40" s="103"/>
    </row>
    <row r="41" spans="2:9" ht="14.25" customHeight="1" x14ac:dyDescent="0.35">
      <c r="B41" s="103"/>
      <c r="C41" s="103"/>
      <c r="D41" s="103"/>
      <c r="E41" s="103"/>
      <c r="F41" s="103"/>
      <c r="G41" s="103"/>
      <c r="H41" s="103"/>
      <c r="I41" s="103"/>
    </row>
    <row r="42" spans="2:9" ht="14.25" customHeight="1" x14ac:dyDescent="0.35">
      <c r="B42" s="118" t="s">
        <v>286</v>
      </c>
      <c r="C42" s="103"/>
      <c r="D42" s="103"/>
      <c r="E42" s="103"/>
      <c r="F42" s="103"/>
      <c r="G42" s="103"/>
      <c r="H42" s="103"/>
      <c r="I42" s="103"/>
    </row>
    <row r="43" spans="2:9" ht="14.25" customHeight="1" x14ac:dyDescent="0.35">
      <c r="B43" s="114" t="s">
        <v>287</v>
      </c>
      <c r="C43" s="108">
        <f>AVERAGE(D4:H4)</f>
        <v>0.10607697223917109</v>
      </c>
      <c r="D43" s="111"/>
      <c r="E43" s="111"/>
      <c r="F43" s="111"/>
      <c r="G43" s="111"/>
      <c r="H43" s="111"/>
      <c r="I43" s="103"/>
    </row>
    <row r="44" spans="2:9" ht="14.25" customHeight="1" x14ac:dyDescent="0.35">
      <c r="B44" s="114" t="s">
        <v>288</v>
      </c>
      <c r="C44" s="108">
        <f>(H3/C3)^(1/5)-1</f>
        <v>9.4985595044563276E-2</v>
      </c>
      <c r="D44" s="111"/>
      <c r="E44" s="111"/>
      <c r="F44" s="111"/>
      <c r="G44" s="111"/>
      <c r="H44" s="111"/>
      <c r="I44" s="103"/>
    </row>
    <row r="45" spans="2:9" ht="14.25" customHeight="1" x14ac:dyDescent="0.35">
      <c r="B45" s="103"/>
      <c r="C45" s="103"/>
      <c r="D45" s="103"/>
      <c r="E45" s="103"/>
      <c r="F45" s="103"/>
      <c r="G45" s="103"/>
      <c r="H45" s="103"/>
      <c r="I45" s="103"/>
    </row>
    <row r="46" spans="2:9" ht="14.25" customHeight="1" x14ac:dyDescent="0.35">
      <c r="B46" s="104" t="s">
        <v>289</v>
      </c>
      <c r="C46" s="119">
        <f>FCFF!C13*G40</f>
        <v>3.8401834340299527E-3</v>
      </c>
      <c r="D46" s="103"/>
      <c r="E46" s="103"/>
      <c r="F46" s="103"/>
      <c r="G46" s="103"/>
      <c r="H46" s="103"/>
      <c r="I46" s="103"/>
    </row>
    <row r="47" spans="2:9" ht="14.25" customHeight="1" x14ac:dyDescent="0.35">
      <c r="B47" s="103"/>
      <c r="C47" s="103"/>
      <c r="D47" s="103"/>
      <c r="E47" s="103"/>
      <c r="F47" s="103"/>
      <c r="G47" s="103"/>
      <c r="H47" s="103"/>
      <c r="I47" s="103"/>
    </row>
  </sheetData>
  <mergeCells count="1">
    <mergeCell ref="B19:D19"/>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CEAF7"/>
  </sheetPr>
  <dimension ref="B2:H13"/>
  <sheetViews>
    <sheetView zoomScaleNormal="100" workbookViewId="0">
      <selection activeCell="C7" sqref="C7"/>
    </sheetView>
  </sheetViews>
  <sheetFormatPr defaultColWidth="8.54296875" defaultRowHeight="14.5" x14ac:dyDescent="0.35"/>
  <cols>
    <col min="2" max="2" width="35.08984375" customWidth="1"/>
    <col min="3" max="7" width="11.26953125" customWidth="1"/>
  </cols>
  <sheetData>
    <row r="2" spans="2:8" ht="14.25" customHeight="1" x14ac:dyDescent="0.35">
      <c r="B2" s="120" t="s">
        <v>44</v>
      </c>
      <c r="C2" s="120" t="s">
        <v>290</v>
      </c>
      <c r="D2" s="120" t="s">
        <v>291</v>
      </c>
      <c r="E2" s="120" t="s">
        <v>292</v>
      </c>
      <c r="F2" s="120" t="s">
        <v>293</v>
      </c>
      <c r="G2" s="120" t="s">
        <v>294</v>
      </c>
      <c r="H2" s="120" t="s">
        <v>295</v>
      </c>
    </row>
    <row r="3" spans="2:8" ht="14.25" customHeight="1" x14ac:dyDescent="0.35">
      <c r="B3" s="114" t="s">
        <v>296</v>
      </c>
      <c r="C3" s="104"/>
      <c r="D3" s="121">
        <f>C7</f>
        <v>2995</v>
      </c>
      <c r="E3" s="121">
        <f>D7</f>
        <v>3044</v>
      </c>
      <c r="F3" s="121">
        <f>E7</f>
        <v>3044</v>
      </c>
      <c r="G3" s="121">
        <f>F7</f>
        <v>3460</v>
      </c>
      <c r="H3" s="121">
        <f>G7</f>
        <v>5474</v>
      </c>
    </row>
    <row r="4" spans="2:8" ht="14.25" customHeight="1" x14ac:dyDescent="0.35">
      <c r="B4" s="114" t="s">
        <v>297</v>
      </c>
      <c r="C4" s="104"/>
      <c r="D4" s="121">
        <f>D5-D3</f>
        <v>452.01000000000022</v>
      </c>
      <c r="E4" s="104">
        <f>E5-E3</f>
        <v>428.90999999999985</v>
      </c>
      <c r="F4" s="104">
        <f>F5-F3</f>
        <v>953.77999999999975</v>
      </c>
      <c r="G4" s="104">
        <f>G5-G3</f>
        <v>2532.17</v>
      </c>
      <c r="H4" s="104">
        <f>H5-H3</f>
        <v>1515.2299999999996</v>
      </c>
    </row>
    <row r="5" spans="2:8" ht="14.25" customHeight="1" x14ac:dyDescent="0.35">
      <c r="B5" s="114" t="s">
        <v>298</v>
      </c>
      <c r="C5" s="121">
        <f>C7+C6</f>
        <v>3385.19</v>
      </c>
      <c r="D5" s="104">
        <f>D6+D7</f>
        <v>3447.01</v>
      </c>
      <c r="E5" s="104">
        <f>E6+E7</f>
        <v>3472.91</v>
      </c>
      <c r="F5" s="104">
        <f>F6+F7</f>
        <v>3997.7799999999997</v>
      </c>
      <c r="G5" s="104">
        <f>G6+G7</f>
        <v>5992.17</v>
      </c>
      <c r="H5" s="104">
        <f>H6+H7</f>
        <v>6989.23</v>
      </c>
    </row>
    <row r="6" spans="2:8" ht="14.25" customHeight="1" x14ac:dyDescent="0.35">
      <c r="B6" s="114" t="s">
        <v>299</v>
      </c>
      <c r="C6" s="104">
        <f>'Standalone Financials'!C20</f>
        <v>390.19</v>
      </c>
      <c r="D6" s="104">
        <f>'Standalone Financials'!D20</f>
        <v>403.01</v>
      </c>
      <c r="E6" s="104">
        <f>'Standalone Financials'!E20</f>
        <v>428.91</v>
      </c>
      <c r="F6" s="104">
        <f>'Standalone Financials'!F20</f>
        <v>537.78</v>
      </c>
      <c r="G6" s="104">
        <f>'Standalone Financials'!G20</f>
        <v>518.16999999999996</v>
      </c>
      <c r="H6" s="104">
        <f>'Standalone Financials'!H20</f>
        <v>699.23</v>
      </c>
    </row>
    <row r="7" spans="2:8" ht="14.25" customHeight="1" x14ac:dyDescent="0.35">
      <c r="B7" s="114" t="s">
        <v>300</v>
      </c>
      <c r="C7" s="121">
        <f>'Standalone Financials'!Q14</f>
        <v>2995</v>
      </c>
      <c r="D7" s="121">
        <f>'Standalone Financials'!R14</f>
        <v>3044</v>
      </c>
      <c r="E7" s="121">
        <f>'Standalone Financials'!S14</f>
        <v>3044</v>
      </c>
      <c r="F7" s="121">
        <f>'Standalone Financials'!T14</f>
        <v>3460</v>
      </c>
      <c r="G7" s="121">
        <f>'Standalone Financials'!U14</f>
        <v>5474</v>
      </c>
      <c r="H7" s="121">
        <f>'Standalone Financials'!V14</f>
        <v>6290</v>
      </c>
    </row>
    <row r="8" spans="2:8" ht="14.25" customHeight="1" x14ac:dyDescent="0.35">
      <c r="B8" s="104"/>
      <c r="C8" s="104"/>
      <c r="D8" s="88"/>
      <c r="E8" s="88"/>
      <c r="F8" s="88"/>
      <c r="G8" s="88"/>
    </row>
    <row r="9" spans="2:8" ht="14.25" customHeight="1" x14ac:dyDescent="0.35">
      <c r="B9" s="114" t="s">
        <v>301</v>
      </c>
      <c r="C9" s="104"/>
      <c r="D9" s="121">
        <f>D4-D6</f>
        <v>49.000000000000227</v>
      </c>
      <c r="E9" s="104">
        <f>E4-E6</f>
        <v>0</v>
      </c>
      <c r="F9" s="104">
        <f>F4-F6</f>
        <v>415.99999999999977</v>
      </c>
      <c r="G9" s="104">
        <f>G4-G6</f>
        <v>2014</v>
      </c>
      <c r="H9" s="104">
        <f>H4-H6</f>
        <v>815.99999999999955</v>
      </c>
    </row>
    <row r="10" spans="2:8" ht="14.25" customHeight="1" x14ac:dyDescent="0.35">
      <c r="B10" s="114" t="s">
        <v>302</v>
      </c>
      <c r="C10" s="104"/>
      <c r="D10" s="122">
        <f>D9/'Standalone Financials'!C5</f>
        <v>3.331200911525359E-3</v>
      </c>
      <c r="E10" s="122">
        <f>E9/'Standalone Financials'!D5</f>
        <v>0</v>
      </c>
      <c r="F10" s="122">
        <f>F9/'Standalone Financials'!E5</f>
        <v>2.1750155544982552E-2</v>
      </c>
      <c r="G10" s="122">
        <f>G9/'Standalone Financials'!F5</f>
        <v>8.256165785776684E-2</v>
      </c>
      <c r="H10" s="122">
        <f>H9/'Standalone Financials'!G5</f>
        <v>4.0392920150721011E-2</v>
      </c>
    </row>
    <row r="11" spans="2:8" ht="14.25" customHeight="1" x14ac:dyDescent="0.35">
      <c r="B11" s="103"/>
      <c r="C11" s="103"/>
      <c r="D11" s="103"/>
      <c r="E11" s="103"/>
      <c r="F11" s="103"/>
      <c r="G11" s="103"/>
    </row>
    <row r="12" spans="2:8" ht="14.25" customHeight="1" x14ac:dyDescent="0.35">
      <c r="B12" s="104" t="s">
        <v>303</v>
      </c>
      <c r="C12" s="115">
        <f>MEDIAN(D10:H10)</f>
        <v>2.1750155544982552E-2</v>
      </c>
      <c r="D12" s="103"/>
      <c r="E12" s="103"/>
      <c r="F12" s="103"/>
      <c r="G12" s="103"/>
    </row>
    <row r="13" spans="2:8" ht="14.25" customHeight="1" x14ac:dyDescent="0.35">
      <c r="B13" s="104" t="s">
        <v>304</v>
      </c>
      <c r="C13" s="115">
        <f>AVERAGE(D10:H10)</f>
        <v>2.9607186892999154E-2</v>
      </c>
      <c r="D13" s="103"/>
      <c r="E13" s="103"/>
      <c r="F13" s="103"/>
      <c r="G13" s="103"/>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EAF7"/>
  </sheetPr>
  <dimension ref="B2:H11"/>
  <sheetViews>
    <sheetView zoomScaleNormal="100" workbookViewId="0">
      <selection activeCell="D7" sqref="D7"/>
    </sheetView>
  </sheetViews>
  <sheetFormatPr defaultColWidth="8.54296875" defaultRowHeight="14.5" x14ac:dyDescent="0.35"/>
  <cols>
    <col min="2" max="2" width="28.90625" customWidth="1"/>
    <col min="3" max="7" width="10.36328125" customWidth="1"/>
  </cols>
  <sheetData>
    <row r="2" spans="2:8" ht="14.25" customHeight="1" x14ac:dyDescent="0.35">
      <c r="B2" s="123" t="s">
        <v>44</v>
      </c>
      <c r="C2" s="123" t="s">
        <v>290</v>
      </c>
      <c r="D2" s="123" t="s">
        <v>291</v>
      </c>
      <c r="E2" s="123" t="s">
        <v>292</v>
      </c>
      <c r="F2" s="123" t="s">
        <v>293</v>
      </c>
      <c r="G2" s="123" t="s">
        <v>294</v>
      </c>
      <c r="H2" s="123" t="s">
        <v>295</v>
      </c>
    </row>
    <row r="3" spans="2:8" ht="14.25" customHeight="1" x14ac:dyDescent="0.35">
      <c r="B3" s="114" t="s">
        <v>133</v>
      </c>
      <c r="C3" s="121">
        <f>'Standalone Financials'!Q30</f>
        <v>1593</v>
      </c>
      <c r="D3" s="121">
        <f>'Standalone Financials'!R30</f>
        <v>1929</v>
      </c>
      <c r="E3" s="121">
        <f>'Standalone Financials'!S30</f>
        <v>1929</v>
      </c>
      <c r="F3" s="121">
        <f>'Standalone Financials'!T30</f>
        <v>2089</v>
      </c>
      <c r="G3" s="121">
        <f>'Standalone Financials'!U30</f>
        <v>2850</v>
      </c>
      <c r="H3" s="121">
        <f>'Standalone Financials'!V30</f>
        <v>2569</v>
      </c>
    </row>
    <row r="4" spans="2:8" ht="14.25" customHeight="1" x14ac:dyDescent="0.35">
      <c r="B4" s="114" t="s">
        <v>305</v>
      </c>
      <c r="C4" s="121">
        <f>'Standalone Financials'!Q31</f>
        <v>166</v>
      </c>
      <c r="D4" s="121">
        <f>'Standalone Financials'!R31</f>
        <v>192</v>
      </c>
      <c r="E4" s="121">
        <f>'Standalone Financials'!S31</f>
        <v>192</v>
      </c>
      <c r="F4" s="121">
        <f>'Standalone Financials'!T31</f>
        <v>300</v>
      </c>
      <c r="G4" s="121">
        <f>'Standalone Financials'!U31</f>
        <v>363</v>
      </c>
      <c r="H4" s="121">
        <f>'Standalone Financials'!V31</f>
        <v>329</v>
      </c>
    </row>
    <row r="5" spans="2:8" ht="14.25" customHeight="1" x14ac:dyDescent="0.35">
      <c r="B5" s="114" t="s">
        <v>196</v>
      </c>
      <c r="C5" s="121">
        <f>'Standalone Financials'!Q10</f>
        <v>1748</v>
      </c>
      <c r="D5" s="121">
        <f>'Standalone Financials'!R10</f>
        <v>2121</v>
      </c>
      <c r="E5" s="121">
        <f>'Standalone Financials'!S10</f>
        <v>2121</v>
      </c>
      <c r="F5" s="121">
        <f>'Standalone Financials'!T10</f>
        <v>2812</v>
      </c>
      <c r="G5" s="121">
        <f>'Standalone Financials'!U10</f>
        <v>2624</v>
      </c>
      <c r="H5" s="121">
        <f>'Standalone Financials'!V10</f>
        <v>3160</v>
      </c>
    </row>
    <row r="6" spans="2:8" ht="14.25" customHeight="1" x14ac:dyDescent="0.35">
      <c r="B6" s="114" t="s">
        <v>306</v>
      </c>
      <c r="C6" s="121">
        <f t="shared" ref="C6:H6" si="0">C3+C4-C5</f>
        <v>11</v>
      </c>
      <c r="D6" s="121">
        <f t="shared" si="0"/>
        <v>0</v>
      </c>
      <c r="E6" s="121">
        <f t="shared" si="0"/>
        <v>0</v>
      </c>
      <c r="F6" s="121">
        <f t="shared" si="0"/>
        <v>-423</v>
      </c>
      <c r="G6" s="121">
        <f t="shared" si="0"/>
        <v>589</v>
      </c>
      <c r="H6" s="121">
        <f t="shared" si="0"/>
        <v>-262</v>
      </c>
    </row>
    <row r="7" spans="2:8" ht="14.25" customHeight="1" x14ac:dyDescent="0.35">
      <c r="B7" s="114" t="s">
        <v>307</v>
      </c>
      <c r="C7" s="124"/>
      <c r="D7" s="121">
        <f>D6-C6</f>
        <v>-11</v>
      </c>
      <c r="E7" s="121">
        <f>E6-D6</f>
        <v>0</v>
      </c>
      <c r="F7" s="121">
        <f>F6-E6</f>
        <v>-423</v>
      </c>
      <c r="G7" s="121">
        <f>G6-F6</f>
        <v>1012</v>
      </c>
      <c r="H7" s="121">
        <f>H6-G6</f>
        <v>-851</v>
      </c>
    </row>
    <row r="8" spans="2:8" ht="14.25" customHeight="1" x14ac:dyDescent="0.35">
      <c r="B8" s="114" t="s">
        <v>308</v>
      </c>
      <c r="C8" s="124"/>
      <c r="D8" s="121">
        <f>(D7/'Standalone Financials'!C5)</f>
        <v>-7.4782061279140362E-4</v>
      </c>
      <c r="E8" s="121">
        <f>(E7/'Standalone Financials'!D5)</f>
        <v>0</v>
      </c>
      <c r="F8" s="121">
        <f>(F7/'Standalone Financials'!E5)</f>
        <v>-2.2116143739249097E-2</v>
      </c>
      <c r="G8" s="121">
        <f>(G7/'Standalone Financials'!F5)</f>
        <v>4.1485798288013923E-2</v>
      </c>
      <c r="H8" s="121">
        <f>(H7/'Standalone Financials'!G5)</f>
        <v>-4.2125459617970096E-2</v>
      </c>
    </row>
    <row r="9" spans="2:8" ht="14.25" customHeight="1" x14ac:dyDescent="0.35">
      <c r="B9" s="3"/>
      <c r="C9" s="125"/>
      <c r="D9" s="125"/>
      <c r="E9" s="125"/>
      <c r="F9" s="125"/>
      <c r="G9" s="125"/>
      <c r="H9" s="3"/>
    </row>
    <row r="10" spans="2:8" ht="14.25" customHeight="1" x14ac:dyDescent="0.35">
      <c r="B10" s="114" t="s">
        <v>309</v>
      </c>
      <c r="C10" s="121">
        <f>MEDIAN(D8:H8)</f>
        <v>-7.4782061279140362E-4</v>
      </c>
      <c r="D10" s="125"/>
      <c r="E10" s="125"/>
      <c r="F10" s="125"/>
      <c r="G10" s="125"/>
      <c r="H10" s="3"/>
    </row>
    <row r="11" spans="2:8" ht="14.25" customHeight="1" x14ac:dyDescent="0.35">
      <c r="B11" s="3"/>
      <c r="C11" s="3"/>
      <c r="D11" s="3"/>
      <c r="E11" s="3"/>
      <c r="F11" s="3"/>
      <c r="G11" s="3"/>
      <c r="H11" s="3"/>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89999084444715716"/>
  </sheetPr>
  <dimension ref="B2:H16"/>
  <sheetViews>
    <sheetView zoomScaleNormal="100" workbookViewId="0">
      <selection activeCell="D11" sqref="D11"/>
    </sheetView>
  </sheetViews>
  <sheetFormatPr defaultColWidth="8.54296875" defaultRowHeight="14" x14ac:dyDescent="0.3"/>
  <cols>
    <col min="1" max="1" width="8.54296875" style="3"/>
    <col min="2" max="2" width="35.7265625" style="3" customWidth="1"/>
    <col min="3" max="7" width="11.453125" style="3" customWidth="1"/>
    <col min="8" max="16384" width="8.54296875" style="3"/>
  </cols>
  <sheetData>
    <row r="2" spans="2:8" ht="14.25" customHeight="1" x14ac:dyDescent="0.3">
      <c r="B2" s="123" t="s">
        <v>44</v>
      </c>
      <c r="C2" s="123" t="s">
        <v>290</v>
      </c>
      <c r="D2" s="123" t="s">
        <v>291</v>
      </c>
      <c r="E2" s="123" t="s">
        <v>292</v>
      </c>
      <c r="F2" s="123" t="s">
        <v>293</v>
      </c>
      <c r="G2" s="123" t="s">
        <v>294</v>
      </c>
      <c r="H2" s="123" t="s">
        <v>295</v>
      </c>
    </row>
    <row r="3" spans="2:8" ht="14.25" customHeight="1" x14ac:dyDescent="0.3">
      <c r="B3" s="114" t="s">
        <v>260</v>
      </c>
      <c r="C3" s="121">
        <f>Assumptions!C11</f>
        <v>3138.65</v>
      </c>
      <c r="D3" s="121">
        <f>Assumptions!D11</f>
        <v>3059.2699999999986</v>
      </c>
      <c r="E3" s="121">
        <f>Assumptions!E11</f>
        <v>4002.0699999999997</v>
      </c>
      <c r="F3" s="121">
        <f>Assumptions!F11</f>
        <v>5236.3500000000013</v>
      </c>
      <c r="G3" s="121">
        <f>Assumptions!G11</f>
        <v>4094.1300000000028</v>
      </c>
      <c r="H3" s="121">
        <f>Assumptions!H11</f>
        <v>4438.5999999999985</v>
      </c>
    </row>
    <row r="4" spans="2:8" ht="14.25" customHeight="1" x14ac:dyDescent="0.3">
      <c r="B4" s="114" t="s">
        <v>310</v>
      </c>
      <c r="C4" s="104">
        <f t="shared" ref="C4:H4" si="0">25%*C3</f>
        <v>784.66250000000002</v>
      </c>
      <c r="D4" s="104">
        <f t="shared" si="0"/>
        <v>764.81749999999965</v>
      </c>
      <c r="E4" s="104">
        <f t="shared" si="0"/>
        <v>1000.5174999999999</v>
      </c>
      <c r="F4" s="104">
        <f t="shared" si="0"/>
        <v>1309.0875000000003</v>
      </c>
      <c r="G4" s="104">
        <f t="shared" si="0"/>
        <v>1023.5325000000007</v>
      </c>
      <c r="H4" s="104">
        <f t="shared" si="0"/>
        <v>1109.6499999999996</v>
      </c>
    </row>
    <row r="5" spans="2:8" ht="14.25" customHeight="1" x14ac:dyDescent="0.3">
      <c r="B5" s="114" t="s">
        <v>311</v>
      </c>
      <c r="C5" s="104">
        <f t="shared" ref="C5:H5" si="1">C3-C4</f>
        <v>2353.9875000000002</v>
      </c>
      <c r="D5" s="104">
        <f t="shared" si="1"/>
        <v>2294.452499999999</v>
      </c>
      <c r="E5" s="104">
        <f t="shared" si="1"/>
        <v>3001.5524999999998</v>
      </c>
      <c r="F5" s="104">
        <f t="shared" si="1"/>
        <v>3927.2625000000007</v>
      </c>
      <c r="G5" s="104">
        <f t="shared" si="1"/>
        <v>3070.5975000000021</v>
      </c>
      <c r="H5" s="104">
        <f t="shared" si="1"/>
        <v>3328.9499999999989</v>
      </c>
    </row>
    <row r="6" spans="2:8" ht="14.25" customHeight="1" x14ac:dyDescent="0.3">
      <c r="B6" s="114" t="s">
        <v>312</v>
      </c>
      <c r="C6" s="88"/>
      <c r="D6" s="121">
        <f>'Fixed asset schedule'!D9</f>
        <v>49.000000000000227</v>
      </c>
      <c r="E6" s="104">
        <f>'Fixed asset schedule'!E9</f>
        <v>0</v>
      </c>
      <c r="F6" s="104">
        <f>'Fixed asset schedule'!F9</f>
        <v>415.99999999999977</v>
      </c>
      <c r="G6" s="104">
        <f>'Fixed asset schedule'!G9</f>
        <v>2014</v>
      </c>
      <c r="H6" s="104">
        <f>'Fixed asset schedule'!H9</f>
        <v>815.99999999999955</v>
      </c>
    </row>
    <row r="7" spans="2:8" ht="14.25" customHeight="1" x14ac:dyDescent="0.3">
      <c r="B7" s="114" t="s">
        <v>313</v>
      </c>
      <c r="C7" s="88"/>
      <c r="D7" s="121">
        <f>'Change In WC'!D7</f>
        <v>-11</v>
      </c>
      <c r="E7" s="121">
        <f>'Change In WC'!E7</f>
        <v>0</v>
      </c>
      <c r="F7" s="121">
        <f>'Change In WC'!F7</f>
        <v>-423</v>
      </c>
      <c r="G7" s="121">
        <f>'Change In WC'!G7</f>
        <v>1012</v>
      </c>
      <c r="H7" s="121">
        <f>'Change In WC'!H7</f>
        <v>-851</v>
      </c>
    </row>
    <row r="8" spans="2:8" ht="14.25" customHeight="1" x14ac:dyDescent="0.3">
      <c r="B8" s="114" t="s">
        <v>314</v>
      </c>
      <c r="C8" s="104">
        <f t="shared" ref="C8:H8" si="2">SUM(C6:C7)</f>
        <v>0</v>
      </c>
      <c r="D8" s="104">
        <f t="shared" si="2"/>
        <v>38.000000000000227</v>
      </c>
      <c r="E8" s="104">
        <f t="shared" si="2"/>
        <v>0</v>
      </c>
      <c r="F8" s="104">
        <f t="shared" si="2"/>
        <v>-7.0000000000002274</v>
      </c>
      <c r="G8" s="104">
        <f t="shared" si="2"/>
        <v>3026</v>
      </c>
      <c r="H8" s="104">
        <f t="shared" si="2"/>
        <v>-35.000000000000455</v>
      </c>
    </row>
    <row r="9" spans="2:8" ht="14.25" customHeight="1" x14ac:dyDescent="0.3">
      <c r="B9" s="114" t="s">
        <v>315</v>
      </c>
      <c r="C9" s="104">
        <f t="shared" ref="C9:H9" si="3">C5-C8</f>
        <v>2353.9875000000002</v>
      </c>
      <c r="D9" s="104">
        <f t="shared" si="3"/>
        <v>2256.4524999999985</v>
      </c>
      <c r="E9" s="104">
        <f t="shared" si="3"/>
        <v>3001.5524999999998</v>
      </c>
      <c r="F9" s="104">
        <f t="shared" si="3"/>
        <v>3934.2625000000007</v>
      </c>
      <c r="G9" s="104">
        <f t="shared" si="3"/>
        <v>44.597500000002128</v>
      </c>
      <c r="H9" s="104">
        <f t="shared" si="3"/>
        <v>3363.9499999999994</v>
      </c>
    </row>
    <row r="10" spans="2:8" ht="14.25" customHeight="1" x14ac:dyDescent="0.3"/>
    <row r="11" spans="2:8" ht="14.25" customHeight="1" x14ac:dyDescent="0.3">
      <c r="B11" s="88" t="s">
        <v>316</v>
      </c>
      <c r="C11" s="126"/>
      <c r="D11" s="126">
        <f>D8/D3</f>
        <v>1.2421263896289064E-2</v>
      </c>
      <c r="E11" s="126">
        <f>E8/E3</f>
        <v>0</v>
      </c>
      <c r="F11" s="126">
        <f>F8/F3</f>
        <v>-1.336809036829132E-3</v>
      </c>
      <c r="G11" s="126">
        <f>G8/G3</f>
        <v>0.73910696533817877</v>
      </c>
      <c r="H11" s="126">
        <f>H8/H3</f>
        <v>-7.8853692605777639E-3</v>
      </c>
    </row>
    <row r="12" spans="2:8" ht="14.25" customHeight="1" x14ac:dyDescent="0.3"/>
    <row r="13" spans="2:8" ht="14.25" customHeight="1" x14ac:dyDescent="0.3">
      <c r="B13" s="104" t="s">
        <v>317</v>
      </c>
      <c r="C13" s="115">
        <f>MEDIAN(D11:G11)</f>
        <v>6.2106319481445319E-3</v>
      </c>
    </row>
    <row r="14" spans="2:8" ht="14.25" customHeight="1" x14ac:dyDescent="0.3">
      <c r="B14" s="104" t="s">
        <v>318</v>
      </c>
      <c r="C14" s="115">
        <f>AVERAGE(D11:G11)</f>
        <v>0.18754785504940968</v>
      </c>
    </row>
    <row r="15" spans="2:8" ht="14.25" customHeight="1" x14ac:dyDescent="0.3"/>
    <row r="16" spans="2:8" ht="14.25" customHeight="1" x14ac:dyDescent="0.3"/>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sheetPr>
  <dimension ref="B1:I16"/>
  <sheetViews>
    <sheetView zoomScale="79" zoomScaleNormal="79" workbookViewId="0">
      <selection activeCell="E19" sqref="E19"/>
    </sheetView>
  </sheetViews>
  <sheetFormatPr defaultColWidth="8.54296875" defaultRowHeight="14.5" x14ac:dyDescent="0.35"/>
  <cols>
    <col min="2" max="2" width="17.26953125" customWidth="1"/>
    <col min="3" max="3" width="11.1796875" customWidth="1"/>
    <col min="5" max="5" width="18.36328125" customWidth="1"/>
    <col min="8" max="8" width="22.54296875" customWidth="1"/>
    <col min="9" max="9" width="10" customWidth="1"/>
  </cols>
  <sheetData>
    <row r="1" spans="2:9" ht="15" customHeight="1" x14ac:dyDescent="0.35"/>
    <row r="2" spans="2:9" ht="18" customHeight="1" x14ac:dyDescent="0.35">
      <c r="B2" s="288" t="s">
        <v>319</v>
      </c>
      <c r="C2" s="288"/>
      <c r="D2" s="288"/>
      <c r="E2" s="288"/>
      <c r="F2" s="288"/>
      <c r="G2" s="288"/>
      <c r="H2" s="288"/>
      <c r="I2" s="288"/>
    </row>
    <row r="3" spans="2:9" ht="18" customHeight="1" x14ac:dyDescent="0.35">
      <c r="B3" s="289" t="s">
        <v>320</v>
      </c>
      <c r="C3" s="289"/>
      <c r="D3" s="289"/>
      <c r="E3" s="289"/>
      <c r="F3" s="289"/>
      <c r="G3" s="289"/>
      <c r="H3" s="289"/>
      <c r="I3" s="289"/>
    </row>
    <row r="4" spans="2:9" ht="15" customHeight="1" x14ac:dyDescent="0.35">
      <c r="B4" s="127" t="s">
        <v>321</v>
      </c>
      <c r="C4" s="128" t="s">
        <v>322</v>
      </c>
      <c r="D4" s="3"/>
      <c r="E4" s="127" t="s">
        <v>323</v>
      </c>
      <c r="F4" s="128" t="s">
        <v>322</v>
      </c>
      <c r="G4" s="3"/>
      <c r="H4" s="127" t="s">
        <v>324</v>
      </c>
      <c r="I4" s="128" t="s">
        <v>322</v>
      </c>
    </row>
    <row r="5" spans="2:9" ht="14.25" customHeight="1" x14ac:dyDescent="0.35">
      <c r="B5" s="129" t="s">
        <v>108</v>
      </c>
      <c r="C5" s="130">
        <f>'Standalone Financials'!U6+'Standalone Financials'!U7</f>
        <v>753</v>
      </c>
      <c r="D5" s="3"/>
      <c r="E5" s="129" t="s">
        <v>325</v>
      </c>
      <c r="F5" s="131">
        <v>6.7369999999999999E-2</v>
      </c>
      <c r="G5" s="3"/>
      <c r="H5" s="129" t="s">
        <v>326</v>
      </c>
      <c r="I5" s="132">
        <f>'Standalone Financials'!G18/C5</f>
        <v>0.18061088977423639</v>
      </c>
    </row>
    <row r="6" spans="2:9" ht="14.25" customHeight="1" x14ac:dyDescent="0.35">
      <c r="B6" s="129" t="s">
        <v>327</v>
      </c>
      <c r="C6" s="130">
        <f>'Standalone Financials'!U3+'Standalone Financials'!U4</f>
        <v>4117</v>
      </c>
      <c r="D6" s="3"/>
      <c r="E6" s="129" t="s">
        <v>226</v>
      </c>
      <c r="F6" s="130">
        <f>Beta!K5</f>
        <v>0.49579970950600694</v>
      </c>
      <c r="G6" s="3"/>
      <c r="H6" s="129" t="s">
        <v>328</v>
      </c>
      <c r="I6" s="133">
        <f>Assumptions!G30</f>
        <v>0.25</v>
      </c>
    </row>
    <row r="7" spans="2:9" ht="15" customHeight="1" x14ac:dyDescent="0.35">
      <c r="B7" s="134" t="s">
        <v>329</v>
      </c>
      <c r="C7" s="135">
        <f>SUM(C5:C6)</f>
        <v>4870</v>
      </c>
      <c r="D7" s="3"/>
      <c r="E7" s="129" t="s">
        <v>330</v>
      </c>
      <c r="F7" s="131">
        <v>7.4399999999999994E-2</v>
      </c>
      <c r="G7" s="3"/>
      <c r="H7" s="136" t="s">
        <v>331</v>
      </c>
      <c r="I7" s="137">
        <f>I5*(1-I6)</f>
        <v>0.13545816733067728</v>
      </c>
    </row>
    <row r="8" spans="2:9" ht="15" customHeight="1" x14ac:dyDescent="0.35">
      <c r="B8" s="129" t="s">
        <v>332</v>
      </c>
      <c r="C8" s="131">
        <f>C5/C7</f>
        <v>0.15462012320328541</v>
      </c>
      <c r="D8" s="3"/>
      <c r="E8" s="138" t="s">
        <v>333</v>
      </c>
      <c r="F8" s="139">
        <f>F5+F6*F7</f>
        <v>0.10425749838724691</v>
      </c>
      <c r="G8" s="3"/>
      <c r="H8" s="3"/>
      <c r="I8" s="3"/>
    </row>
    <row r="9" spans="2:9" ht="15" customHeight="1" x14ac:dyDescent="0.35">
      <c r="B9" s="129" t="s">
        <v>334</v>
      </c>
      <c r="C9" s="131">
        <f>C6/C7</f>
        <v>0.84537987679671456</v>
      </c>
      <c r="D9" s="3"/>
      <c r="E9" s="3"/>
      <c r="F9" s="3"/>
      <c r="G9" s="3"/>
      <c r="H9" s="140" t="s">
        <v>335</v>
      </c>
      <c r="I9" s="141">
        <f>E16-0.04</f>
        <v>6.908174966330502E-2</v>
      </c>
    </row>
    <row r="10" spans="2:9" ht="15" customHeight="1" x14ac:dyDescent="0.35">
      <c r="B10" s="136" t="s">
        <v>336</v>
      </c>
      <c r="C10" s="142">
        <f>C5/C6</f>
        <v>0.18290017002671849</v>
      </c>
      <c r="D10" s="3"/>
      <c r="E10" s="3"/>
      <c r="F10" s="3"/>
      <c r="G10" s="3"/>
      <c r="H10" s="3"/>
      <c r="I10" s="3"/>
    </row>
    <row r="11" spans="2:9" ht="15" customHeight="1" x14ac:dyDescent="0.35">
      <c r="B11" s="3"/>
      <c r="C11" s="3"/>
      <c r="D11" s="3"/>
      <c r="E11" s="3"/>
      <c r="F11" s="3"/>
      <c r="G11" s="3"/>
      <c r="H11" s="3"/>
      <c r="I11" s="3"/>
    </row>
    <row r="12" spans="2:9" ht="15.75" customHeight="1" x14ac:dyDescent="0.35">
      <c r="B12" s="290" t="s">
        <v>337</v>
      </c>
      <c r="C12" s="290"/>
      <c r="D12" s="290"/>
      <c r="E12" s="290"/>
      <c r="F12" s="3"/>
      <c r="G12" s="3"/>
      <c r="H12" s="3"/>
      <c r="I12" s="3"/>
    </row>
    <row r="13" spans="2:9" ht="15" customHeight="1" x14ac:dyDescent="0.35">
      <c r="B13" s="127" t="s">
        <v>338</v>
      </c>
      <c r="C13" s="128" t="s">
        <v>339</v>
      </c>
      <c r="D13" s="127" t="s">
        <v>340</v>
      </c>
      <c r="E13" s="128" t="s">
        <v>341</v>
      </c>
      <c r="F13" s="3"/>
      <c r="G13" s="3"/>
      <c r="H13" s="3"/>
      <c r="I13" s="3"/>
    </row>
    <row r="14" spans="2:9" ht="14.25" customHeight="1" x14ac:dyDescent="0.35">
      <c r="B14" s="143" t="s">
        <v>342</v>
      </c>
      <c r="C14" s="144">
        <f>C8</f>
        <v>0.15462012320328541</v>
      </c>
      <c r="D14" s="144">
        <f>I7</f>
        <v>0.13545816733067728</v>
      </c>
      <c r="E14" s="145">
        <f>C14*D14</f>
        <v>2.0944558521560571E-2</v>
      </c>
      <c r="F14" s="3"/>
      <c r="G14" s="3"/>
      <c r="H14" s="3"/>
      <c r="I14" s="3"/>
    </row>
    <row r="15" spans="2:9" ht="14.25" customHeight="1" x14ac:dyDescent="0.35">
      <c r="B15" s="146" t="s">
        <v>343</v>
      </c>
      <c r="C15" s="147">
        <f>C9</f>
        <v>0.84537987679671456</v>
      </c>
      <c r="D15" s="147">
        <f>F8</f>
        <v>0.10425749838724691</v>
      </c>
      <c r="E15" s="148">
        <f>C15*D15</f>
        <v>8.8137191141744453E-2</v>
      </c>
      <c r="F15" s="3"/>
      <c r="G15" s="3"/>
      <c r="H15" s="3"/>
      <c r="I15" s="3"/>
    </row>
    <row r="16" spans="2:9" ht="15" customHeight="1" x14ac:dyDescent="0.35">
      <c r="B16" s="149" t="s">
        <v>337</v>
      </c>
      <c r="C16" s="150"/>
      <c r="D16" s="151"/>
      <c r="E16" s="152">
        <f>SUM(E14:E15)</f>
        <v>0.10908174966330503</v>
      </c>
      <c r="F16" s="3"/>
      <c r="G16" s="3"/>
      <c r="H16" s="3"/>
      <c r="I16" s="3"/>
    </row>
  </sheetData>
  <mergeCells count="3">
    <mergeCell ref="B2:I2"/>
    <mergeCell ref="B3:I3"/>
    <mergeCell ref="B12:E12"/>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CEAF7"/>
  </sheetPr>
  <dimension ref="A2:Q9"/>
  <sheetViews>
    <sheetView zoomScaleNormal="100" workbookViewId="0">
      <selection activeCell="E18" sqref="E18"/>
    </sheetView>
  </sheetViews>
  <sheetFormatPr defaultColWidth="8.7265625" defaultRowHeight="14" x14ac:dyDescent="0.3"/>
  <cols>
    <col min="1" max="1" width="5.6328125" style="3" customWidth="1"/>
    <col min="2" max="2" width="15" style="3" customWidth="1"/>
    <col min="3" max="3" width="9.6328125" style="3" customWidth="1"/>
    <col min="4" max="4" width="9.90625" style="3" customWidth="1"/>
    <col min="5" max="5" width="11.54296875" style="3" customWidth="1"/>
    <col min="6" max="6" width="8.6328125" style="3" customWidth="1"/>
    <col min="7" max="7" width="10.36328125" style="3" customWidth="1"/>
    <col min="8" max="8" width="10.26953125" style="3" customWidth="1"/>
    <col min="9" max="9" width="9.36328125" style="3" customWidth="1"/>
    <col min="10" max="10" width="9.08984375" style="3" customWidth="1"/>
    <col min="11" max="11" width="9.7265625" style="3" customWidth="1"/>
    <col min="12" max="12" width="9.36328125" style="3" customWidth="1"/>
    <col min="13" max="13" width="10.36328125" style="3" customWidth="1"/>
    <col min="14" max="14" width="9.6328125" style="3" customWidth="1"/>
    <col min="15" max="15" width="8.6328125" style="3" customWidth="1"/>
    <col min="16" max="16" width="8.7265625" style="3"/>
    <col min="17" max="17" width="9.26953125" style="3" customWidth="1"/>
    <col min="18" max="16384" width="8.7265625" style="3"/>
  </cols>
  <sheetData>
    <row r="2" spans="1:17" ht="33" customHeight="1" x14ac:dyDescent="0.3">
      <c r="A2" s="153" t="s">
        <v>344</v>
      </c>
      <c r="B2" s="153" t="s">
        <v>345</v>
      </c>
      <c r="C2" s="153" t="s">
        <v>346</v>
      </c>
      <c r="D2" s="153" t="s">
        <v>347</v>
      </c>
      <c r="E2" s="153" t="s">
        <v>348</v>
      </c>
      <c r="F2" s="153" t="s">
        <v>349</v>
      </c>
      <c r="G2" s="153" t="s">
        <v>350</v>
      </c>
      <c r="H2" s="153" t="s">
        <v>351</v>
      </c>
      <c r="I2" s="153" t="s">
        <v>352</v>
      </c>
      <c r="J2" s="153" t="s">
        <v>353</v>
      </c>
      <c r="K2" s="153" t="s">
        <v>354</v>
      </c>
      <c r="L2" s="153" t="s">
        <v>355</v>
      </c>
      <c r="M2" s="153" t="s">
        <v>356</v>
      </c>
      <c r="N2" s="153" t="s">
        <v>357</v>
      </c>
      <c r="O2" s="153" t="s">
        <v>358</v>
      </c>
      <c r="P2" s="153" t="s">
        <v>359</v>
      </c>
      <c r="Q2" s="153" t="s">
        <v>360</v>
      </c>
    </row>
    <row r="3" spans="1:17" ht="13.5" customHeight="1" x14ac:dyDescent="0.3">
      <c r="A3" s="154">
        <v>1</v>
      </c>
      <c r="B3" s="155" t="s">
        <v>361</v>
      </c>
      <c r="C3" s="156">
        <v>1457.5</v>
      </c>
      <c r="D3" s="156">
        <v>81.400000000000006</v>
      </c>
      <c r="E3" s="156">
        <v>281051.81</v>
      </c>
      <c r="F3" s="156">
        <v>0.82</v>
      </c>
      <c r="G3" s="156">
        <v>28.84</v>
      </c>
      <c r="H3" s="156">
        <v>6747.79</v>
      </c>
      <c r="I3" s="156">
        <v>22.6</v>
      </c>
      <c r="J3" s="156">
        <v>84.21</v>
      </c>
      <c r="K3" s="156">
        <v>192.83</v>
      </c>
      <c r="L3" s="156">
        <v>444.16</v>
      </c>
      <c r="M3" s="156">
        <v>3544.6</v>
      </c>
      <c r="N3" s="156">
        <v>1340.87</v>
      </c>
      <c r="O3" s="156">
        <v>23154.6</v>
      </c>
      <c r="P3" s="156">
        <v>52.4</v>
      </c>
      <c r="Q3" s="156">
        <v>5306.06</v>
      </c>
    </row>
    <row r="4" spans="1:17" ht="13.5" customHeight="1" x14ac:dyDescent="0.3">
      <c r="A4" s="157">
        <v>2</v>
      </c>
      <c r="B4" s="158" t="s">
        <v>362</v>
      </c>
      <c r="C4" s="159">
        <v>5397.5</v>
      </c>
      <c r="D4" s="159">
        <v>51.29</v>
      </c>
      <c r="E4" s="159">
        <v>130008.69</v>
      </c>
      <c r="F4" s="159">
        <v>1.4</v>
      </c>
      <c r="G4" s="159">
        <v>21.14</v>
      </c>
      <c r="H4" s="159">
        <v>4718.92</v>
      </c>
      <c r="I4" s="159">
        <v>6.47</v>
      </c>
      <c r="J4" s="159">
        <v>56.02</v>
      </c>
      <c r="K4" s="159">
        <v>24.09</v>
      </c>
      <c r="L4" s="159">
        <v>1380.28</v>
      </c>
      <c r="M4" s="159">
        <v>2537.0100000000002</v>
      </c>
      <c r="N4" s="159">
        <v>352.44</v>
      </c>
      <c r="O4" s="159">
        <v>19151.59</v>
      </c>
      <c r="P4" s="159">
        <v>35.049999999999997</v>
      </c>
      <c r="Q4" s="159">
        <v>3514.34</v>
      </c>
    </row>
    <row r="5" spans="1:17" ht="13.5" customHeight="1" x14ac:dyDescent="0.3">
      <c r="A5" s="157">
        <v>3</v>
      </c>
      <c r="B5" s="158" t="s">
        <v>363</v>
      </c>
      <c r="C5" s="159">
        <v>676.35</v>
      </c>
      <c r="D5" s="159">
        <v>67.94</v>
      </c>
      <c r="E5" s="159">
        <v>16958.580000000002</v>
      </c>
      <c r="F5" s="159">
        <v>0.15</v>
      </c>
      <c r="G5" s="159">
        <v>117.64</v>
      </c>
      <c r="H5" s="159">
        <v>790.01</v>
      </c>
      <c r="I5" s="159">
        <v>10.51</v>
      </c>
      <c r="J5" s="159">
        <v>18.16</v>
      </c>
      <c r="K5" s="159">
        <v>25.07</v>
      </c>
      <c r="L5" s="159">
        <v>309.73</v>
      </c>
      <c r="M5" s="159">
        <v>238.46</v>
      </c>
      <c r="N5" s="159">
        <v>219.05</v>
      </c>
      <c r="O5" s="159">
        <v>2883.95</v>
      </c>
      <c r="P5" s="159">
        <v>38.54</v>
      </c>
      <c r="Q5" s="159">
        <v>396.92</v>
      </c>
    </row>
    <row r="6" spans="1:17" ht="13.5" customHeight="1" x14ac:dyDescent="0.3">
      <c r="A6" s="157">
        <v>4</v>
      </c>
      <c r="B6" s="158" t="s">
        <v>364</v>
      </c>
      <c r="C6" s="159">
        <v>510</v>
      </c>
      <c r="D6" s="159">
        <v>67.489999999999995</v>
      </c>
      <c r="E6" s="159">
        <v>16226.14</v>
      </c>
      <c r="F6" s="159">
        <v>0.24</v>
      </c>
      <c r="G6" s="159">
        <v>-643.12</v>
      </c>
      <c r="H6" s="159">
        <v>964.9</v>
      </c>
      <c r="I6" s="159">
        <v>108.9</v>
      </c>
      <c r="J6" s="159">
        <v>6.16</v>
      </c>
      <c r="K6" s="159">
        <v>31.82</v>
      </c>
      <c r="L6" s="159">
        <v>3042</v>
      </c>
      <c r="M6" s="159">
        <v>207.1</v>
      </c>
      <c r="N6" s="159">
        <v>73.900000000000006</v>
      </c>
      <c r="O6" s="159">
        <v>3389.4</v>
      </c>
      <c r="P6" s="159">
        <v>43.95</v>
      </c>
      <c r="Q6" s="159">
        <v>429.6</v>
      </c>
    </row>
    <row r="7" spans="1:17" ht="13.5" customHeight="1" x14ac:dyDescent="0.3">
      <c r="A7" s="157">
        <v>5</v>
      </c>
      <c r="B7" s="158" t="s">
        <v>365</v>
      </c>
      <c r="C7" s="159">
        <v>1536.9</v>
      </c>
      <c r="D7" s="159">
        <v>8.91</v>
      </c>
      <c r="E7" s="159">
        <v>10723.26</v>
      </c>
      <c r="F7" s="159">
        <v>1.1200000000000001</v>
      </c>
      <c r="G7" s="159">
        <v>39.72</v>
      </c>
      <c r="H7" s="159">
        <v>4817.99</v>
      </c>
      <c r="I7" s="159">
        <v>6.62</v>
      </c>
      <c r="J7" s="159">
        <v>33</v>
      </c>
      <c r="K7" s="159">
        <v>6.98</v>
      </c>
      <c r="L7" s="159">
        <v>1590.43</v>
      </c>
      <c r="M7" s="159">
        <v>2499.25</v>
      </c>
      <c r="N7" s="159">
        <v>842.81</v>
      </c>
      <c r="O7" s="159">
        <v>19538.62</v>
      </c>
      <c r="P7" s="159">
        <v>3.06</v>
      </c>
      <c r="Q7" s="159">
        <v>3431.64</v>
      </c>
    </row>
    <row r="8" spans="1:17" ht="13.5" customHeight="1" x14ac:dyDescent="0.3">
      <c r="A8" s="157">
        <v>6</v>
      </c>
      <c r="B8" s="158" t="s">
        <v>366</v>
      </c>
      <c r="C8" s="159">
        <v>184.05</v>
      </c>
      <c r="D8" s="159">
        <v>48.05</v>
      </c>
      <c r="E8" s="159">
        <v>5650.18</v>
      </c>
      <c r="F8" s="159">
        <v>0.69</v>
      </c>
      <c r="G8" s="159">
        <v>21.13</v>
      </c>
      <c r="H8" s="159">
        <v>496.65</v>
      </c>
      <c r="I8" s="159">
        <v>8.5399999999999991</v>
      </c>
      <c r="J8" s="159">
        <v>16.39</v>
      </c>
      <c r="K8" s="159">
        <v>30.7</v>
      </c>
      <c r="L8" s="159">
        <v>182.19</v>
      </c>
      <c r="M8" s="159">
        <v>117.7</v>
      </c>
      <c r="N8" s="159">
        <v>188.55</v>
      </c>
      <c r="O8" s="159">
        <v>1861.62</v>
      </c>
      <c r="P8" s="159">
        <v>22.91</v>
      </c>
      <c r="Q8" s="159">
        <v>221.36</v>
      </c>
    </row>
    <row r="9" spans="1:17" ht="13.5" customHeight="1" x14ac:dyDescent="0.3">
      <c r="A9" s="157">
        <v>7</v>
      </c>
      <c r="B9" s="158" t="s">
        <v>367</v>
      </c>
      <c r="C9" s="159">
        <v>294.5</v>
      </c>
      <c r="D9" s="159">
        <v>82.44</v>
      </c>
      <c r="E9" s="159">
        <v>3670.12</v>
      </c>
      <c r="F9" s="159">
        <v>0.33</v>
      </c>
      <c r="G9" s="159">
        <v>119.01</v>
      </c>
      <c r="H9" s="159">
        <v>409.63</v>
      </c>
      <c r="I9" s="159">
        <v>29.02</v>
      </c>
      <c r="J9" s="159">
        <v>12.14</v>
      </c>
      <c r="K9" s="159">
        <v>12.46</v>
      </c>
      <c r="L9" s="159">
        <v>154.03</v>
      </c>
      <c r="M9" s="159">
        <v>73.650000000000006</v>
      </c>
      <c r="N9" s="159">
        <v>0.75</v>
      </c>
      <c r="O9" s="159">
        <v>1508.23</v>
      </c>
      <c r="P9" s="159">
        <v>36.17</v>
      </c>
      <c r="Q9" s="159">
        <v>101.25</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89999084444715716"/>
  </sheetPr>
  <dimension ref="B2:Q33"/>
  <sheetViews>
    <sheetView zoomScale="89" zoomScaleNormal="89" workbookViewId="0">
      <selection activeCell="H22" sqref="H22"/>
    </sheetView>
  </sheetViews>
  <sheetFormatPr defaultColWidth="8.54296875" defaultRowHeight="14.5" x14ac:dyDescent="0.35"/>
  <sheetData>
    <row r="2" spans="2:17" ht="15" customHeight="1" x14ac:dyDescent="0.35">
      <c r="B2" s="291" t="s">
        <v>368</v>
      </c>
      <c r="C2" s="291"/>
      <c r="D2" s="291"/>
      <c r="E2" s="291"/>
      <c r="F2" s="291"/>
      <c r="G2" s="291"/>
      <c r="H2" s="291"/>
      <c r="I2" s="291"/>
      <c r="J2" s="291"/>
      <c r="K2" s="291"/>
      <c r="L2" s="291"/>
      <c r="M2" s="291"/>
      <c r="N2" s="291"/>
      <c r="O2" s="291"/>
      <c r="P2" s="291"/>
      <c r="Q2" s="291"/>
    </row>
    <row r="3" spans="2:17" ht="14.25" customHeight="1" x14ac:dyDescent="0.35">
      <c r="B3" s="160"/>
      <c r="C3" s="3"/>
      <c r="D3" s="3"/>
      <c r="E3" s="3"/>
      <c r="F3" s="3"/>
      <c r="G3" s="3"/>
      <c r="H3" s="3"/>
      <c r="I3" s="3"/>
      <c r="J3" s="3"/>
      <c r="K3" s="3"/>
      <c r="L3" s="3"/>
      <c r="M3" s="3"/>
      <c r="N3" s="3"/>
      <c r="O3" s="3"/>
      <c r="P3" s="3"/>
      <c r="Q3" s="3"/>
    </row>
    <row r="4" spans="2:17" ht="14.25" customHeight="1" x14ac:dyDescent="0.35">
      <c r="B4" s="161" t="s">
        <v>369</v>
      </c>
      <c r="C4" s="3"/>
      <c r="D4" s="3"/>
      <c r="E4" s="3"/>
      <c r="F4" s="3"/>
      <c r="G4" s="3"/>
      <c r="H4" s="3"/>
      <c r="I4" s="3"/>
      <c r="J4" s="3"/>
      <c r="K4" s="3"/>
      <c r="L4" s="3"/>
      <c r="M4" s="3"/>
      <c r="N4" s="3"/>
      <c r="O4" s="3"/>
      <c r="P4" s="3"/>
      <c r="Q4" s="3"/>
    </row>
    <row r="5" spans="2:17" ht="15" customHeight="1" x14ac:dyDescent="0.35">
      <c r="B5" s="292" t="s">
        <v>370</v>
      </c>
      <c r="C5" s="292"/>
      <c r="D5" s="292"/>
      <c r="E5" s="292"/>
      <c r="F5" s="292"/>
      <c r="G5" s="292"/>
      <c r="H5" s="292"/>
      <c r="I5" s="292"/>
      <c r="J5" s="292"/>
      <c r="K5" s="292"/>
      <c r="L5" s="292"/>
      <c r="M5" s="292"/>
      <c r="N5" s="292"/>
      <c r="O5" s="292"/>
      <c r="P5" s="292"/>
      <c r="Q5" s="292"/>
    </row>
    <row r="6" spans="2:17" ht="14.25" customHeight="1" x14ac:dyDescent="0.35">
      <c r="B6" s="293" t="s">
        <v>371</v>
      </c>
      <c r="C6" s="294" t="s">
        <v>372</v>
      </c>
      <c r="D6" s="294"/>
      <c r="E6" s="294"/>
      <c r="F6" s="294"/>
      <c r="G6" s="294"/>
      <c r="H6" s="294"/>
      <c r="I6" s="295"/>
      <c r="J6" s="293" t="s">
        <v>373</v>
      </c>
      <c r="K6" s="293"/>
      <c r="L6" s="293"/>
      <c r="M6" s="293"/>
      <c r="N6" s="295"/>
      <c r="O6" s="293" t="s">
        <v>374</v>
      </c>
      <c r="P6" s="293"/>
      <c r="Q6" s="293"/>
    </row>
    <row r="7" spans="2:17" ht="27.75" customHeight="1" x14ac:dyDescent="0.35">
      <c r="B7" s="293"/>
      <c r="C7" s="162" t="s">
        <v>375</v>
      </c>
      <c r="D7" s="162" t="s">
        <v>376</v>
      </c>
      <c r="E7" s="162" t="s">
        <v>377</v>
      </c>
      <c r="F7" s="162" t="s">
        <v>378</v>
      </c>
      <c r="G7" s="162" t="s">
        <v>379</v>
      </c>
      <c r="H7" s="163" t="s">
        <v>380</v>
      </c>
      <c r="I7" s="295"/>
      <c r="J7" s="164" t="s">
        <v>381</v>
      </c>
      <c r="K7" s="165" t="s">
        <v>258</v>
      </c>
      <c r="L7" s="165" t="s">
        <v>382</v>
      </c>
      <c r="M7" s="166" t="s">
        <v>383</v>
      </c>
      <c r="N7" s="295"/>
      <c r="O7" s="164" t="s">
        <v>384</v>
      </c>
      <c r="P7" s="165" t="s">
        <v>385</v>
      </c>
      <c r="Q7" s="166" t="s">
        <v>386</v>
      </c>
    </row>
    <row r="8" spans="2:17" ht="14.25" customHeight="1" x14ac:dyDescent="0.35">
      <c r="B8" s="155" t="s">
        <v>361</v>
      </c>
      <c r="C8" s="167">
        <f>'Raw FS valuation'!K3</f>
        <v>192.83</v>
      </c>
      <c r="D8" s="168">
        <f>'Raw FS valuation'!C3</f>
        <v>1457.5</v>
      </c>
      <c r="E8" s="168">
        <f t="shared" ref="E8:E14" si="0">C8*D8</f>
        <v>281049.72500000003</v>
      </c>
      <c r="F8" s="168">
        <f>'Raw FS valuation'!L3</f>
        <v>444.16</v>
      </c>
      <c r="G8" s="168">
        <f>'Raw FS valuation'!N3</f>
        <v>1340.87</v>
      </c>
      <c r="H8" s="169">
        <f t="shared" ref="H8:H14" si="1">E8+F8-G8</f>
        <v>280153.01500000001</v>
      </c>
      <c r="I8" s="3"/>
      <c r="J8" s="170">
        <f>'Raw FS valuation'!O3</f>
        <v>23154.6</v>
      </c>
      <c r="K8" s="168">
        <f>'Raw FS valuation'!Q3</f>
        <v>5306.06</v>
      </c>
      <c r="L8" s="168">
        <f>'Raw FS valuation'!M3</f>
        <v>3544.6</v>
      </c>
      <c r="M8" s="171">
        <f t="shared" ref="M8:M14" si="2">L8/C8</f>
        <v>18.381994502930041</v>
      </c>
      <c r="N8" s="3"/>
      <c r="O8" s="172">
        <f t="shared" ref="O8:O14" si="3">H8/J8</f>
        <v>12.099237948399024</v>
      </c>
      <c r="P8" s="173">
        <f t="shared" ref="P8:P14" si="4">H8/K8</f>
        <v>52.798689611500812</v>
      </c>
      <c r="Q8" s="174">
        <f t="shared" ref="Q8:Q14" si="5">D8/M8</f>
        <v>79.28954607007843</v>
      </c>
    </row>
    <row r="9" spans="2:17" ht="14.25" customHeight="1" x14ac:dyDescent="0.35">
      <c r="B9" s="158" t="s">
        <v>362</v>
      </c>
      <c r="C9" s="175">
        <f>'Raw FS valuation'!K4</f>
        <v>24.09</v>
      </c>
      <c r="D9" s="176">
        <f>'Raw FS valuation'!C4</f>
        <v>5397.5</v>
      </c>
      <c r="E9" s="176">
        <f t="shared" si="0"/>
        <v>130025.77499999999</v>
      </c>
      <c r="F9" s="176">
        <f>'Raw FS valuation'!L4</f>
        <v>1380.28</v>
      </c>
      <c r="G9" s="176">
        <f>'Raw FS valuation'!N4</f>
        <v>352.44</v>
      </c>
      <c r="H9" s="177">
        <f t="shared" si="1"/>
        <v>131053.61499999999</v>
      </c>
      <c r="I9" s="3"/>
      <c r="J9" s="178">
        <f>'Raw FS valuation'!O4</f>
        <v>19151.59</v>
      </c>
      <c r="K9" s="176">
        <f>'Raw FS valuation'!Q4</f>
        <v>3514.34</v>
      </c>
      <c r="L9" s="176">
        <f>'Raw FS valuation'!M4</f>
        <v>2537.0100000000002</v>
      </c>
      <c r="M9" s="179">
        <f t="shared" si="2"/>
        <v>105.31382316313824</v>
      </c>
      <c r="N9" s="3"/>
      <c r="O9" s="180">
        <f t="shared" si="3"/>
        <v>6.8429626469656037</v>
      </c>
      <c r="P9" s="181">
        <f t="shared" si="4"/>
        <v>37.291103023611825</v>
      </c>
      <c r="Q9" s="182">
        <f t="shared" si="5"/>
        <v>51.251581586197922</v>
      </c>
    </row>
    <row r="10" spans="2:17" ht="14.25" customHeight="1" x14ac:dyDescent="0.35">
      <c r="B10" s="158" t="s">
        <v>363</v>
      </c>
      <c r="C10" s="167">
        <f>'Raw FS valuation'!K5</f>
        <v>25.07</v>
      </c>
      <c r="D10" s="168">
        <f>'Raw FS valuation'!C5</f>
        <v>676.35</v>
      </c>
      <c r="E10" s="168">
        <f t="shared" si="0"/>
        <v>16956.094499999999</v>
      </c>
      <c r="F10" s="168">
        <f>'Raw FS valuation'!L5</f>
        <v>309.73</v>
      </c>
      <c r="G10" s="168">
        <f>'Raw FS valuation'!N5</f>
        <v>219.05</v>
      </c>
      <c r="H10" s="169">
        <f t="shared" si="1"/>
        <v>17046.7745</v>
      </c>
      <c r="I10" s="3"/>
      <c r="J10" s="170">
        <f>'Raw FS valuation'!O5</f>
        <v>2883.95</v>
      </c>
      <c r="K10" s="168">
        <f>'Raw FS valuation'!Q5</f>
        <v>396.92</v>
      </c>
      <c r="L10" s="168">
        <f>'Raw FS valuation'!M5</f>
        <v>238.46</v>
      </c>
      <c r="M10" s="171">
        <f t="shared" si="2"/>
        <v>9.5117670522536901</v>
      </c>
      <c r="N10" s="3"/>
      <c r="O10" s="172">
        <f t="shared" si="3"/>
        <v>5.9109119436883439</v>
      </c>
      <c r="P10" s="173">
        <f t="shared" si="4"/>
        <v>42.947633024287008</v>
      </c>
      <c r="Q10" s="174">
        <f t="shared" si="5"/>
        <v>71.106661494590284</v>
      </c>
    </row>
    <row r="11" spans="2:17" ht="14.25" customHeight="1" x14ac:dyDescent="0.35">
      <c r="B11" s="158" t="s">
        <v>364</v>
      </c>
      <c r="C11" s="167">
        <f>'Raw FS valuation'!K6</f>
        <v>31.82</v>
      </c>
      <c r="D11" s="168">
        <f>'Raw FS valuation'!C6</f>
        <v>510</v>
      </c>
      <c r="E11" s="168">
        <f t="shared" si="0"/>
        <v>16228.2</v>
      </c>
      <c r="F11" s="168">
        <f>'Raw FS valuation'!L6</f>
        <v>3042</v>
      </c>
      <c r="G11" s="168">
        <f>'Raw FS valuation'!N6</f>
        <v>73.900000000000006</v>
      </c>
      <c r="H11" s="169">
        <f t="shared" si="1"/>
        <v>19196.3</v>
      </c>
      <c r="I11" s="3"/>
      <c r="J11" s="170">
        <f>'Raw FS valuation'!O6</f>
        <v>3389.4</v>
      </c>
      <c r="K11" s="168">
        <f>'Raw FS valuation'!Q6</f>
        <v>429.6</v>
      </c>
      <c r="L11" s="168">
        <f>'Raw FS valuation'!M6</f>
        <v>207.1</v>
      </c>
      <c r="M11" s="171">
        <f t="shared" si="2"/>
        <v>6.508485229415462</v>
      </c>
      <c r="N11" s="3"/>
      <c r="O11" s="172">
        <f t="shared" si="3"/>
        <v>5.6636277807281523</v>
      </c>
      <c r="P11" s="173">
        <f t="shared" si="4"/>
        <v>44.68412476722532</v>
      </c>
      <c r="Q11" s="174">
        <f t="shared" si="5"/>
        <v>78.359246740704975</v>
      </c>
    </row>
    <row r="12" spans="2:17" ht="14.25" customHeight="1" x14ac:dyDescent="0.35">
      <c r="B12" s="158" t="s">
        <v>365</v>
      </c>
      <c r="C12" s="167">
        <f>'Raw FS valuation'!K7</f>
        <v>6.98</v>
      </c>
      <c r="D12" s="168">
        <f>'Raw FS valuation'!C7</f>
        <v>1536.9</v>
      </c>
      <c r="E12" s="168">
        <f t="shared" si="0"/>
        <v>10727.562000000002</v>
      </c>
      <c r="F12" s="168">
        <f>'Raw FS valuation'!L7</f>
        <v>1590.43</v>
      </c>
      <c r="G12" s="168">
        <f>'Raw FS valuation'!N7</f>
        <v>842.81</v>
      </c>
      <c r="H12" s="169">
        <f t="shared" si="1"/>
        <v>11475.182000000003</v>
      </c>
      <c r="I12" s="3"/>
      <c r="J12" s="170">
        <f>'Raw FS valuation'!O7</f>
        <v>19538.62</v>
      </c>
      <c r="K12" s="168">
        <f>'Raw FS valuation'!Q7</f>
        <v>3431.64</v>
      </c>
      <c r="L12" s="168">
        <f>'Raw FS valuation'!M7</f>
        <v>2499.25</v>
      </c>
      <c r="M12" s="171">
        <f t="shared" si="2"/>
        <v>358.0587392550143</v>
      </c>
      <c r="N12" s="3"/>
      <c r="O12" s="172">
        <f t="shared" si="3"/>
        <v>0.58730770136273713</v>
      </c>
      <c r="P12" s="173">
        <f t="shared" si="4"/>
        <v>3.3439352612744937</v>
      </c>
      <c r="Q12" s="174">
        <f t="shared" si="5"/>
        <v>4.292312493748125</v>
      </c>
    </row>
    <row r="13" spans="2:17" ht="14.25" customHeight="1" x14ac:dyDescent="0.35">
      <c r="B13" s="158" t="s">
        <v>366</v>
      </c>
      <c r="C13" s="167">
        <f>'Raw FS valuation'!K8</f>
        <v>30.7</v>
      </c>
      <c r="D13" s="168">
        <f>'Raw FS valuation'!C8</f>
        <v>184.05</v>
      </c>
      <c r="E13" s="168">
        <f t="shared" si="0"/>
        <v>5650.335</v>
      </c>
      <c r="F13" s="168">
        <f>'Raw FS valuation'!L8</f>
        <v>182.19</v>
      </c>
      <c r="G13" s="168">
        <f>'Raw FS valuation'!N8</f>
        <v>188.55</v>
      </c>
      <c r="H13" s="169">
        <f t="shared" si="1"/>
        <v>5643.9749999999995</v>
      </c>
      <c r="I13" s="3"/>
      <c r="J13" s="170">
        <f>'Raw FS valuation'!O8</f>
        <v>1861.62</v>
      </c>
      <c r="K13" s="168">
        <f>'Raw FS valuation'!Q8</f>
        <v>221.36</v>
      </c>
      <c r="L13" s="168">
        <f>'Raw FS valuation'!M8</f>
        <v>117.7</v>
      </c>
      <c r="M13" s="171">
        <f t="shared" si="2"/>
        <v>3.8338762214983717</v>
      </c>
      <c r="N13" s="3"/>
      <c r="O13" s="172">
        <f t="shared" si="3"/>
        <v>3.0317546008315337</v>
      </c>
      <c r="P13" s="173">
        <f t="shared" si="4"/>
        <v>25.496815142753881</v>
      </c>
      <c r="Q13" s="174">
        <f t="shared" si="5"/>
        <v>48.006244689889549</v>
      </c>
    </row>
    <row r="14" spans="2:17" ht="14.25" customHeight="1" x14ac:dyDescent="0.35">
      <c r="B14" s="158" t="s">
        <v>367</v>
      </c>
      <c r="C14" s="167">
        <f>'Raw FS valuation'!K9</f>
        <v>12.46</v>
      </c>
      <c r="D14" s="168">
        <f>'Raw FS valuation'!C9</f>
        <v>294.5</v>
      </c>
      <c r="E14" s="168">
        <f t="shared" si="0"/>
        <v>3669.4700000000003</v>
      </c>
      <c r="F14" s="168">
        <f>'Raw FS valuation'!L9</f>
        <v>154.03</v>
      </c>
      <c r="G14" s="168">
        <f>'Raw FS valuation'!N9</f>
        <v>0.75</v>
      </c>
      <c r="H14" s="169">
        <f t="shared" si="1"/>
        <v>3822.7500000000005</v>
      </c>
      <c r="I14" s="3"/>
      <c r="J14" s="170">
        <f>'Raw FS valuation'!O9</f>
        <v>1508.23</v>
      </c>
      <c r="K14" s="168">
        <f>'Raw FS valuation'!Q9</f>
        <v>101.25</v>
      </c>
      <c r="L14" s="168">
        <f>'Raw FS valuation'!M9</f>
        <v>73.650000000000006</v>
      </c>
      <c r="M14" s="171">
        <f t="shared" si="2"/>
        <v>5.91091492776886</v>
      </c>
      <c r="N14" s="3"/>
      <c r="O14" s="172">
        <f t="shared" si="3"/>
        <v>2.5345935301644977</v>
      </c>
      <c r="P14" s="173">
        <f t="shared" si="4"/>
        <v>37.75555555555556</v>
      </c>
      <c r="Q14" s="174">
        <f t="shared" si="5"/>
        <v>49.823082145281738</v>
      </c>
    </row>
    <row r="15" spans="2:17" ht="14.25" customHeight="1" x14ac:dyDescent="0.35">
      <c r="B15" s="183"/>
      <c r="C15" s="184"/>
      <c r="D15" s="185"/>
      <c r="E15" s="185"/>
      <c r="F15" s="185"/>
      <c r="G15" s="185"/>
      <c r="H15" s="185"/>
      <c r="I15" s="3"/>
      <c r="J15" s="185"/>
      <c r="K15" s="185"/>
      <c r="L15" s="185"/>
      <c r="M15" s="186"/>
      <c r="N15" s="3"/>
      <c r="O15" s="187"/>
      <c r="P15" s="187"/>
      <c r="Q15" s="188"/>
    </row>
    <row r="16" spans="2:17" ht="14.25" customHeight="1" x14ac:dyDescent="0.35">
      <c r="B16" s="3"/>
      <c r="C16" s="184"/>
      <c r="D16" s="185"/>
      <c r="E16" s="185"/>
      <c r="F16" s="185"/>
      <c r="G16" s="185"/>
      <c r="H16" s="185"/>
      <c r="I16" s="3"/>
      <c r="J16" s="185"/>
      <c r="K16" s="185"/>
      <c r="L16" s="185"/>
      <c r="M16" s="186"/>
      <c r="N16" s="3"/>
      <c r="O16" s="187"/>
      <c r="P16" s="187"/>
      <c r="Q16" s="188"/>
    </row>
    <row r="17" spans="2:17" ht="14.25" customHeight="1" x14ac:dyDescent="0.35">
      <c r="B17" s="3"/>
      <c r="C17" s="3"/>
      <c r="D17" s="3"/>
      <c r="E17" s="3"/>
      <c r="F17" s="3"/>
      <c r="G17" s="3"/>
      <c r="H17" s="3"/>
      <c r="I17" s="3"/>
      <c r="J17" s="3"/>
      <c r="K17" s="3"/>
      <c r="L17" s="3"/>
      <c r="M17" s="189" t="s">
        <v>387</v>
      </c>
      <c r="N17" s="3"/>
      <c r="O17" s="187">
        <f>MAX(O8:O14)</f>
        <v>12.099237948399024</v>
      </c>
      <c r="P17" s="187">
        <f>MAX(P8:P14)</f>
        <v>52.798689611500812</v>
      </c>
      <c r="Q17" s="187">
        <f>MAX(Q8:Q14)</f>
        <v>79.28954607007843</v>
      </c>
    </row>
    <row r="18" spans="2:17" ht="14.25" customHeight="1" x14ac:dyDescent="0.35">
      <c r="B18" s="3"/>
      <c r="C18" s="3"/>
      <c r="D18" s="3"/>
      <c r="E18" s="3"/>
      <c r="F18" s="3"/>
      <c r="G18" s="3"/>
      <c r="H18" s="3"/>
      <c r="I18" s="3"/>
      <c r="J18" s="3"/>
      <c r="K18" s="3"/>
      <c r="L18" s="3"/>
      <c r="M18" s="3" t="s">
        <v>388</v>
      </c>
      <c r="N18" s="3"/>
      <c r="O18" s="190">
        <f>QUARTILE(O8:O14,3)</f>
        <v>6.3769372953269734</v>
      </c>
      <c r="P18" s="190">
        <f>QUARTILE(P8:P14,3)</f>
        <v>43.815878895756164</v>
      </c>
      <c r="Q18" s="190">
        <f>QUARTILE(Q8:Q14,3)</f>
        <v>74.732954117647637</v>
      </c>
    </row>
    <row r="19" spans="2:17" ht="14.25" customHeight="1" x14ac:dyDescent="0.35">
      <c r="B19" s="3"/>
      <c r="C19" s="3"/>
      <c r="D19" s="3"/>
      <c r="E19" s="3"/>
      <c r="F19" s="3"/>
      <c r="G19" s="3"/>
      <c r="H19" s="3"/>
      <c r="I19" s="3"/>
      <c r="J19" s="3"/>
      <c r="K19" s="3"/>
      <c r="L19" s="3"/>
      <c r="M19" s="3" t="s">
        <v>389</v>
      </c>
      <c r="N19" s="3"/>
      <c r="O19" s="187">
        <f>(AVERAGE(O8:O14))</f>
        <v>5.2386280217342707</v>
      </c>
      <c r="P19" s="187">
        <f>(AVERAGE(P8:P14))</f>
        <v>34.902550912315554</v>
      </c>
      <c r="Q19" s="187">
        <f>(AVERAGE(Q8:Q14))</f>
        <v>54.589810745784426</v>
      </c>
    </row>
    <row r="20" spans="2:17" ht="14.25" customHeight="1" x14ac:dyDescent="0.35">
      <c r="B20" s="3"/>
      <c r="C20" s="3"/>
      <c r="D20" s="3"/>
      <c r="E20" s="3"/>
      <c r="F20" s="3"/>
      <c r="G20" s="3"/>
      <c r="H20" s="3"/>
      <c r="I20" s="3"/>
      <c r="J20" s="3"/>
      <c r="K20" s="3"/>
      <c r="L20" s="187"/>
      <c r="M20" s="161" t="s">
        <v>390</v>
      </c>
      <c r="N20" s="3"/>
      <c r="O20" s="187">
        <f>MEDIAN(O8:O14)</f>
        <v>5.6636277807281523</v>
      </c>
      <c r="P20" s="187">
        <f>MEDIAN(P8:P14)</f>
        <v>37.75555555555556</v>
      </c>
      <c r="Q20" s="187">
        <f>MEDIAN(Q8:Q14)</f>
        <v>51.251581586197922</v>
      </c>
    </row>
    <row r="21" spans="2:17" ht="14.25" customHeight="1" x14ac:dyDescent="0.35">
      <c r="B21" s="3"/>
      <c r="C21" s="3"/>
      <c r="D21" s="3"/>
      <c r="E21" s="3"/>
      <c r="F21" s="3"/>
      <c r="G21" s="3"/>
      <c r="H21" s="3"/>
      <c r="I21" s="3"/>
      <c r="J21" s="3"/>
      <c r="K21" s="3"/>
      <c r="L21" s="3"/>
      <c r="M21" s="161" t="s">
        <v>391</v>
      </c>
      <c r="N21" s="3"/>
      <c r="O21" s="187">
        <f>QUARTILE(O8:O14,1)</f>
        <v>2.7831740654980157</v>
      </c>
      <c r="P21" s="187">
        <f>QUARTILE(P8:P14,1)</f>
        <v>31.393959083182853</v>
      </c>
      <c r="Q21" s="187">
        <f>QUARTILE(Q8:Q14,1)</f>
        <v>48.914663417585643</v>
      </c>
    </row>
    <row r="22" spans="2:17" ht="14.25" customHeight="1" x14ac:dyDescent="0.35">
      <c r="B22" s="3"/>
      <c r="C22" s="3"/>
      <c r="D22" s="3"/>
      <c r="E22" s="3"/>
      <c r="F22" s="3"/>
      <c r="G22" s="3"/>
      <c r="H22" s="3"/>
      <c r="I22" s="3"/>
      <c r="J22" s="3"/>
      <c r="K22" s="3"/>
      <c r="L22" s="3"/>
      <c r="M22" s="3" t="s">
        <v>392</v>
      </c>
      <c r="N22" s="3"/>
      <c r="O22" s="187">
        <f>MIN(O8:O14)</f>
        <v>0.58730770136273713</v>
      </c>
      <c r="P22" s="187">
        <f>MIN(P8:P14)</f>
        <v>3.3439352612744937</v>
      </c>
      <c r="Q22" s="187">
        <f>MIN(Q8:Q14)</f>
        <v>4.292312493748125</v>
      </c>
    </row>
    <row r="23" spans="2:17" ht="14.25" customHeight="1" x14ac:dyDescent="0.35">
      <c r="B23" s="3"/>
      <c r="C23" s="3"/>
      <c r="D23" s="3"/>
      <c r="E23" s="3"/>
      <c r="F23" s="3"/>
      <c r="G23" s="3"/>
      <c r="H23" s="3"/>
      <c r="I23" s="3"/>
      <c r="J23" s="3"/>
      <c r="K23" s="3"/>
      <c r="L23" s="3"/>
      <c r="M23" s="3"/>
      <c r="N23" s="3"/>
      <c r="O23" s="187"/>
      <c r="P23" s="187"/>
      <c r="Q23" s="187"/>
    </row>
    <row r="24" spans="2:17" ht="14.25" customHeight="1" x14ac:dyDescent="0.35">
      <c r="B24" s="3"/>
      <c r="C24" s="3"/>
      <c r="D24" s="3"/>
      <c r="E24" s="3"/>
      <c r="F24" s="3"/>
      <c r="G24" s="3"/>
      <c r="H24" s="3"/>
      <c r="I24" s="3"/>
      <c r="J24" s="3"/>
      <c r="K24" s="3"/>
      <c r="L24" s="3"/>
      <c r="M24" s="3"/>
      <c r="N24" s="3"/>
      <c r="O24" s="3"/>
      <c r="P24" s="3"/>
      <c r="Q24" s="3"/>
    </row>
    <row r="25" spans="2:17" ht="27.75" customHeight="1" x14ac:dyDescent="0.35">
      <c r="B25" s="191"/>
      <c r="C25" s="191"/>
      <c r="D25" s="191"/>
      <c r="E25" s="191"/>
      <c r="F25" s="191"/>
      <c r="G25" s="191"/>
      <c r="H25" s="191"/>
      <c r="I25" s="191"/>
      <c r="J25" s="191"/>
      <c r="K25" s="191"/>
      <c r="L25" s="191"/>
      <c r="M25" s="192"/>
      <c r="N25" s="192"/>
      <c r="O25" s="193" t="s">
        <v>384</v>
      </c>
      <c r="P25" s="193" t="s">
        <v>385</v>
      </c>
      <c r="Q25" s="193" t="s">
        <v>386</v>
      </c>
    </row>
    <row r="26" spans="2:17" ht="27.75" customHeight="1" x14ac:dyDescent="0.35">
      <c r="B26" s="3"/>
      <c r="C26" s="3"/>
      <c r="D26" s="3"/>
      <c r="E26" s="3"/>
      <c r="F26" s="3"/>
      <c r="G26" s="3"/>
      <c r="H26" s="3"/>
      <c r="I26" s="3"/>
      <c r="J26" s="3"/>
      <c r="K26" s="3"/>
      <c r="L26" s="3"/>
      <c r="M26" s="3"/>
      <c r="N26" s="194"/>
      <c r="O26" s="193" t="s">
        <v>393</v>
      </c>
      <c r="P26" s="195" t="s">
        <v>394</v>
      </c>
      <c r="Q26" s="196" t="s">
        <v>394</v>
      </c>
    </row>
    <row r="27" spans="2:17" ht="14.25" customHeight="1" x14ac:dyDescent="0.35">
      <c r="B27" s="3"/>
      <c r="C27" s="3"/>
      <c r="D27" s="3"/>
      <c r="E27" s="3"/>
      <c r="F27" s="3"/>
      <c r="G27" s="3"/>
      <c r="H27" s="3"/>
      <c r="I27" s="3"/>
      <c r="J27" s="3"/>
      <c r="K27" s="3"/>
      <c r="L27" s="3"/>
      <c r="M27" s="3" t="s">
        <v>395</v>
      </c>
      <c r="N27" s="3"/>
      <c r="O27" s="190">
        <f>J8*O20</f>
        <v>131139.03581164806</v>
      </c>
      <c r="P27" s="190">
        <f>K8*P20</f>
        <v>200333.24311111114</v>
      </c>
      <c r="Q27" s="190">
        <f>L8*Q20</f>
        <v>181666.35609043716</v>
      </c>
    </row>
    <row r="28" spans="2:17" ht="14.25" customHeight="1" x14ac:dyDescent="0.35">
      <c r="B28" s="3"/>
      <c r="C28" s="3"/>
      <c r="D28" s="3"/>
      <c r="E28" s="3"/>
      <c r="F28" s="3"/>
      <c r="G28" s="3"/>
      <c r="H28" s="3"/>
      <c r="I28" s="3"/>
      <c r="J28" s="3"/>
      <c r="K28" s="3"/>
      <c r="L28" s="3"/>
      <c r="M28" s="3" t="s">
        <v>396</v>
      </c>
      <c r="N28" s="3"/>
      <c r="O28" s="190">
        <f>F8-G8</f>
        <v>-896.70999999999981</v>
      </c>
      <c r="P28" s="190">
        <f>O28</f>
        <v>-896.70999999999981</v>
      </c>
      <c r="Q28" s="190">
        <f>P28</f>
        <v>-896.70999999999981</v>
      </c>
    </row>
    <row r="29" spans="2:17" ht="14.25" customHeight="1" x14ac:dyDescent="0.35">
      <c r="B29" s="3"/>
      <c r="C29" s="3"/>
      <c r="D29" s="3"/>
      <c r="E29" s="3"/>
      <c r="F29" s="3"/>
      <c r="G29" s="3"/>
      <c r="H29" s="3"/>
      <c r="I29" s="3"/>
      <c r="J29" s="3"/>
      <c r="K29" s="3"/>
      <c r="L29" s="3"/>
      <c r="M29" s="3" t="s">
        <v>397</v>
      </c>
      <c r="N29" s="3"/>
      <c r="O29" s="190">
        <f>O27-O28</f>
        <v>132035.74581164806</v>
      </c>
      <c r="P29" s="190">
        <f>P27-P28</f>
        <v>201229.95311111113</v>
      </c>
      <c r="Q29" s="190">
        <f>Q27-Q28</f>
        <v>182563.06609043715</v>
      </c>
    </row>
    <row r="30" spans="2:17" ht="14.25" customHeight="1" x14ac:dyDescent="0.35">
      <c r="B30" s="3"/>
      <c r="C30" s="3"/>
      <c r="D30" s="3"/>
      <c r="E30" s="3"/>
      <c r="F30" s="3"/>
      <c r="G30" s="3"/>
      <c r="H30" s="3"/>
      <c r="I30" s="3"/>
      <c r="J30" s="3"/>
      <c r="K30" s="3"/>
      <c r="L30" s="3"/>
      <c r="M30" s="3" t="s">
        <v>398</v>
      </c>
      <c r="N30" s="3"/>
      <c r="O30" s="190">
        <f>C8</f>
        <v>192.83</v>
      </c>
      <c r="P30" s="190">
        <f>O30</f>
        <v>192.83</v>
      </c>
      <c r="Q30" s="190">
        <f>P30</f>
        <v>192.83</v>
      </c>
    </row>
    <row r="31" spans="2:17" ht="14.25" customHeight="1" x14ac:dyDescent="0.35">
      <c r="B31" s="3"/>
      <c r="C31" s="3"/>
      <c r="D31" s="3"/>
      <c r="E31" s="3"/>
      <c r="F31" s="3"/>
      <c r="G31" s="3"/>
      <c r="H31" s="3"/>
      <c r="I31" s="3"/>
      <c r="J31" s="3"/>
      <c r="K31" s="3"/>
      <c r="L31" s="3"/>
      <c r="M31" s="3"/>
      <c r="N31" s="3"/>
      <c r="O31" s="3"/>
      <c r="P31" s="3"/>
      <c r="Q31" s="3"/>
    </row>
    <row r="32" spans="2:17" ht="15" customHeight="1" x14ac:dyDescent="0.35">
      <c r="B32" s="3"/>
      <c r="C32" s="3"/>
      <c r="D32" s="3"/>
      <c r="E32" s="3"/>
      <c r="F32" s="3"/>
      <c r="G32" s="3"/>
      <c r="H32" s="3"/>
      <c r="I32" s="3"/>
      <c r="J32" s="3"/>
      <c r="K32" s="3"/>
      <c r="L32" s="3"/>
      <c r="M32" s="197" t="s">
        <v>399</v>
      </c>
      <c r="N32" s="198"/>
      <c r="O32" s="197">
        <f>O29/O30</f>
        <v>684.72616196467379</v>
      </c>
      <c r="P32" s="199">
        <f>P29/P30</f>
        <v>1043.5614432977811</v>
      </c>
      <c r="Q32" s="199">
        <f>Q29/Q30</f>
        <v>946.75655287267091</v>
      </c>
    </row>
    <row r="33" spans="2:17" ht="15" customHeight="1" x14ac:dyDescent="0.35">
      <c r="B33" s="3"/>
      <c r="C33" s="3"/>
      <c r="D33" s="3"/>
      <c r="E33" s="3"/>
      <c r="F33" s="3"/>
      <c r="G33" s="3"/>
      <c r="H33" s="3"/>
      <c r="I33" s="3"/>
      <c r="J33" s="3"/>
      <c r="K33" s="3"/>
      <c r="L33" s="3"/>
      <c r="M33" s="3"/>
      <c r="N33" s="3"/>
      <c r="O33" s="3"/>
      <c r="P33" s="3"/>
      <c r="Q33" s="3"/>
    </row>
  </sheetData>
  <mergeCells count="8">
    <mergeCell ref="B2:Q2"/>
    <mergeCell ref="B5:Q5"/>
    <mergeCell ref="B6:B7"/>
    <mergeCell ref="C6:H6"/>
    <mergeCell ref="I6:I7"/>
    <mergeCell ref="J6:M6"/>
    <mergeCell ref="N6:N7"/>
    <mergeCell ref="O6:Q6"/>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tint="0.89999084444715716"/>
  </sheetPr>
  <dimension ref="B2:P25"/>
  <sheetViews>
    <sheetView zoomScale="76" zoomScaleNormal="76" workbookViewId="0">
      <selection activeCell="C30" sqref="C30"/>
    </sheetView>
  </sheetViews>
  <sheetFormatPr defaultColWidth="8.54296875" defaultRowHeight="14.5" x14ac:dyDescent="0.35"/>
  <cols>
    <col min="2" max="2" width="20.36328125" customWidth="1"/>
    <col min="3" max="3" width="10.453125" customWidth="1"/>
    <col min="4" max="13" width="12.453125" customWidth="1"/>
    <col min="15" max="15" width="29.1796875" customWidth="1"/>
    <col min="16" max="16" width="16.81640625" customWidth="1"/>
  </cols>
  <sheetData>
    <row r="2" spans="2:16" ht="17.25" customHeight="1" x14ac:dyDescent="0.35">
      <c r="B2" s="296" t="s">
        <v>400</v>
      </c>
      <c r="C2" s="296"/>
      <c r="D2" s="296"/>
      <c r="E2" s="296"/>
      <c r="F2" s="296"/>
      <c r="G2" s="296"/>
      <c r="H2" s="296"/>
      <c r="I2" s="296"/>
      <c r="J2" s="296"/>
      <c r="K2" s="296"/>
      <c r="L2" s="296"/>
      <c r="M2" s="296"/>
      <c r="N2" s="296"/>
      <c r="O2" s="296"/>
      <c r="P2" s="296"/>
    </row>
    <row r="3" spans="2:16" ht="15" customHeight="1" x14ac:dyDescent="0.35">
      <c r="B3" s="3"/>
      <c r="C3" s="3"/>
      <c r="D3" s="3"/>
      <c r="E3" s="3"/>
      <c r="F3" s="3"/>
      <c r="G3" s="3"/>
      <c r="H3" s="3"/>
      <c r="I3" s="3"/>
      <c r="J3" s="3"/>
      <c r="K3" s="3"/>
      <c r="L3" s="3"/>
      <c r="M3" s="3"/>
      <c r="N3" s="3"/>
      <c r="O3" s="3"/>
      <c r="P3" s="3"/>
    </row>
    <row r="4" spans="2:16" ht="15" customHeight="1" x14ac:dyDescent="0.35">
      <c r="B4" s="297" t="s">
        <v>401</v>
      </c>
      <c r="C4" s="297"/>
      <c r="D4" s="297"/>
      <c r="E4" s="297"/>
      <c r="F4" s="297"/>
      <c r="G4" s="297"/>
      <c r="H4" s="297"/>
      <c r="I4" s="297"/>
      <c r="J4" s="297"/>
      <c r="K4" s="297"/>
      <c r="L4" s="297"/>
      <c r="M4" s="297"/>
      <c r="N4" s="3"/>
      <c r="O4" s="200" t="s">
        <v>402</v>
      </c>
      <c r="P4" s="201">
        <f>MEDIAN(Assumptions!D4:H4)</f>
        <v>0.14617880995329058</v>
      </c>
    </row>
    <row r="5" spans="2:16" ht="14.25" customHeight="1" x14ac:dyDescent="0.35">
      <c r="B5" s="202" t="s">
        <v>403</v>
      </c>
      <c r="C5" s="203" t="s">
        <v>404</v>
      </c>
      <c r="D5" s="203" t="s">
        <v>405</v>
      </c>
      <c r="E5" s="203" t="s">
        <v>406</v>
      </c>
      <c r="F5" s="203" t="s">
        <v>407</v>
      </c>
      <c r="G5" s="203" t="s">
        <v>408</v>
      </c>
      <c r="H5" s="203" t="s">
        <v>409</v>
      </c>
      <c r="I5" s="203" t="s">
        <v>410</v>
      </c>
      <c r="J5" s="203" t="s">
        <v>411</v>
      </c>
      <c r="K5" s="203" t="s">
        <v>412</v>
      </c>
      <c r="L5" s="203" t="s">
        <v>413</v>
      </c>
      <c r="M5" s="203" t="s">
        <v>414</v>
      </c>
      <c r="N5" s="3"/>
      <c r="O5" s="204" t="s">
        <v>415</v>
      </c>
      <c r="P5" s="131">
        <v>6.7000000000000004E-2</v>
      </c>
    </row>
    <row r="6" spans="2:16" ht="15" customHeight="1" x14ac:dyDescent="0.35">
      <c r="B6" s="88" t="s">
        <v>416</v>
      </c>
      <c r="C6" s="205">
        <f>Assumptions!H3</f>
        <v>23154.6</v>
      </c>
      <c r="D6" s="205">
        <f t="shared" ref="D6:M6" si="0">C6*(1+D7)</f>
        <v>26539.311872944461</v>
      </c>
      <c r="E6" s="205">
        <f t="shared" si="0"/>
        <v>30185.313440501945</v>
      </c>
      <c r="F6" s="205">
        <f t="shared" si="0"/>
        <v>34066.647260349142</v>
      </c>
      <c r="G6" s="205">
        <f t="shared" si="0"/>
        <v>38147.350352907852</v>
      </c>
      <c r="H6" s="205">
        <f t="shared" si="0"/>
        <v>42381.257162005168</v>
      </c>
      <c r="I6" s="205">
        <f t="shared" si="0"/>
        <v>46712.222505820384</v>
      </c>
      <c r="J6" s="205">
        <f t="shared" si="0"/>
        <v>51074.814143138407</v>
      </c>
      <c r="K6" s="205">
        <f t="shared" si="0"/>
        <v>55395.50291349295</v>
      </c>
      <c r="L6" s="205">
        <f t="shared" si="0"/>
        <v>59594.351608414137</v>
      </c>
      <c r="M6" s="205">
        <f t="shared" si="0"/>
        <v>63587.173166177883</v>
      </c>
      <c r="N6" s="3"/>
      <c r="O6" s="206"/>
      <c r="P6" s="207">
        <f>P4-P5</f>
        <v>7.9178809953290574E-2</v>
      </c>
    </row>
    <row r="7" spans="2:16" ht="15" customHeight="1" x14ac:dyDescent="0.35">
      <c r="B7" s="88" t="s">
        <v>417</v>
      </c>
      <c r="C7" s="208"/>
      <c r="D7" s="209">
        <f>P4</f>
        <v>0.14617880995329058</v>
      </c>
      <c r="E7" s="209">
        <f t="shared" ref="E7:M7" si="1">D7-$P$7</f>
        <v>0.13738116440292497</v>
      </c>
      <c r="F7" s="209">
        <f t="shared" si="1"/>
        <v>0.12858351885255936</v>
      </c>
      <c r="G7" s="209">
        <f t="shared" si="1"/>
        <v>0.11978587330219374</v>
      </c>
      <c r="H7" s="209">
        <f t="shared" si="1"/>
        <v>0.11098822775182812</v>
      </c>
      <c r="I7" s="209">
        <f t="shared" si="1"/>
        <v>0.1021905822014625</v>
      </c>
      <c r="J7" s="209">
        <f t="shared" si="1"/>
        <v>9.3392936651096881E-2</v>
      </c>
      <c r="K7" s="209">
        <f t="shared" si="1"/>
        <v>8.459529110073126E-2</v>
      </c>
      <c r="L7" s="209">
        <f t="shared" si="1"/>
        <v>7.5797645550365639E-2</v>
      </c>
      <c r="M7" s="209">
        <f t="shared" si="1"/>
        <v>6.7000000000000018E-2</v>
      </c>
      <c r="N7" s="209"/>
      <c r="O7" s="210" t="s">
        <v>418</v>
      </c>
      <c r="P7" s="211">
        <f>P6/9</f>
        <v>8.7976455503656192E-3</v>
      </c>
    </row>
    <row r="8" spans="2:16" ht="14.25" customHeight="1" x14ac:dyDescent="0.35">
      <c r="B8" s="3"/>
      <c r="C8" s="212"/>
      <c r="D8" s="213"/>
      <c r="E8" s="213"/>
      <c r="F8" s="213"/>
      <c r="G8" s="213"/>
      <c r="H8" s="213"/>
      <c r="I8" s="213"/>
      <c r="J8" s="213"/>
      <c r="K8" s="213"/>
      <c r="L8" s="213"/>
      <c r="M8" s="213"/>
      <c r="N8" s="3"/>
      <c r="O8" s="3"/>
      <c r="P8" s="3"/>
    </row>
    <row r="9" spans="2:16" ht="15" customHeight="1" x14ac:dyDescent="0.35">
      <c r="B9" s="3"/>
      <c r="C9" s="212"/>
      <c r="D9" s="214"/>
      <c r="E9" s="214"/>
      <c r="F9" s="214"/>
      <c r="G9" s="214"/>
      <c r="H9" s="214"/>
      <c r="I9" s="214"/>
      <c r="J9" s="214"/>
      <c r="K9" s="214"/>
      <c r="L9" s="214"/>
      <c r="M9" s="214"/>
      <c r="N9" s="3"/>
      <c r="O9" s="3"/>
      <c r="P9" s="3"/>
    </row>
    <row r="10" spans="2:16" ht="15" customHeight="1" x14ac:dyDescent="0.35">
      <c r="B10" s="297" t="s">
        <v>419</v>
      </c>
      <c r="C10" s="297"/>
      <c r="D10" s="297"/>
      <c r="E10" s="297"/>
      <c r="F10" s="297"/>
      <c r="G10" s="297"/>
      <c r="H10" s="297"/>
      <c r="I10" s="297"/>
      <c r="J10" s="297"/>
      <c r="K10" s="297"/>
      <c r="L10" s="297"/>
      <c r="M10" s="297"/>
      <c r="N10" s="3"/>
      <c r="O10" s="215" t="s">
        <v>268</v>
      </c>
      <c r="P10" s="216">
        <f>Assumptions!C20</f>
        <v>0.10607697223917109</v>
      </c>
    </row>
    <row r="11" spans="2:16" ht="14.25" customHeight="1" x14ac:dyDescent="0.35">
      <c r="B11" s="202" t="s">
        <v>403</v>
      </c>
      <c r="C11" s="203" t="s">
        <v>404</v>
      </c>
      <c r="D11" s="203" t="s">
        <v>405</v>
      </c>
      <c r="E11" s="203" t="s">
        <v>406</v>
      </c>
      <c r="F11" s="203" t="s">
        <v>407</v>
      </c>
      <c r="G11" s="203" t="s">
        <v>408</v>
      </c>
      <c r="H11" s="203" t="s">
        <v>409</v>
      </c>
      <c r="I11" s="203" t="s">
        <v>410</v>
      </c>
      <c r="J11" s="203" t="s">
        <v>411</v>
      </c>
      <c r="K11" s="203" t="s">
        <v>412</v>
      </c>
      <c r="L11" s="203" t="s">
        <v>413</v>
      </c>
      <c r="M11" s="203" t="s">
        <v>414</v>
      </c>
      <c r="N11" s="3"/>
      <c r="O11" s="217" t="s">
        <v>415</v>
      </c>
      <c r="P11" s="218">
        <v>6.7000000000000004E-2</v>
      </c>
    </row>
    <row r="12" spans="2:16" ht="15" customHeight="1" x14ac:dyDescent="0.35">
      <c r="B12" s="88" t="s">
        <v>416</v>
      </c>
      <c r="C12" s="205">
        <f>C6</f>
        <v>23154.6</v>
      </c>
      <c r="D12" s="205">
        <f t="shared" ref="D12:M12" si="2">C12*(1+D13)</f>
        <v>25610.769861409106</v>
      </c>
      <c r="E12" s="205">
        <f t="shared" si="2"/>
        <v>28216.283746921814</v>
      </c>
      <c r="F12" s="205">
        <f t="shared" si="2"/>
        <v>30964.357930931936</v>
      </c>
      <c r="G12" s="205">
        <f t="shared" si="2"/>
        <v>33845.632149151563</v>
      </c>
      <c r="H12" s="205">
        <f t="shared" si="2"/>
        <v>36848.058851983384</v>
      </c>
      <c r="I12" s="205">
        <f t="shared" si="2"/>
        <v>39956.839049655733</v>
      </c>
      <c r="J12" s="205">
        <f t="shared" si="2"/>
        <v>43154.411362752144</v>
      </c>
      <c r="K12" s="205">
        <f t="shared" si="2"/>
        <v>46420.499976238767</v>
      </c>
      <c r="L12" s="205">
        <f t="shared" si="2"/>
        <v>49732.225984524535</v>
      </c>
      <c r="M12" s="205">
        <f t="shared" si="2"/>
        <v>53064.285125487673</v>
      </c>
      <c r="N12" s="3"/>
      <c r="O12" s="206"/>
      <c r="P12" s="219">
        <f>P10-P11</f>
        <v>3.9076972239171087E-2</v>
      </c>
    </row>
    <row r="13" spans="2:16" ht="15" customHeight="1" x14ac:dyDescent="0.35">
      <c r="B13" s="88" t="s">
        <v>417</v>
      </c>
      <c r="C13" s="208"/>
      <c r="D13" s="220">
        <f>P10</f>
        <v>0.10607697223917109</v>
      </c>
      <c r="E13" s="221">
        <f t="shared" ref="E13:M13" si="3">D13-$P$13</f>
        <v>0.10173508643481875</v>
      </c>
      <c r="F13" s="221">
        <f t="shared" si="3"/>
        <v>9.7393200630466414E-2</v>
      </c>
      <c r="G13" s="221">
        <f t="shared" si="3"/>
        <v>9.3051314826114076E-2</v>
      </c>
      <c r="H13" s="221">
        <f t="shared" si="3"/>
        <v>8.8709429021761738E-2</v>
      </c>
      <c r="I13" s="221">
        <f t="shared" si="3"/>
        <v>8.4367543217409399E-2</v>
      </c>
      <c r="J13" s="221">
        <f t="shared" si="3"/>
        <v>8.0025657413057061E-2</v>
      </c>
      <c r="K13" s="221">
        <f t="shared" si="3"/>
        <v>7.5683771608704722E-2</v>
      </c>
      <c r="L13" s="221">
        <f t="shared" si="3"/>
        <v>7.1341885804352384E-2</v>
      </c>
      <c r="M13" s="221">
        <f t="shared" si="3"/>
        <v>6.7000000000000046E-2</v>
      </c>
      <c r="N13" s="214"/>
      <c r="O13" s="210" t="s">
        <v>418</v>
      </c>
      <c r="P13" s="222">
        <f>P12/9</f>
        <v>4.3418858043523427E-3</v>
      </c>
    </row>
    <row r="14" spans="2:16" ht="15" customHeight="1" x14ac:dyDescent="0.35">
      <c r="B14" s="223" t="s">
        <v>420</v>
      </c>
      <c r="C14" s="224"/>
      <c r="D14" s="225"/>
      <c r="E14" s="224"/>
      <c r="F14" s="224"/>
      <c r="G14" s="224"/>
      <c r="H14" s="224"/>
      <c r="I14" s="224"/>
      <c r="J14" s="224"/>
      <c r="K14" s="224"/>
      <c r="L14" s="224"/>
      <c r="M14" s="226"/>
      <c r="N14" s="3"/>
      <c r="O14" s="3"/>
      <c r="P14" s="3"/>
    </row>
    <row r="15" spans="2:16" ht="15" customHeight="1" x14ac:dyDescent="0.35">
      <c r="B15" s="3"/>
      <c r="C15" s="212"/>
      <c r="D15" s="212"/>
      <c r="E15" s="212"/>
      <c r="F15" s="212"/>
      <c r="G15" s="212"/>
      <c r="H15" s="212"/>
      <c r="I15" s="212"/>
      <c r="J15" s="212"/>
      <c r="K15" s="212"/>
      <c r="L15" s="212"/>
      <c r="M15" s="212"/>
      <c r="N15" s="3"/>
      <c r="O15" s="227"/>
      <c r="P15" s="228"/>
    </row>
    <row r="16" spans="2:16" ht="15" customHeight="1" x14ac:dyDescent="0.35">
      <c r="B16" s="298" t="s">
        <v>421</v>
      </c>
      <c r="C16" s="298"/>
      <c r="D16" s="298"/>
      <c r="E16" s="298"/>
      <c r="F16" s="298"/>
      <c r="G16" s="298"/>
      <c r="H16" s="298"/>
      <c r="I16" s="298"/>
      <c r="J16" s="298"/>
      <c r="K16" s="298"/>
      <c r="L16" s="298"/>
      <c r="M16" s="298"/>
      <c r="N16" s="3"/>
      <c r="O16" s="229" t="s">
        <v>289</v>
      </c>
      <c r="P16" s="230">
        <f>Assumptions!C46</f>
        <v>3.8401834340299527E-3</v>
      </c>
    </row>
    <row r="17" spans="2:16" ht="14.25" customHeight="1" x14ac:dyDescent="0.35">
      <c r="B17" s="202" t="s">
        <v>403</v>
      </c>
      <c r="C17" s="203" t="s">
        <v>404</v>
      </c>
      <c r="D17" s="203" t="s">
        <v>405</v>
      </c>
      <c r="E17" s="203" t="s">
        <v>406</v>
      </c>
      <c r="F17" s="203" t="s">
        <v>407</v>
      </c>
      <c r="G17" s="203" t="s">
        <v>408</v>
      </c>
      <c r="H17" s="203" t="s">
        <v>409</v>
      </c>
      <c r="I17" s="203" t="s">
        <v>410</v>
      </c>
      <c r="J17" s="203" t="s">
        <v>411</v>
      </c>
      <c r="K17" s="203" t="s">
        <v>412</v>
      </c>
      <c r="L17" s="203" t="s">
        <v>413</v>
      </c>
      <c r="M17" s="203" t="s">
        <v>414</v>
      </c>
      <c r="N17" s="3"/>
      <c r="O17" s="231" t="s">
        <v>415</v>
      </c>
      <c r="P17" s="218">
        <v>6.7000000000000004E-2</v>
      </c>
    </row>
    <row r="18" spans="2:16" ht="15" customHeight="1" x14ac:dyDescent="0.35">
      <c r="B18" s="88" t="s">
        <v>416</v>
      </c>
      <c r="C18" s="205">
        <f>C12</f>
        <v>23154.6</v>
      </c>
      <c r="D18" s="205">
        <f t="shared" ref="D18:M18" si="4">C18*(1+D19)</f>
        <v>23243.517911341591</v>
      </c>
      <c r="E18" s="205">
        <f t="shared" si="4"/>
        <v>23495.894653509768</v>
      </c>
      <c r="F18" s="205">
        <f t="shared" si="4"/>
        <v>23915.900175896786</v>
      </c>
      <c r="G18" s="205">
        <f t="shared" si="4"/>
        <v>24511.24957560208</v>
      </c>
      <c r="H18" s="205">
        <f t="shared" si="4"/>
        <v>25293.433282168673</v>
      </c>
      <c r="I18" s="205">
        <f t="shared" si="4"/>
        <v>26278.080598107139</v>
      </c>
      <c r="J18" s="205">
        <f t="shared" si="4"/>
        <v>27485.472414752909</v>
      </c>
      <c r="K18" s="205">
        <f t="shared" si="4"/>
        <v>28941.226311886945</v>
      </c>
      <c r="L18" s="205">
        <f t="shared" si="4"/>
        <v>30677.185969777478</v>
      </c>
      <c r="M18" s="205">
        <f t="shared" si="4"/>
        <v>32732.557429752567</v>
      </c>
      <c r="N18" s="3"/>
      <c r="O18" s="206"/>
      <c r="P18" s="219">
        <f>P16-P17</f>
        <v>-6.3159816565970056E-2</v>
      </c>
    </row>
    <row r="19" spans="2:16" ht="15" customHeight="1" x14ac:dyDescent="0.35">
      <c r="B19" s="88" t="s">
        <v>417</v>
      </c>
      <c r="C19" s="208"/>
      <c r="D19" s="221">
        <f>P16</f>
        <v>3.8401834340299527E-3</v>
      </c>
      <c r="E19" s="221">
        <f t="shared" ref="E19:M19" si="5">D19-$P$19</f>
        <v>1.0857940830248847E-2</v>
      </c>
      <c r="F19" s="221">
        <f t="shared" si="5"/>
        <v>1.7875698226467743E-2</v>
      </c>
      <c r="G19" s="221">
        <f t="shared" si="5"/>
        <v>2.4893455622686637E-2</v>
      </c>
      <c r="H19" s="221">
        <f t="shared" si="5"/>
        <v>3.1911213018905531E-2</v>
      </c>
      <c r="I19" s="221">
        <f t="shared" si="5"/>
        <v>3.8928970415124428E-2</v>
      </c>
      <c r="J19" s="221">
        <f t="shared" si="5"/>
        <v>4.5946727811343326E-2</v>
      </c>
      <c r="K19" s="221">
        <f t="shared" si="5"/>
        <v>5.2964485207562223E-2</v>
      </c>
      <c r="L19" s="221">
        <f t="shared" si="5"/>
        <v>5.998224260378112E-2</v>
      </c>
      <c r="M19" s="221">
        <f t="shared" si="5"/>
        <v>6.7000000000000018E-2</v>
      </c>
      <c r="N19" s="3"/>
      <c r="O19" s="232" t="s">
        <v>418</v>
      </c>
      <c r="P19" s="233">
        <f>P18/9</f>
        <v>-7.0177573962188948E-3</v>
      </c>
    </row>
    <row r="20" spans="2:16" ht="14.25" customHeight="1" x14ac:dyDescent="0.35">
      <c r="B20" s="3"/>
      <c r="C20" s="212"/>
      <c r="D20" s="212"/>
      <c r="E20" s="212"/>
      <c r="F20" s="212"/>
      <c r="G20" s="212"/>
      <c r="H20" s="212"/>
      <c r="I20" s="212"/>
      <c r="J20" s="212"/>
      <c r="K20" s="212"/>
      <c r="L20" s="212"/>
      <c r="M20" s="212"/>
      <c r="N20" s="3"/>
      <c r="O20" s="3"/>
      <c r="P20" s="3"/>
    </row>
    <row r="21" spans="2:16" ht="15" customHeight="1" x14ac:dyDescent="0.35">
      <c r="B21" s="234" t="s">
        <v>422</v>
      </c>
      <c r="C21" s="235">
        <v>3</v>
      </c>
      <c r="D21" s="212"/>
      <c r="E21" s="212"/>
      <c r="F21" s="212"/>
      <c r="G21" s="212"/>
      <c r="H21" s="212"/>
      <c r="I21" s="212"/>
      <c r="J21" s="212"/>
      <c r="K21" s="212"/>
      <c r="L21" s="212"/>
      <c r="M21" s="212"/>
      <c r="N21" s="3"/>
      <c r="O21" s="3"/>
      <c r="P21" s="3"/>
    </row>
    <row r="22" spans="2:16" ht="14.25" customHeight="1" x14ac:dyDescent="0.35">
      <c r="B22" s="202" t="s">
        <v>403</v>
      </c>
      <c r="C22" s="203" t="s">
        <v>404</v>
      </c>
      <c r="D22" s="203" t="s">
        <v>405</v>
      </c>
      <c r="E22" s="203" t="s">
        <v>406</v>
      </c>
      <c r="F22" s="203" t="s">
        <v>407</v>
      </c>
      <c r="G22" s="203" t="s">
        <v>408</v>
      </c>
      <c r="H22" s="203" t="s">
        <v>409</v>
      </c>
      <c r="I22" s="203" t="s">
        <v>410</v>
      </c>
      <c r="J22" s="203" t="s">
        <v>411</v>
      </c>
      <c r="K22" s="203" t="s">
        <v>412</v>
      </c>
      <c r="L22" s="203" t="s">
        <v>413</v>
      </c>
      <c r="M22" s="203" t="s">
        <v>414</v>
      </c>
      <c r="N22" s="3"/>
      <c r="O22" s="3"/>
      <c r="P22" s="3"/>
    </row>
    <row r="23" spans="2:16" ht="14.25" customHeight="1" x14ac:dyDescent="0.35">
      <c r="B23" s="88" t="s">
        <v>416</v>
      </c>
      <c r="C23" s="205">
        <f>C6</f>
        <v>23154.6</v>
      </c>
      <c r="D23" s="208">
        <f t="shared" ref="D23:M23" si="6">C23*(1+D24)</f>
        <v>23243.517911341591</v>
      </c>
      <c r="E23" s="205">
        <f t="shared" si="6"/>
        <v>23495.894653509768</v>
      </c>
      <c r="F23" s="205">
        <f t="shared" si="6"/>
        <v>23915.900175896786</v>
      </c>
      <c r="G23" s="205">
        <f t="shared" si="6"/>
        <v>24511.24957560208</v>
      </c>
      <c r="H23" s="205">
        <f t="shared" si="6"/>
        <v>25293.433282168673</v>
      </c>
      <c r="I23" s="205">
        <f t="shared" si="6"/>
        <v>26278.080598107139</v>
      </c>
      <c r="J23" s="205">
        <f t="shared" si="6"/>
        <v>27485.472414752909</v>
      </c>
      <c r="K23" s="205">
        <f t="shared" si="6"/>
        <v>28941.226311886945</v>
      </c>
      <c r="L23" s="205">
        <f t="shared" si="6"/>
        <v>30677.185969777478</v>
      </c>
      <c r="M23" s="205">
        <f t="shared" si="6"/>
        <v>32732.557429752567</v>
      </c>
      <c r="N23" s="3"/>
      <c r="O23" s="3"/>
      <c r="P23" s="3"/>
    </row>
    <row r="24" spans="2:16" ht="14.25" customHeight="1" x14ac:dyDescent="0.35">
      <c r="B24" s="88" t="s">
        <v>417</v>
      </c>
      <c r="C24" s="208"/>
      <c r="D24" s="221">
        <f t="shared" ref="D24:M24" si="7">CHOOSE($C$21,D7,D13,D19)</f>
        <v>3.8401834340299527E-3</v>
      </c>
      <c r="E24" s="221">
        <f t="shared" si="7"/>
        <v>1.0857940830248847E-2</v>
      </c>
      <c r="F24" s="221">
        <f t="shared" si="7"/>
        <v>1.7875698226467743E-2</v>
      </c>
      <c r="G24" s="221">
        <f t="shared" si="7"/>
        <v>2.4893455622686637E-2</v>
      </c>
      <c r="H24" s="221">
        <f t="shared" si="7"/>
        <v>3.1911213018905531E-2</v>
      </c>
      <c r="I24" s="221">
        <f t="shared" si="7"/>
        <v>3.8928970415124428E-2</v>
      </c>
      <c r="J24" s="221">
        <f t="shared" si="7"/>
        <v>4.5946727811343326E-2</v>
      </c>
      <c r="K24" s="221">
        <f t="shared" si="7"/>
        <v>5.2964485207562223E-2</v>
      </c>
      <c r="L24" s="221">
        <f t="shared" si="7"/>
        <v>5.998224260378112E-2</v>
      </c>
      <c r="M24" s="221">
        <f t="shared" si="7"/>
        <v>6.7000000000000018E-2</v>
      </c>
      <c r="N24" s="3"/>
      <c r="O24" s="3"/>
      <c r="P24" s="3"/>
    </row>
    <row r="25" spans="2:16" ht="14.25" customHeight="1" x14ac:dyDescent="0.35">
      <c r="B25" s="3"/>
      <c r="C25" s="3"/>
      <c r="D25" s="3"/>
      <c r="E25" s="3"/>
      <c r="F25" s="3"/>
      <c r="G25" s="3"/>
      <c r="H25" s="3"/>
      <c r="I25" s="3"/>
      <c r="J25" s="3"/>
      <c r="K25" s="3"/>
      <c r="L25" s="3"/>
      <c r="M25" s="3"/>
      <c r="N25" s="3"/>
      <c r="O25" s="3"/>
      <c r="P25" s="3"/>
    </row>
  </sheetData>
  <mergeCells count="4">
    <mergeCell ref="B2:P2"/>
    <mergeCell ref="B4:M4"/>
    <mergeCell ref="B10:M10"/>
    <mergeCell ref="B16:M16"/>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89999084444715716"/>
  </sheetPr>
  <dimension ref="B2:Q33"/>
  <sheetViews>
    <sheetView tabSelected="1" topLeftCell="A21" zoomScale="111" zoomScaleNormal="100" workbookViewId="0"/>
  </sheetViews>
  <sheetFormatPr defaultColWidth="8.54296875" defaultRowHeight="14.5" x14ac:dyDescent="0.35"/>
  <cols>
    <col min="2" max="2" width="30.453125" customWidth="1"/>
    <col min="3" max="13" width="10.6328125" customWidth="1"/>
    <col min="15" max="15" width="9.453125" bestFit="1" customWidth="1"/>
    <col min="17" max="17" width="8.6328125" bestFit="1" customWidth="1"/>
  </cols>
  <sheetData>
    <row r="2" spans="2:17" ht="14.25" customHeight="1" x14ac:dyDescent="0.35">
      <c r="B2" s="299" t="s">
        <v>423</v>
      </c>
      <c r="C2" s="299"/>
      <c r="D2" s="299"/>
      <c r="E2" s="299"/>
      <c r="F2" s="299"/>
      <c r="G2" s="299"/>
      <c r="H2" s="299"/>
      <c r="I2" s="299"/>
      <c r="J2" s="299"/>
      <c r="K2" s="299"/>
      <c r="L2" s="299"/>
      <c r="M2" s="299"/>
      <c r="N2" s="103"/>
      <c r="O2" s="103"/>
      <c r="P2" s="103"/>
      <c r="Q2" s="103"/>
    </row>
    <row r="3" spans="2:17" ht="14.25" customHeight="1" x14ac:dyDescent="0.35">
      <c r="B3" s="103"/>
      <c r="C3" s="103"/>
      <c r="D3" s="103">
        <v>1</v>
      </c>
      <c r="E3" s="103">
        <v>2</v>
      </c>
      <c r="F3" s="103">
        <v>3</v>
      </c>
      <c r="G3" s="103">
        <v>4</v>
      </c>
      <c r="H3" s="103">
        <v>5</v>
      </c>
      <c r="I3" s="103">
        <v>6</v>
      </c>
      <c r="J3" s="103">
        <v>7</v>
      </c>
      <c r="K3" s="103">
        <v>8</v>
      </c>
      <c r="L3" s="103">
        <v>9</v>
      </c>
      <c r="M3" s="103">
        <v>10</v>
      </c>
      <c r="N3" s="103"/>
      <c r="O3" s="103"/>
      <c r="P3" s="103"/>
      <c r="Q3" s="103"/>
    </row>
    <row r="4" spans="2:17" ht="14.25" customHeight="1" x14ac:dyDescent="0.35">
      <c r="B4" s="236" t="s">
        <v>424</v>
      </c>
      <c r="C4" s="237" t="s">
        <v>404</v>
      </c>
      <c r="D4" s="237" t="s">
        <v>405</v>
      </c>
      <c r="E4" s="237" t="s">
        <v>406</v>
      </c>
      <c r="F4" s="237" t="s">
        <v>407</v>
      </c>
      <c r="G4" s="237" t="s">
        <v>408</v>
      </c>
      <c r="H4" s="237" t="s">
        <v>409</v>
      </c>
      <c r="I4" s="237" t="s">
        <v>410</v>
      </c>
      <c r="J4" s="237" t="s">
        <v>411</v>
      </c>
      <c r="K4" s="237" t="s">
        <v>412</v>
      </c>
      <c r="L4" s="237" t="s">
        <v>413</v>
      </c>
      <c r="M4" s="237" t="s">
        <v>414</v>
      </c>
      <c r="N4" s="238"/>
      <c r="O4" s="236" t="s">
        <v>425</v>
      </c>
      <c r="P4" s="239" t="s">
        <v>426</v>
      </c>
      <c r="Q4" s="113">
        <v>0.05</v>
      </c>
    </row>
    <row r="5" spans="2:17" ht="14.25" customHeight="1" x14ac:dyDescent="0.35">
      <c r="B5" s="240" t="s">
        <v>427</v>
      </c>
      <c r="C5" s="241">
        <f>'Growth Scenerio'!C23</f>
        <v>23154.6</v>
      </c>
      <c r="D5" s="241">
        <f>'Growth Scenerio'!D23</f>
        <v>23243.517911341591</v>
      </c>
      <c r="E5" s="241">
        <f>'Growth Scenerio'!E23</f>
        <v>23495.894653509768</v>
      </c>
      <c r="F5" s="241">
        <f>'Growth Scenerio'!F23</f>
        <v>23915.900175896786</v>
      </c>
      <c r="G5" s="241">
        <f>'Growth Scenerio'!G23</f>
        <v>24511.24957560208</v>
      </c>
      <c r="H5" s="241">
        <f>'Growth Scenerio'!H23</f>
        <v>25293.433282168673</v>
      </c>
      <c r="I5" s="241">
        <f>'Growth Scenerio'!I23</f>
        <v>26278.080598107139</v>
      </c>
      <c r="J5" s="241">
        <f>'Growth Scenerio'!J23</f>
        <v>27485.472414752909</v>
      </c>
      <c r="K5" s="241">
        <f>'Growth Scenerio'!K23</f>
        <v>28941.226311886945</v>
      </c>
      <c r="L5" s="241">
        <f>'Growth Scenerio'!L23</f>
        <v>30677.185969777478</v>
      </c>
      <c r="M5" s="241">
        <f>'Growth Scenerio'!M23</f>
        <v>32732.557429752567</v>
      </c>
      <c r="N5" s="103"/>
      <c r="O5" s="241">
        <f>M5*(1+Q4)</f>
        <v>34369.185301240199</v>
      </c>
      <c r="P5" s="239" t="s">
        <v>428</v>
      </c>
      <c r="Q5" s="113">
        <f>'Cost Of Capital'!E16</f>
        <v>0.10908174966330503</v>
      </c>
    </row>
    <row r="6" spans="2:17" ht="14.25" customHeight="1" x14ac:dyDescent="0.35">
      <c r="B6" s="240" t="s">
        <v>429</v>
      </c>
      <c r="C6" s="103"/>
      <c r="D6" s="113">
        <f>'Growth Scenerio'!D24</f>
        <v>3.8401834340299527E-3</v>
      </c>
      <c r="E6" s="113">
        <f>'Growth Scenerio'!E24</f>
        <v>1.0857940830248847E-2</v>
      </c>
      <c r="F6" s="113">
        <f>'Growth Scenerio'!F24</f>
        <v>1.7875698226467743E-2</v>
      </c>
      <c r="G6" s="113">
        <f>'Growth Scenerio'!G24</f>
        <v>2.4893455622686637E-2</v>
      </c>
      <c r="H6" s="113">
        <f>'Growth Scenerio'!H24</f>
        <v>3.1911213018905531E-2</v>
      </c>
      <c r="I6" s="113">
        <f>'Growth Scenerio'!I24</f>
        <v>3.8928970415124428E-2</v>
      </c>
      <c r="J6" s="113">
        <f>'Growth Scenerio'!J24</f>
        <v>4.5946727811343326E-2</v>
      </c>
      <c r="K6" s="113">
        <f>'Growth Scenerio'!K24</f>
        <v>5.2964485207562223E-2</v>
      </c>
      <c r="L6" s="113">
        <f>'Growth Scenerio'!L24</f>
        <v>5.998224260378112E-2</v>
      </c>
      <c r="M6" s="113">
        <f>'Growth Scenerio'!M24</f>
        <v>6.7000000000000018E-2</v>
      </c>
      <c r="N6" s="103"/>
      <c r="O6" s="113">
        <f>Q4</f>
        <v>0.05</v>
      </c>
      <c r="P6" s="239" t="s">
        <v>430</v>
      </c>
      <c r="Q6" s="113">
        <f>Q4*Q5</f>
        <v>5.4540874831652516E-3</v>
      </c>
    </row>
    <row r="7" spans="2:17" ht="14.25" customHeight="1" x14ac:dyDescent="0.35">
      <c r="B7" s="240" t="s">
        <v>260</v>
      </c>
      <c r="C7" s="103"/>
      <c r="D7" s="242">
        <f t="shared" ref="D7:M7" si="0">D8*D5</f>
        <v>4697.8722203616608</v>
      </c>
      <c r="E7" s="242">
        <f t="shared" si="0"/>
        <v>4748.8814389584177</v>
      </c>
      <c r="F7" s="242">
        <f t="shared" si="0"/>
        <v>4833.7710104745129</v>
      </c>
      <c r="G7" s="242">
        <f t="shared" si="0"/>
        <v>4954.1002746139902</v>
      </c>
      <c r="H7" s="242">
        <f t="shared" si="0"/>
        <v>5112.191623794215</v>
      </c>
      <c r="I7" s="242">
        <f t="shared" si="0"/>
        <v>5311.2039802733461</v>
      </c>
      <c r="J7" s="242">
        <f t="shared" si="0"/>
        <v>5555.2364239054887</v>
      </c>
      <c r="K7" s="242">
        <f t="shared" si="0"/>
        <v>5849.4666613039408</v>
      </c>
      <c r="L7" s="103">
        <f t="shared" si="0"/>
        <v>6200.3307896850029</v>
      </c>
      <c r="M7" s="242">
        <f t="shared" si="0"/>
        <v>6615.752952593898</v>
      </c>
      <c r="N7" s="103"/>
      <c r="O7" s="243">
        <f>O8*O5</f>
        <v>6946.5406002235932</v>
      </c>
      <c r="P7" s="239"/>
      <c r="Q7" s="103"/>
    </row>
    <row r="8" spans="2:17" ht="14.25" customHeight="1" x14ac:dyDescent="0.35">
      <c r="B8" s="240" t="s">
        <v>431</v>
      </c>
      <c r="C8" s="103"/>
      <c r="D8" s="113">
        <f>AVERAGE(Assumptions!$C$24:$H$24)</f>
        <v>0.20211536989714243</v>
      </c>
      <c r="E8" s="113">
        <f>AVERAGE(Assumptions!$C$24:$H$24)</f>
        <v>0.20211536989714243</v>
      </c>
      <c r="F8" s="113">
        <f>AVERAGE(Assumptions!$C$24:$H$24)</f>
        <v>0.20211536989714243</v>
      </c>
      <c r="G8" s="113">
        <f>AVERAGE(Assumptions!$C$24:$H$24)</f>
        <v>0.20211536989714243</v>
      </c>
      <c r="H8" s="113">
        <f>AVERAGE(Assumptions!$C$24:$H$24)</f>
        <v>0.20211536989714243</v>
      </c>
      <c r="I8" s="113">
        <f>AVERAGE(Assumptions!$C$24:$H$24)</f>
        <v>0.20211536989714243</v>
      </c>
      <c r="J8" s="113">
        <f>AVERAGE(Assumptions!$C$24:$H$24)</f>
        <v>0.20211536989714243</v>
      </c>
      <c r="K8" s="113">
        <f>AVERAGE(Assumptions!$C$24:$H$24)</f>
        <v>0.20211536989714243</v>
      </c>
      <c r="L8" s="113">
        <f>AVERAGE(Assumptions!$C$24:$H$24)</f>
        <v>0.20211536989714243</v>
      </c>
      <c r="M8" s="113">
        <f>AVERAGE(Assumptions!$C$24:$H$24)</f>
        <v>0.20211536989714243</v>
      </c>
      <c r="N8" s="103"/>
      <c r="O8" s="113">
        <f>M8</f>
        <v>0.20211536989714243</v>
      </c>
      <c r="P8" s="300" t="s">
        <v>432</v>
      </c>
      <c r="Q8" s="300"/>
    </row>
    <row r="9" spans="2:17" ht="14.25" customHeight="1" x14ac:dyDescent="0.35">
      <c r="B9" s="240" t="s">
        <v>433</v>
      </c>
      <c r="C9" s="103"/>
      <c r="D9" s="243">
        <f>Assumptions!$H$30*D7</f>
        <v>1174.4680550904152</v>
      </c>
      <c r="E9" s="243">
        <f>Assumptions!$H$30*E7</f>
        <v>1187.2203597396044</v>
      </c>
      <c r="F9" s="243">
        <f>Assumptions!$H$30*F7</f>
        <v>1208.4427526186282</v>
      </c>
      <c r="G9" s="243">
        <f>Assumptions!$H$30*G7</f>
        <v>1238.5250686534976</v>
      </c>
      <c r="H9" s="243">
        <f>Assumptions!$H$30*H7</f>
        <v>1278.0479059485538</v>
      </c>
      <c r="I9" s="243">
        <f>Assumptions!$H$30*I7</f>
        <v>1327.8009950683365</v>
      </c>
      <c r="J9" s="243">
        <f>Assumptions!$H$30*J7</f>
        <v>1388.8091059763722</v>
      </c>
      <c r="K9" s="243">
        <f>Assumptions!$H$30*K7</f>
        <v>1462.3666653259852</v>
      </c>
      <c r="L9" s="243">
        <f>Assumptions!$H$30*L7</f>
        <v>1550.0826974212507</v>
      </c>
      <c r="M9" s="243">
        <f>Assumptions!$H$30*M7</f>
        <v>1653.9382381484745</v>
      </c>
      <c r="N9" s="103"/>
      <c r="O9" s="243">
        <f>25%*O7</f>
        <v>1736.6351500558983</v>
      </c>
      <c r="P9" s="103"/>
      <c r="Q9" s="103"/>
    </row>
    <row r="10" spans="2:17" ht="14.25" customHeight="1" x14ac:dyDescent="0.35">
      <c r="B10" s="244" t="s">
        <v>434</v>
      </c>
      <c r="C10" s="238"/>
      <c r="D10" s="245">
        <f t="shared" ref="D10:M10" si="1">D7-D9</f>
        <v>3523.4041652712458</v>
      </c>
      <c r="E10" s="245">
        <f t="shared" si="1"/>
        <v>3561.661079218813</v>
      </c>
      <c r="F10" s="245">
        <f t="shared" si="1"/>
        <v>3625.3282578558847</v>
      </c>
      <c r="G10" s="245">
        <f t="shared" si="1"/>
        <v>3715.5752059604929</v>
      </c>
      <c r="H10" s="245">
        <f t="shared" si="1"/>
        <v>3834.1437178456613</v>
      </c>
      <c r="I10" s="245">
        <f t="shared" si="1"/>
        <v>3983.4029852050098</v>
      </c>
      <c r="J10" s="245">
        <f t="shared" si="1"/>
        <v>4166.4273179291167</v>
      </c>
      <c r="K10" s="245">
        <f t="shared" si="1"/>
        <v>4387.0999959779556</v>
      </c>
      <c r="L10" s="245">
        <f t="shared" si="1"/>
        <v>4650.2480922637524</v>
      </c>
      <c r="M10" s="245">
        <f t="shared" si="1"/>
        <v>4961.8147144454233</v>
      </c>
      <c r="N10" s="238"/>
      <c r="O10" s="246">
        <f>O7-O9</f>
        <v>5209.9054501676947</v>
      </c>
      <c r="P10" s="238"/>
      <c r="Q10" s="238"/>
    </row>
    <row r="11" spans="2:17" ht="14.25" customHeight="1" x14ac:dyDescent="0.35">
      <c r="B11" s="240" t="s">
        <v>312</v>
      </c>
      <c r="C11" s="103"/>
      <c r="D11" s="243">
        <f>'Fixed asset schedule'!$C$12*D5</f>
        <v>505.55012998426758</v>
      </c>
      <c r="E11" s="243">
        <f>'Fixed asset schedule'!$C$12*E5</f>
        <v>511.03936338236139</v>
      </c>
      <c r="F11" s="243">
        <f>'Fixed asset schedule'!$C$12*F5</f>
        <v>520.17454882403069</v>
      </c>
      <c r="G11" s="243">
        <f>'Fixed asset schedule'!$C$12*G5</f>
        <v>533.12349087123278</v>
      </c>
      <c r="H11" s="243">
        <f>'Fixed asset schedule'!$C$12*H5</f>
        <v>550.13610815380719</v>
      </c>
      <c r="I11" s="243">
        <f>'Fixed asset schedule'!$C$12*I5</f>
        <v>571.55234043241842</v>
      </c>
      <c r="J11" s="243">
        <f>'Fixed asset schedule'!$C$12*J5</f>
        <v>597.81330024820295</v>
      </c>
      <c r="K11" s="243">
        <f>'Fixed asset schedule'!$C$12*K5</f>
        <v>629.47617394608278</v>
      </c>
      <c r="L11" s="243">
        <f>'Fixed asset schedule'!$C$12*L5</f>
        <v>667.23356652501661</v>
      </c>
      <c r="M11" s="243">
        <f>'Fixed asset schedule'!$C$12*M5</f>
        <v>711.93821548219262</v>
      </c>
      <c r="N11" s="103"/>
      <c r="O11" s="103"/>
      <c r="P11" s="103"/>
      <c r="Q11" s="103"/>
    </row>
    <row r="12" spans="2:17" ht="14.25" customHeight="1" x14ac:dyDescent="0.35">
      <c r="B12" s="240" t="s">
        <v>435</v>
      </c>
      <c r="C12" s="117">
        <f>'Change In WC'!G6</f>
        <v>589</v>
      </c>
      <c r="D12" s="241">
        <f>'Change In WC'!$C$10*DCF!D5</f>
        <v>-17.381981807887435</v>
      </c>
      <c r="E12" s="241">
        <f>'Change In WC'!$C$10*DCF!E5</f>
        <v>-17.570714337869937</v>
      </c>
      <c r="F12" s="241">
        <f>'Change In WC'!$C$10*DCF!F5</f>
        <v>-17.884803124997173</v>
      </c>
      <c r="G12" s="241">
        <f>'Change In WC'!$C$10*DCF!G5</f>
        <v>-18.33001767790978</v>
      </c>
      <c r="H12" s="241">
        <f>'Change In WC'!$C$10*DCF!H5</f>
        <v>-18.914950776669862</v>
      </c>
      <c r="I12" s="241">
        <f>'Change In WC'!$C$10*DCF!I5</f>
        <v>-19.651290335858373</v>
      </c>
      <c r="J12" s="241">
        <f>'Change In WC'!$C$10*DCF!J5</f>
        <v>-20.55420282406174</v>
      </c>
      <c r="K12" s="241">
        <f>'Change In WC'!$C$10*DCF!K5</f>
        <v>-21.642845595489991</v>
      </c>
      <c r="L12" s="241">
        <f>'Change In WC'!$C$10*DCF!L5</f>
        <v>-22.941032010634842</v>
      </c>
      <c r="M12" s="241">
        <f>'Change In WC'!$C$10*DCF!M5</f>
        <v>-24.478081155347375</v>
      </c>
      <c r="N12" s="103"/>
      <c r="O12" s="103"/>
      <c r="P12" s="103"/>
      <c r="Q12" s="103"/>
    </row>
    <row r="13" spans="2:17" ht="14.25" customHeight="1" x14ac:dyDescent="0.35">
      <c r="B13" s="240" t="s">
        <v>313</v>
      </c>
      <c r="C13" s="103"/>
      <c r="D13" s="241">
        <f t="shared" ref="D13:M13" si="2">D12-C12</f>
        <v>-606.38198180788743</v>
      </c>
      <c r="E13" s="241">
        <f t="shared" si="2"/>
        <v>-0.18873252998250223</v>
      </c>
      <c r="F13" s="241">
        <f t="shared" si="2"/>
        <v>-0.3140887871272362</v>
      </c>
      <c r="G13" s="241">
        <f t="shared" si="2"/>
        <v>-0.44521455291260636</v>
      </c>
      <c r="H13" s="241">
        <f t="shared" si="2"/>
        <v>-0.58493309876008226</v>
      </c>
      <c r="I13" s="241">
        <f t="shared" si="2"/>
        <v>-0.73633955918851157</v>
      </c>
      <c r="J13" s="241">
        <f t="shared" si="2"/>
        <v>-0.90291248820336634</v>
      </c>
      <c r="K13" s="241">
        <f t="shared" si="2"/>
        <v>-1.0886427714282512</v>
      </c>
      <c r="L13" s="241">
        <f t="shared" si="2"/>
        <v>-1.2981864151448512</v>
      </c>
      <c r="M13" s="241">
        <f t="shared" si="2"/>
        <v>-1.5370491447125332</v>
      </c>
      <c r="N13" s="103"/>
      <c r="O13" s="103"/>
      <c r="P13" s="103"/>
      <c r="Q13" s="103"/>
    </row>
    <row r="14" spans="2:17" ht="14.25" customHeight="1" x14ac:dyDescent="0.35">
      <c r="B14" s="240" t="s">
        <v>436</v>
      </c>
      <c r="C14" s="103"/>
      <c r="D14" s="243">
        <f t="shared" ref="D14:M14" si="3">D11+D13</f>
        <v>-100.83185182361984</v>
      </c>
      <c r="E14" s="243">
        <f t="shared" si="3"/>
        <v>510.85063085237891</v>
      </c>
      <c r="F14" s="243">
        <f t="shared" si="3"/>
        <v>519.86046003690342</v>
      </c>
      <c r="G14" s="243">
        <f t="shared" si="3"/>
        <v>532.67827631832017</v>
      </c>
      <c r="H14" s="243">
        <f t="shared" si="3"/>
        <v>549.55117505504711</v>
      </c>
      <c r="I14" s="243">
        <f t="shared" si="3"/>
        <v>570.81600087322988</v>
      </c>
      <c r="J14" s="243">
        <f t="shared" si="3"/>
        <v>596.91038775999959</v>
      </c>
      <c r="K14" s="243">
        <f t="shared" si="3"/>
        <v>628.38753117465455</v>
      </c>
      <c r="L14" s="243">
        <f t="shared" si="3"/>
        <v>665.93538010987174</v>
      </c>
      <c r="M14" s="243">
        <f t="shared" si="3"/>
        <v>710.40116633748005</v>
      </c>
      <c r="N14" s="103"/>
      <c r="O14" s="243">
        <f>O10*O16</f>
        <v>28.41528010423405</v>
      </c>
      <c r="P14" s="103"/>
      <c r="Q14" s="103"/>
    </row>
    <row r="15" spans="2:17" ht="14.25" customHeight="1" x14ac:dyDescent="0.35">
      <c r="B15" s="244" t="s">
        <v>437</v>
      </c>
      <c r="C15" s="103"/>
      <c r="D15" s="245">
        <f t="shared" ref="D15:M15" si="4">D10-D14</f>
        <v>3624.2360170948655</v>
      </c>
      <c r="E15" s="245">
        <f t="shared" si="4"/>
        <v>3050.8104483664342</v>
      </c>
      <c r="F15" s="245">
        <f t="shared" si="4"/>
        <v>3105.4677978189811</v>
      </c>
      <c r="G15" s="245">
        <f t="shared" si="4"/>
        <v>3182.8969296421728</v>
      </c>
      <c r="H15" s="245">
        <f t="shared" si="4"/>
        <v>3284.5925427906141</v>
      </c>
      <c r="I15" s="245">
        <f t="shared" si="4"/>
        <v>3412.5869843317801</v>
      </c>
      <c r="J15" s="245">
        <f t="shared" si="4"/>
        <v>3569.5169301691171</v>
      </c>
      <c r="K15" s="245">
        <f t="shared" si="4"/>
        <v>3758.7124648033009</v>
      </c>
      <c r="L15" s="245">
        <f t="shared" si="4"/>
        <v>3984.3127121538805</v>
      </c>
      <c r="M15" s="245">
        <f t="shared" si="4"/>
        <v>4251.4135481079429</v>
      </c>
      <c r="N15" s="103"/>
      <c r="O15" s="243">
        <f>O10-O14</f>
        <v>5181.4901700634609</v>
      </c>
      <c r="P15" s="103"/>
      <c r="Q15" s="103"/>
    </row>
    <row r="16" spans="2:17" ht="14.25" customHeight="1" x14ac:dyDescent="0.35">
      <c r="B16" s="103" t="s">
        <v>438</v>
      </c>
      <c r="C16" s="103"/>
      <c r="D16" s="247">
        <f t="shared" ref="D16:M16" si="5">D14/D10</f>
        <v>-2.8617736454272881E-2</v>
      </c>
      <c r="E16" s="247">
        <f t="shared" si="5"/>
        <v>0.14343044424777915</v>
      </c>
      <c r="F16" s="247">
        <f t="shared" si="5"/>
        <v>0.14339679694118587</v>
      </c>
      <c r="G16" s="247">
        <f t="shared" si="5"/>
        <v>0.14336361042128884</v>
      </c>
      <c r="H16" s="247">
        <f t="shared" si="5"/>
        <v>0.14333087528701985</v>
      </c>
      <c r="I16" s="247">
        <f t="shared" si="5"/>
        <v>0.14329858239131993</v>
      </c>
      <c r="J16" s="247">
        <f t="shared" si="5"/>
        <v>0.14326672283261821</v>
      </c>
      <c r="K16" s="247">
        <f t="shared" si="5"/>
        <v>0.14323528794665114</v>
      </c>
      <c r="L16" s="247">
        <f t="shared" si="5"/>
        <v>0.14320426929860697</v>
      </c>
      <c r="M16" s="247">
        <f t="shared" si="5"/>
        <v>0.1431736586755801</v>
      </c>
      <c r="N16" s="103"/>
      <c r="O16" s="113">
        <f>Q6</f>
        <v>5.4540874831652516E-3</v>
      </c>
      <c r="P16" s="103"/>
      <c r="Q16" s="103"/>
    </row>
    <row r="17" spans="2:17" ht="14.25" customHeight="1" x14ac:dyDescent="0.35">
      <c r="B17" s="103"/>
      <c r="C17" s="103"/>
      <c r="D17" s="103"/>
      <c r="E17" s="103"/>
      <c r="F17" s="103"/>
      <c r="G17" s="103"/>
      <c r="H17" s="103"/>
      <c r="I17" s="103"/>
      <c r="J17" s="103"/>
      <c r="K17" s="103"/>
      <c r="L17" s="103"/>
      <c r="M17" s="103"/>
      <c r="N17" s="103"/>
      <c r="O17" s="103"/>
      <c r="P17" s="103"/>
      <c r="Q17" s="103"/>
    </row>
    <row r="18" spans="2:17" ht="14.25" customHeight="1" x14ac:dyDescent="0.35">
      <c r="B18" s="103" t="s">
        <v>439</v>
      </c>
      <c r="C18" s="103"/>
      <c r="D18" s="103"/>
      <c r="E18" s="103"/>
      <c r="F18" s="103"/>
      <c r="G18" s="103"/>
      <c r="H18" s="103"/>
      <c r="I18" s="103"/>
      <c r="J18" s="103"/>
      <c r="K18" s="103"/>
      <c r="L18" s="103"/>
      <c r="M18" s="241">
        <f>M15/(Q5-Q4)</f>
        <v>71958.152430080212</v>
      </c>
      <c r="N18" s="103"/>
      <c r="O18" s="103"/>
      <c r="P18" s="103"/>
      <c r="Q18" s="103"/>
    </row>
    <row r="19" spans="2:17" ht="14.25" customHeight="1" x14ac:dyDescent="0.35">
      <c r="B19" s="103"/>
      <c r="C19" s="103"/>
      <c r="D19" s="103"/>
      <c r="E19" s="103"/>
      <c r="F19" s="103"/>
      <c r="G19" s="103"/>
      <c r="H19" s="103"/>
      <c r="I19" s="103"/>
      <c r="J19" s="103"/>
      <c r="K19" s="103"/>
      <c r="L19" s="103"/>
      <c r="M19" s="103"/>
      <c r="N19" s="103"/>
      <c r="O19" s="103"/>
      <c r="P19" s="103"/>
      <c r="Q19" s="103"/>
    </row>
    <row r="20" spans="2:17" ht="14.25" customHeight="1" x14ac:dyDescent="0.35">
      <c r="B20" s="103" t="s">
        <v>440</v>
      </c>
      <c r="C20" s="103"/>
      <c r="D20" s="243">
        <f t="shared" ref="D20:M20" si="6">1/(1+$Q$5)^D3</f>
        <v>0.9016467905125839</v>
      </c>
      <c r="E20" s="243">
        <f t="shared" si="6"/>
        <v>0.8129669348416434</v>
      </c>
      <c r="F20" s="243">
        <f t="shared" si="6"/>
        <v>0.73300902759282072</v>
      </c>
      <c r="G20" s="243">
        <f t="shared" si="6"/>
        <v>0.66091523714581679</v>
      </c>
      <c r="H20" s="243">
        <f t="shared" si="6"/>
        <v>0.5959121023733891</v>
      </c>
      <c r="I20" s="243">
        <f t="shared" si="6"/>
        <v>0.53730223453257253</v>
      </c>
      <c r="J20" s="243">
        <f t="shared" si="6"/>
        <v>0.48445683530153372</v>
      </c>
      <c r="K20" s="243">
        <f t="shared" si="6"/>
        <v>0.43680895069151127</v>
      </c>
      <c r="L20" s="243">
        <f t="shared" si="6"/>
        <v>0.39384738845817069</v>
      </c>
      <c r="M20" s="243">
        <f t="shared" si="6"/>
        <v>0.35511123375507248</v>
      </c>
      <c r="N20" s="103"/>
      <c r="O20" s="103"/>
      <c r="P20" s="103"/>
      <c r="Q20" s="103"/>
    </row>
    <row r="21" spans="2:17" ht="14.25" customHeight="1" x14ac:dyDescent="0.35">
      <c r="B21" s="103"/>
      <c r="C21" s="103"/>
      <c r="D21" s="103"/>
      <c r="E21" s="103"/>
      <c r="F21" s="103"/>
      <c r="G21" s="103"/>
      <c r="H21" s="103"/>
      <c r="I21" s="103"/>
      <c r="J21" s="103"/>
      <c r="K21" s="103"/>
      <c r="L21" s="103"/>
      <c r="M21" s="103"/>
      <c r="N21" s="103"/>
      <c r="O21" s="103"/>
      <c r="P21" s="103"/>
      <c r="Q21" s="103"/>
    </row>
    <row r="22" spans="2:17" ht="14.25" customHeight="1" x14ac:dyDescent="0.35">
      <c r="B22" s="103" t="s">
        <v>441</v>
      </c>
      <c r="C22" s="103"/>
      <c r="D22" s="103">
        <f>SUMPRODUCT(D15:M15,D20:M20)</f>
        <v>20368.920851463772</v>
      </c>
      <c r="E22" s="103"/>
      <c r="F22" s="103"/>
      <c r="G22" s="103"/>
      <c r="H22" s="103"/>
      <c r="I22" s="103"/>
      <c r="J22" s="103"/>
      <c r="K22" s="103"/>
      <c r="L22" s="103"/>
      <c r="M22" s="103"/>
      <c r="N22" s="103"/>
      <c r="O22" s="103"/>
      <c r="P22" s="103"/>
      <c r="Q22" s="103"/>
    </row>
    <row r="23" spans="2:17" ht="14.25" customHeight="1" x14ac:dyDescent="0.35">
      <c r="B23" s="103" t="s">
        <v>442</v>
      </c>
      <c r="C23" s="103"/>
      <c r="D23" s="241">
        <f>M18*M20</f>
        <v>25553.14828818135</v>
      </c>
      <c r="E23" s="103"/>
      <c r="M23" s="103"/>
      <c r="N23" s="103"/>
      <c r="O23" s="103"/>
      <c r="P23" s="103"/>
      <c r="Q23" s="103"/>
    </row>
    <row r="24" spans="2:17" ht="14.25" customHeight="1" x14ac:dyDescent="0.35">
      <c r="B24" s="103"/>
      <c r="C24" s="103"/>
      <c r="D24" s="241"/>
      <c r="E24" s="103"/>
      <c r="N24" s="103"/>
    </row>
    <row r="25" spans="2:17" ht="14.25" customHeight="1" x14ac:dyDescent="0.35">
      <c r="B25" s="238" t="s">
        <v>443</v>
      </c>
      <c r="C25" s="103"/>
      <c r="D25" s="245">
        <f>D22+D23</f>
        <v>45922.069139645122</v>
      </c>
      <c r="E25" s="103"/>
      <c r="N25" s="103"/>
    </row>
    <row r="26" spans="2:17" ht="14.25" customHeight="1" x14ac:dyDescent="0.35">
      <c r="B26" s="240" t="s">
        <v>444</v>
      </c>
      <c r="C26" s="103"/>
      <c r="D26" s="248">
        <f>Assumptions!H36</f>
        <v>1341</v>
      </c>
      <c r="E26" s="103"/>
      <c r="N26" s="103"/>
    </row>
    <row r="27" spans="2:17" ht="14.25" customHeight="1" x14ac:dyDescent="0.35">
      <c r="B27" s="240" t="s">
        <v>445</v>
      </c>
      <c r="C27" s="103"/>
      <c r="D27" s="117">
        <f>Assumptions!H35</f>
        <v>24</v>
      </c>
      <c r="E27" s="103"/>
      <c r="N27" s="103"/>
    </row>
    <row r="28" spans="2:17" ht="14.25" customHeight="1" x14ac:dyDescent="0.35">
      <c r="B28" s="240" t="s">
        <v>446</v>
      </c>
      <c r="C28" s="103"/>
      <c r="D28" s="103">
        <v>0</v>
      </c>
      <c r="E28" s="103"/>
      <c r="N28" s="103"/>
    </row>
    <row r="29" spans="2:17" ht="15" customHeight="1" x14ac:dyDescent="0.35">
      <c r="B29" s="249" t="s">
        <v>447</v>
      </c>
      <c r="C29" s="250"/>
      <c r="D29" s="251">
        <f>D25+D26-D27-D28</f>
        <v>47239.069139645122</v>
      </c>
      <c r="E29" s="103"/>
      <c r="N29" s="103"/>
    </row>
    <row r="30" spans="2:17" ht="15" customHeight="1" x14ac:dyDescent="0.35">
      <c r="B30" s="103"/>
      <c r="C30" s="103"/>
      <c r="D30" s="103"/>
      <c r="E30" s="241"/>
      <c r="N30" s="103"/>
    </row>
    <row r="31" spans="2:17" ht="14.25" customHeight="1" x14ac:dyDescent="0.35">
      <c r="B31" s="240" t="s">
        <v>448</v>
      </c>
      <c r="C31" s="103"/>
      <c r="D31">
        <v>192.83</v>
      </c>
      <c r="E31" s="241"/>
      <c r="F31" s="103"/>
      <c r="G31" s="103"/>
      <c r="H31" s="103"/>
      <c r="I31" s="103"/>
      <c r="J31" s="103"/>
      <c r="K31" s="103"/>
      <c r="L31" s="103"/>
      <c r="M31" s="103"/>
      <c r="N31" s="103"/>
      <c r="O31" s="103"/>
      <c r="P31" s="103"/>
      <c r="Q31" s="103"/>
    </row>
    <row r="32" spans="2:17" ht="15" customHeight="1" x14ac:dyDescent="0.35">
      <c r="B32" s="249" t="s">
        <v>449</v>
      </c>
      <c r="C32" s="250"/>
      <c r="D32" s="252">
        <f>D29/D31</f>
        <v>244.97779982183852</v>
      </c>
      <c r="E32" s="103"/>
      <c r="F32" s="249" t="s">
        <v>450</v>
      </c>
      <c r="G32" s="103"/>
      <c r="H32" s="103"/>
      <c r="I32" s="103"/>
      <c r="J32" s="103"/>
      <c r="K32" s="103"/>
      <c r="L32" s="103"/>
      <c r="M32" s="103"/>
      <c r="N32" s="103"/>
      <c r="O32" s="103"/>
      <c r="P32" s="103"/>
      <c r="Q32" s="103"/>
    </row>
    <row r="33" ht="15" customHeight="1" x14ac:dyDescent="0.35"/>
  </sheetData>
  <mergeCells count="2">
    <mergeCell ref="B2:M2"/>
    <mergeCell ref="P8:Q8"/>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Holdings</vt:lpstr>
      <vt:lpstr>Consolodated Financials</vt:lpstr>
      <vt:lpstr>Peers</vt:lpstr>
      <vt:lpstr>Standalone Financials</vt:lpstr>
      <vt:lpstr>Beta</vt:lpstr>
      <vt:lpstr>Assumptions</vt:lpstr>
      <vt:lpstr>Fixed asset schedule</vt:lpstr>
      <vt:lpstr>Change In WC</vt:lpstr>
      <vt:lpstr>FCFF</vt:lpstr>
      <vt:lpstr>Cost Of Capital</vt:lpstr>
      <vt:lpstr>Raw FS valuation</vt:lpstr>
      <vt:lpstr>Relative VAluation</vt:lpstr>
      <vt:lpstr>Growth Scenerio</vt:lpstr>
      <vt:lpstr>DCF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kiran .</dc:creator>
  <dc:description/>
  <cp:lastModifiedBy>kiran .</cp:lastModifiedBy>
  <cp:revision>0</cp:revision>
  <dcterms:created xsi:type="dcterms:W3CDTF">2026-04-28T07:31:51Z</dcterms:created>
  <dcterms:modified xsi:type="dcterms:W3CDTF">2026-06-22T17:10:41Z</dcterms:modified>
  <dc:language>en-US</dc:language>
</cp:coreProperties>
</file>