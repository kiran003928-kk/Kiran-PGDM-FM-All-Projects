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C29EDCE-9CEB-4FAE-865D-1DA2331D4B8D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IT Sector Dashboard" sheetId="1" r:id="rId1"/>
    <sheet name="Stock Prices" sheetId="2" r:id="rId2"/>
    <sheet name="Valuation Scorecard" sheetId="3" r:id="rId3"/>
    <sheet name="News &amp; Events" sheetId="4" r:id="rId4"/>
    <sheet name="FII DII" sheetId="5" r:id="rId5"/>
    <sheet name="Return Analysis" sheetId="6" r:id="rId6"/>
    <sheet name="Sector Outlook" sheetId="7" r:id="rId7"/>
    <sheet name="Economical Analysis" sheetId="10" r:id="rId8"/>
    <sheet name="Sheet1" sheetId="8" r:id="rId9"/>
    <sheet name="Sheet2" sheetId="9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" i="6" l="1"/>
  <c r="I20" i="6"/>
  <c r="H20" i="6"/>
  <c r="G20" i="6"/>
  <c r="F20" i="6"/>
  <c r="E20" i="6"/>
  <c r="K7" i="6"/>
  <c r="G17" i="3"/>
  <c r="E17" i="3"/>
  <c r="J5" i="3"/>
  <c r="D25" i="1"/>
  <c r="D24" i="1"/>
  <c r="D22" i="1"/>
  <c r="D21" i="1"/>
  <c r="D20" i="1"/>
  <c r="E14" i="1"/>
  <c r="I6" i="1"/>
  <c r="H6" i="1"/>
  <c r="E6" i="1"/>
  <c r="E22" i="7"/>
  <c r="E21" i="7"/>
  <c r="E20" i="7"/>
  <c r="E19" i="7"/>
  <c r="E18" i="7"/>
  <c r="E17" i="7"/>
  <c r="E16" i="7"/>
  <c r="E15" i="7"/>
  <c r="E14" i="7"/>
  <c r="E13" i="7"/>
  <c r="J29" i="6"/>
  <c r="I29" i="6"/>
  <c r="H29" i="6"/>
  <c r="G29" i="6"/>
  <c r="F29" i="6"/>
  <c r="E29" i="6"/>
  <c r="J28" i="6"/>
  <c r="I28" i="6"/>
  <c r="H28" i="6"/>
  <c r="G28" i="6"/>
  <c r="F28" i="6"/>
  <c r="E28" i="6"/>
  <c r="J27" i="6"/>
  <c r="I27" i="6"/>
  <c r="H27" i="6"/>
  <c r="G27" i="6"/>
  <c r="F27" i="6"/>
  <c r="E27" i="6"/>
  <c r="J26" i="6"/>
  <c r="I26" i="6"/>
  <c r="H26" i="6"/>
  <c r="G26" i="6"/>
  <c r="F26" i="6"/>
  <c r="E26" i="6"/>
  <c r="J25" i="6"/>
  <c r="I25" i="6"/>
  <c r="H25" i="6"/>
  <c r="G25" i="6"/>
  <c r="F25" i="6"/>
  <c r="E25" i="6"/>
  <c r="J24" i="6"/>
  <c r="I24" i="6"/>
  <c r="H24" i="6"/>
  <c r="G24" i="6"/>
  <c r="F24" i="6"/>
  <c r="E24" i="6"/>
  <c r="J23" i="6"/>
  <c r="I23" i="6"/>
  <c r="H23" i="6"/>
  <c r="G23" i="6"/>
  <c r="F23" i="6"/>
  <c r="E23" i="6"/>
  <c r="J22" i="6"/>
  <c r="I22" i="6"/>
  <c r="H22" i="6"/>
  <c r="G22" i="6"/>
  <c r="F22" i="6"/>
  <c r="E22" i="6"/>
  <c r="J21" i="6"/>
  <c r="I21" i="6"/>
  <c r="H21" i="6"/>
  <c r="G21" i="6"/>
  <c r="F21" i="6"/>
  <c r="E21" i="6"/>
  <c r="K15" i="6"/>
  <c r="K14" i="6"/>
  <c r="K13" i="6"/>
  <c r="K12" i="6"/>
  <c r="K11" i="6"/>
  <c r="K10" i="6"/>
  <c r="K9" i="6"/>
  <c r="K8" i="6"/>
  <c r="H15" i="5"/>
  <c r="G15" i="5"/>
  <c r="F15" i="5"/>
  <c r="E15" i="5"/>
  <c r="D15" i="5"/>
  <c r="C15" i="5"/>
  <c r="H14" i="5"/>
  <c r="E14" i="5"/>
  <c r="H13" i="5"/>
  <c r="E13" i="5"/>
  <c r="H12" i="5"/>
  <c r="E12" i="5"/>
  <c r="H11" i="5"/>
  <c r="E11" i="5"/>
  <c r="H10" i="5"/>
  <c r="E10" i="5"/>
  <c r="H9" i="5"/>
  <c r="E9" i="5"/>
  <c r="H8" i="5"/>
  <c r="E8" i="5"/>
  <c r="H7" i="5"/>
  <c r="E7" i="5"/>
  <c r="H6" i="5"/>
  <c r="E6" i="5"/>
  <c r="J27" i="3"/>
  <c r="I27" i="3"/>
  <c r="G27" i="3"/>
  <c r="E27" i="3"/>
  <c r="K26" i="3"/>
  <c r="I26" i="3"/>
  <c r="G26" i="3"/>
  <c r="E26" i="3"/>
  <c r="I25" i="3"/>
  <c r="G25" i="3"/>
  <c r="E25" i="3"/>
  <c r="I24" i="3"/>
  <c r="G24" i="3"/>
  <c r="E24" i="3"/>
  <c r="I23" i="3"/>
  <c r="G23" i="3"/>
  <c r="E23" i="3"/>
  <c r="I22" i="3"/>
  <c r="G22" i="3"/>
  <c r="E22" i="3"/>
  <c r="I21" i="3"/>
  <c r="G21" i="3"/>
  <c r="E21" i="3"/>
  <c r="K20" i="3"/>
  <c r="I20" i="3"/>
  <c r="G20" i="3"/>
  <c r="E20" i="3"/>
  <c r="I19" i="3"/>
  <c r="G19" i="3"/>
  <c r="E19" i="3"/>
  <c r="I18" i="3"/>
  <c r="G18" i="3"/>
  <c r="E18" i="3"/>
  <c r="I17" i="3"/>
  <c r="J12" i="3"/>
  <c r="I12" i="3"/>
  <c r="H12" i="3"/>
  <c r="J11" i="3"/>
  <c r="I11" i="3"/>
  <c r="H11" i="3"/>
  <c r="J10" i="3"/>
  <c r="I10" i="3"/>
  <c r="H10" i="3"/>
  <c r="J9" i="3"/>
  <c r="I9" i="3"/>
  <c r="H9" i="3"/>
  <c r="J8" i="3"/>
  <c r="I8" i="3"/>
  <c r="H8" i="3"/>
  <c r="J7" i="3"/>
  <c r="I7" i="3"/>
  <c r="H7" i="3"/>
  <c r="J6" i="3"/>
  <c r="I6" i="3"/>
  <c r="H6" i="3"/>
  <c r="I5" i="3"/>
  <c r="H5" i="3"/>
  <c r="L16" i="2"/>
  <c r="K16" i="2"/>
  <c r="J15" i="2"/>
  <c r="I15" i="2"/>
  <c r="F15" i="2"/>
  <c r="E15" i="2"/>
  <c r="J14" i="2"/>
  <c r="I14" i="2"/>
  <c r="F14" i="2"/>
  <c r="E14" i="2"/>
  <c r="J13" i="2"/>
  <c r="I13" i="2"/>
  <c r="F13" i="2"/>
  <c r="E13" i="2"/>
  <c r="J12" i="2"/>
  <c r="I12" i="2"/>
  <c r="F12" i="2"/>
  <c r="E12" i="2"/>
  <c r="J11" i="2"/>
  <c r="I11" i="2"/>
  <c r="F11" i="2"/>
  <c r="E11" i="2"/>
  <c r="J10" i="2"/>
  <c r="I10" i="2"/>
  <c r="F10" i="2"/>
  <c r="E10" i="2"/>
  <c r="J9" i="2"/>
  <c r="I9" i="2"/>
  <c r="F9" i="2"/>
  <c r="E9" i="2"/>
  <c r="J8" i="2"/>
  <c r="I8" i="2"/>
  <c r="F8" i="2"/>
  <c r="E8" i="2"/>
  <c r="J7" i="2"/>
  <c r="I7" i="2"/>
  <c r="F7" i="2"/>
  <c r="E7" i="2"/>
  <c r="J6" i="2"/>
  <c r="I6" i="2"/>
  <c r="F6" i="2"/>
  <c r="E6" i="2"/>
  <c r="E28" i="1"/>
  <c r="D28" i="1"/>
  <c r="E27" i="1"/>
  <c r="D27" i="1"/>
  <c r="E26" i="1"/>
  <c r="D26" i="1"/>
  <c r="E25" i="1"/>
  <c r="E24" i="1"/>
  <c r="E23" i="1"/>
  <c r="D23" i="1"/>
  <c r="E22" i="1"/>
  <c r="E21" i="1"/>
  <c r="E20" i="1"/>
  <c r="E10" i="1"/>
  <c r="I9" i="1"/>
  <c r="H9" i="1"/>
  <c r="E9" i="1"/>
  <c r="I8" i="1"/>
  <c r="H8" i="1"/>
  <c r="E8" i="1"/>
  <c r="I7" i="1"/>
  <c r="H7" i="1"/>
  <c r="E7" i="1"/>
  <c r="I14" i="5" l="1"/>
  <c r="I13" i="5"/>
  <c r="I12" i="5"/>
  <c r="I11" i="5"/>
  <c r="I10" i="5"/>
  <c r="I9" i="5"/>
  <c r="I8" i="5"/>
  <c r="I7" i="5"/>
  <c r="I6" i="5"/>
  <c r="K25" i="3"/>
  <c r="K24" i="3"/>
  <c r="K23" i="3"/>
  <c r="K22" i="3"/>
  <c r="K21" i="3"/>
  <c r="K19" i="3"/>
  <c r="K18" i="3"/>
  <c r="K17" i="3"/>
  <c r="I15" i="5" l="1"/>
</calcChain>
</file>

<file path=xl/sharedStrings.xml><?xml version="1.0" encoding="utf-8"?>
<sst xmlns="http://schemas.openxmlformats.org/spreadsheetml/2006/main" count="467" uniqueCount="334">
  <si>
    <t xml:space="preserve">  Data sourced from NSE / Univest / Tickertape / Business Today / India TV News / Business Standard  ·  Nifty IT closed ₹27,628.55 on Jun 22 (+0.74%)  ·  Key trigger: Accenture guidance cut Jun 19 caused ~6% crash  ·  Jun 23 = weekly Nifty expiry day</t>
  </si>
  <si>
    <t xml:space="preserve">  A.  INDEX &amp; MACRO SNAPSHOT  (Jun 22, 2026 close / Jun 23, 2026 pre-market)</t>
  </si>
  <si>
    <t>Indicator</t>
  </si>
  <si>
    <t>Value</t>
  </si>
  <si>
    <t>Change</t>
  </si>
  <si>
    <t>Change %</t>
  </si>
  <si>
    <t>52W High</t>
  </si>
  <si>
    <t>52W Low</t>
  </si>
  <si>
    <t>% from 52WH</t>
  </si>
  <si>
    <t>% from 52WL</t>
  </si>
  <si>
    <t>Nifty IT</t>
  </si>
  <si>
    <t>Nifty 50</t>
  </si>
  <si>
    <t>Sensex</t>
  </si>
  <si>
    <t>Bank Nifty</t>
  </si>
  <si>
    <t>India VIX</t>
  </si>
  <si>
    <t>—</t>
  </si>
  <si>
    <t>Nifty IT Futures</t>
  </si>
  <si>
    <t>USD / INR</t>
  </si>
  <si>
    <t>RBI Repo Rate (%)</t>
  </si>
  <si>
    <t>Brent Crude $/bbl</t>
  </si>
  <si>
    <t>Gold (₹/10g)</t>
  </si>
  <si>
    <t>Sources: Nifty IT / Nifty 50 close: Univest.in blog Jun 22 2026 | 52W ranges: Investing.com / Tickertape | VIX: Univest blog | USD/INR: HDFCSky Jun 12 2026 | RBI Repo: CNBC Jun 5 2026</t>
  </si>
  <si>
    <t>Level Type</t>
  </si>
  <si>
    <t>Price</t>
  </si>
  <si>
    <t>Vs Close (27628.55)</t>
  </si>
  <si>
    <t>Vs Close %</t>
  </si>
  <si>
    <t>Significance</t>
  </si>
  <si>
    <t>Action</t>
  </si>
  <si>
    <t>Volume</t>
  </si>
  <si>
    <t>Timeframe</t>
  </si>
  <si>
    <t>All-Time High</t>
  </si>
  <si>
    <t>ATH Jan 5 2026</t>
  </si>
  <si>
    <t>Book Profits</t>
  </si>
  <si>
    <t>Extreme High</t>
  </si>
  <si>
    <t>Long-Term</t>
  </si>
  <si>
    <t>Strong Resistance</t>
  </si>
  <si>
    <t>Pre-Accenture crash zone</t>
  </si>
  <si>
    <t>Partial Exit</t>
  </si>
  <si>
    <t>Very High</t>
  </si>
  <si>
    <t>Medium-Term</t>
  </si>
  <si>
    <t>Resistance R2</t>
  </si>
  <si>
    <t>Analyst resistance R2</t>
  </si>
  <si>
    <t>Watch/Exit</t>
  </si>
  <si>
    <t>Moderate</t>
  </si>
  <si>
    <t>Short-Term</t>
  </si>
  <si>
    <t>Resistance R1</t>
  </si>
  <si>
    <t>Analyst resistance R1</t>
  </si>
  <si>
    <t>Watch/Reduce</t>
  </si>
  <si>
    <t>Intraday</t>
  </si>
  <si>
    <t>▶ Close Jun 22</t>
  </si>
  <si>
    <t>Previous Close (CMP basis)</t>
  </si>
  <si>
    <t>Support S1</t>
  </si>
  <si>
    <t>Analyst immediate support</t>
  </si>
  <si>
    <t>Buy on Dip</t>
  </si>
  <si>
    <t>High</t>
  </si>
  <si>
    <t>Support S2</t>
  </si>
  <si>
    <t>Secondary support</t>
  </si>
  <si>
    <t>Add</t>
  </si>
  <si>
    <t>52-Week Low</t>
  </si>
  <si>
    <t>52W Low — strong floor</t>
  </si>
  <si>
    <t>Aggressive Buy</t>
  </si>
  <si>
    <t>Major Support</t>
  </si>
  <si>
    <t>Historical base 2024</t>
  </si>
  <si>
    <t>Long-Term Accum.</t>
  </si>
  <si>
    <t>Source: Univest.in — Nifty IT Prediction for Jun 23 2026 by Ankit Jaiswal, Sr Research Analyst &amp; Kunal Singla, Assoc. Director | 52W: Investing.com | Levels: univest.in/blogs/nifty-it-prediction-for-tomorrow-23-june-2026</t>
  </si>
  <si>
    <t xml:space="preserve">  Note: Jun 19 = Accenture crash day (Nifty IT -5.74%).  Jun 22 = Recovery day (Nifty IT +0.74% to 27,628.55).  Prices shown are Jun 22 close or latest available.  Blue = hardcoded input  |  Black = formula  |  Yellow = CMP reference</t>
  </si>
  <si>
    <t xml:space="preserve">  LARGE-CAP IT STOCKS</t>
  </si>
  <si>
    <t>Company (NSE)</t>
  </si>
  <si>
    <t>CMP Jun22 ₹</t>
  </si>
  <si>
    <t>Prev Close ₹</t>
  </si>
  <si>
    <t>Day Chg ₹</t>
  </si>
  <si>
    <t>Day Chg %</t>
  </si>
  <si>
    <t>52W High ₹</t>
  </si>
  <si>
    <t>52W Low ₹</t>
  </si>
  <si>
    <t>Market Cap ₹Cr</t>
  </si>
  <si>
    <t>P/E (TTM)</t>
  </si>
  <si>
    <t>TCS</t>
  </si>
  <si>
    <t>Infosys</t>
  </si>
  <si>
    <t>HCL Technologies</t>
  </si>
  <si>
    <t>Wipro</t>
  </si>
  <si>
    <t>Tech Mahindra</t>
  </si>
  <si>
    <t>LTIMindtree</t>
  </si>
  <si>
    <t>Persistent Sys.</t>
  </si>
  <si>
    <t>Mphasis</t>
  </si>
  <si>
    <t>Coforge</t>
  </si>
  <si>
    <t>OFSS (Oracle FS)</t>
  </si>
  <si>
    <t>SECTOR AVG / TOTAL</t>
  </si>
  <si>
    <t>Sources: India TV News Jun 19 2026 (Infosys/TCS/HCL/Wipro crash prices) | Tickertape Jun 19 2026 (TCS ₹2125, 52W H ₹3489.90, L ₹2059.90, PE 15.62, MkCap ₹768,843Cr) | Screener.in (Wipro MkCap ₹1,89,453Cr) | BusinessToday Jun 8 2026 (YTD returns) | Jun 22 prices estimated from Nifty IT +0.74% recovery | Blue = hardcoded input, Black = formula</t>
  </si>
  <si>
    <t>Company</t>
  </si>
  <si>
    <t xml:space="preserve">  A.  CURRENT VALUATION vs HISTORY</t>
  </si>
  <si>
    <t>Metric</t>
  </si>
  <si>
    <t>Current</t>
  </si>
  <si>
    <t>5Y Average</t>
  </si>
  <si>
    <t>10Y Average</t>
  </si>
  <si>
    <t>Peak (FY22)</t>
  </si>
  <si>
    <t>Trough (FY20)</t>
  </si>
  <si>
    <t>vs 5Y Avg %</t>
  </si>
  <si>
    <t>vs 10Y Avg %</t>
  </si>
  <si>
    <t>vs Peak %</t>
  </si>
  <si>
    <t>P/E Ratio (TTM)</t>
  </si>
  <si>
    <t>CHEAP 🟢</t>
  </si>
  <si>
    <t>P/B Ratio</t>
  </si>
  <si>
    <t>EV / EBITDA</t>
  </si>
  <si>
    <t>P / Sales</t>
  </si>
  <si>
    <t>Dividend Yield (%)</t>
  </si>
  <si>
    <t>PEG Ratio</t>
  </si>
  <si>
    <t>EV / Revenue</t>
  </si>
  <si>
    <t>FCF Yield (%)</t>
  </si>
  <si>
    <t>Sources: Investing.com (current valuations); Historical averages from SEBI/NSE data; BNP Paribas sector research Jun 2026 (CC growth 3% YoY, deal TCV growth decelerated to 3%) | Current P/E reflects post-crash Jun 2026 valuations (Nifty IT -24% YTD)</t>
  </si>
  <si>
    <t xml:space="preserve">  B.  PER-STOCK VALUATION METRICS (Jun 22, 2026)</t>
  </si>
  <si>
    <t>CMP ₹</t>
  </si>
  <si>
    <t>EPS TTM ₹</t>
  </si>
  <si>
    <t>P/E (formula)</t>
  </si>
  <si>
    <t>Book Value ₹</t>
  </si>
  <si>
    <t>P/B (formula)</t>
  </si>
  <si>
    <t>Div/Share ₹</t>
  </si>
  <si>
    <t>Div Yield % (formula)</t>
  </si>
  <si>
    <t>EV/EBITDA</t>
  </si>
  <si>
    <t>OFSS</t>
  </si>
  <si>
    <t>SECTOR AVERAGE</t>
  </si>
  <si>
    <t>Sources: EPS/BV from Tickertape / Screener.in / company Q4 FY26 results | Dividends from NSE corporate actions | P/E, P/B, Div Yield = Excel formulas auto-calculated from CMP inputs | Score = 10 - (P/E / 3.5): higher = cheaper (max ~10 = very cheap, min ~1 = very expensive)</t>
  </si>
  <si>
    <t xml:space="preserve">  CHRONOLOGICAL EVENT LOG (Most Recent First)</t>
  </si>
  <si>
    <t>Date</t>
  </si>
  <si>
    <t>Company / Index</t>
  </si>
  <si>
    <t>Event &amp; Details</t>
  </si>
  <si>
    <t>Category</t>
  </si>
  <si>
    <t>Price Impact</t>
  </si>
  <si>
    <t>Source</t>
  </si>
  <si>
    <t>Jun 22 2026</t>
  </si>
  <si>
    <t>Nifty IT closes +0.74% at 27,628.55; Nifty 50 closes +0.32% at 24,090; VIX jumps to 27.32; Nifty IT futures 27,660 (+31 pts premium); Recovery day post Accenture crash; Iran-US peace talks support sentiment</t>
  </si>
  <si>
    <t>Market Close</t>
  </si>
  <si>
    <t>▲ Recovery +0.74%</t>
  </si>
  <si>
    <t>Univest Jun 22 2026</t>
  </si>
  <si>
    <t>Nifty IT Technicals</t>
  </si>
  <si>
    <t>Technical</t>
  </si>
  <si>
    <t>Cautiously Bullish</t>
  </si>
  <si>
    <t>Nifty 50 closed 24,090 (+76.9 pts, +0.32%) from Fri close 24,013.10; Sensex gained 287 pts to 77,090; Jun 23 is weekly expiry day (moved to Tuesdays from Sep 2025); Max pain near 24,000-24,050; VIX 27.32 warns of elevated intraday range</t>
  </si>
  <si>
    <t>▲ +0.32%</t>
  </si>
  <si>
    <t>Jun 19 2026</t>
  </si>
  <si>
    <t>Nifty IT crashes ~5.74% — BIGGEST SINGLE-DAY FALL in months. Trigger: Accenture (US) Q3 FY26 revenue guidance cut to 4-7% (from 5-8%). All 10 Nifty IT constituents in deep red. Nifty MidSmall IT -2%+</t>
  </si>
  <si>
    <t>CRASH — Major Trigger</t>
  </si>
  <si>
    <t>▼ -5.74% (Crash)</t>
  </si>
  <si>
    <t>India TV News Jun 19 2026</t>
  </si>
  <si>
    <t>Opens gap-down -5.7% to ₹1,063 from prev close ₹1,127.25; Hits fresh 52W low ₹1,030.35 (intraday); closes ₹1,045.15 (-7.28%, -₹82.10); 52W High ₹1,727.85 (Feb 3 2026); MkCap ₹4,23,476 Cr</t>
  </si>
  <si>
    <t>Stock Crash</t>
  </si>
  <si>
    <t>▼ -7.28% | 52W low</t>
  </si>
  <si>
    <t>Falls 6.01% from prev close ₹2,203.30 to ~₹2,071; 52W High ₹3,489.90 / 52W Low ₹2,059.90; MkCap ₹768,843 Cr; PE 15.62, P/B 7.09 (Tickertape Jun 19)</t>
  </si>
  <si>
    <t>▼ -6.01%</t>
  </si>
  <si>
    <t>India TV News + Tickertape Jun 19</t>
  </si>
  <si>
    <t>Falls 5.11% from prev close ₹1,161.80; BNP Paribas: SELL rating, TP ₹1,345; HCLTech invested ₹1,427 Cr in Sarvam AI</t>
  </si>
  <si>
    <t>▼ -5.11%</t>
  </si>
  <si>
    <t>India TV News + Groww Jun 19</t>
  </si>
  <si>
    <t>Falls 3.30% from prev close ₹182.84 to ~₹176.81; Jun 18: completed acquisition of additional 20% stake in Aggne Global IT Services; BNP: SELL rating, TP ₹205; MkCap ₹1,89,453 Cr</t>
  </si>
  <si>
    <t>Stock Fall + M&amp;A</t>
  </si>
  <si>
    <t>▼ -3.30%</t>
  </si>
  <si>
    <t>India TV News + Screener Jun 19</t>
  </si>
  <si>
    <t>Jun 18 2026</t>
  </si>
  <si>
    <t>Completed acquisition of additional 20% stake in Aggne Global IT Services for USD 2.1 Mn (per Screener.in corporate announcement Jun 19)</t>
  </si>
  <si>
    <t>M&amp;A</t>
  </si>
  <si>
    <t>Neutral</t>
  </si>
  <si>
    <t>Screener.in Jun 19 2026</t>
  </si>
  <si>
    <t>IT Sector</t>
  </si>
  <si>
    <t>Business Standard Jun 18: Infosys, TCS, HCL Tech, Wipro, Persistent fell 1-2% intraday after US Fed hawkish rate signal overnight; Fed hinted at one more rate hike in FY; Nifty IT fell ~2% intraday to 28,262.65</t>
  </si>
  <si>
    <t>Pre-Crash Weakness</t>
  </si>
  <si>
    <t>▼ -1 to -2%</t>
  </si>
  <si>
    <t>Business Standard Jun 18 2026</t>
  </si>
  <si>
    <t>Jun 12 2026</t>
  </si>
  <si>
    <t>Launched India's first Oracle AI Data Platform Lab and Center of Excellence; AI-first partnership strengthening; signed multi-year deal with Canada Life (European Businesses) Jun 8</t>
  </si>
  <si>
    <t>Partnership / Deal</t>
  </si>
  <si>
    <t>Positive (limited)</t>
  </si>
  <si>
    <t>Tickertape Jun 2026</t>
  </si>
  <si>
    <t>Jun 11 2026</t>
  </si>
  <si>
    <t>HDFCSky: Infosys led IT decline, fell &gt;2%; TCS/HCL/Wipro/TechM down 1%; TCS Chairman N Chandrasekaran: 'AI agents may eventually match employee count'; Reignited fears of automation displacing IT workforce</t>
  </si>
  <si>
    <t>AI Disruption Fear</t>
  </si>
  <si>
    <t>▼ Sector -1.5%</t>
  </si>
  <si>
    <t>HDFCSky Jun 11 2026</t>
  </si>
  <si>
    <t>Jun 09 2026</t>
  </si>
  <si>
    <t>BNP Paribas sector report: CC revenue growth steady at 3% YoY for Q4 FY26; Median deal TCV growth decelerated to ~3% YoY (from 8% prev quarter); Ratings: TCS Buy TP₹3250, Infosys Buy TP₹1670, TechM Buy TP₹1840, Persistent Buy TP₹6300, LTM Neutral TP₹4830, HCL Sell TP₹1345, Wipro Sell TP₹205</t>
  </si>
  <si>
    <t>Analyst Report</t>
  </si>
  <si>
    <t>Mixed / Bearish</t>
  </si>
  <si>
    <t>BusinessToday Jun 9 2026</t>
  </si>
  <si>
    <t>Jun 08 2026</t>
  </si>
  <si>
    <t>BusinessToday: Nifty IT -24% YTD; TCS -33%, HCL -30%, Infosys -27%, Wipro -31%, TechM -7%; LTIMindtree -34%, Persistent -20%, Mphasis -17% YTD; PL Capital: Infosys Buy₹1570, Persistent Buy₹6400, Mphasis Buy₹3000, Coforge Buy₹2020</t>
  </si>
  <si>
    <t>Sector Performance + Analyst</t>
  </si>
  <si>
    <t>Bearish YTD</t>
  </si>
  <si>
    <t>BusinessToday Jun 8 2026</t>
  </si>
  <si>
    <t>May 19 2026</t>
  </si>
  <si>
    <t>BusinessToday: IT stocks rebounded ~4%; Ajay Bagga: 'Most FII money exited IT; domestic contrarian play coming in; early to get into IT'; Valuations at decadal lows; Arpit Beriwal (MOFSL): IT underperformer for 1.5-2 years</t>
  </si>
  <si>
    <t>Rebound</t>
  </si>
  <si>
    <t>▲ ~+4% (temporary)</t>
  </si>
  <si>
    <t>BusinessToday May 19 2026</t>
  </si>
  <si>
    <t xml:space="preserve">  Note: Groww data — FIIs sold ₹749.18 Cr on Jun 16; DIIs near neutral on Jun 16.  Jun 19 crash day: FIIs estimated heavy sellers based on Nifty IT -5.74%.  Expert Ajay Bagga (May 19): 'Most FII money has exited IT'.  FIIs: blue inputs, totals: black formulas</t>
  </si>
  <si>
    <t xml:space="preserve">  A.  DAILY FII / DII FLOWS (₹ Crore) — PROVISIONAL</t>
  </si>
  <si>
    <t>FII Buy</t>
  </si>
  <si>
    <t>FII Sell</t>
  </si>
  <si>
    <t>FII Net (formula)</t>
  </si>
  <si>
    <t>DII Buy</t>
  </si>
  <si>
    <t>DII Sell</t>
  </si>
  <si>
    <t>DII Net (formula)</t>
  </si>
  <si>
    <t>Total Net (formula)</t>
  </si>
  <si>
    <t>Jun 16, 2026 (Mon)</t>
  </si>
  <si>
    <t>FII net sell; DII near neutral — Groww</t>
  </si>
  <si>
    <t>Jun 17, 2026 (Tue)</t>
  </si>
  <si>
    <t>FII selling; DII absorbing</t>
  </si>
  <si>
    <t>Jun 18, 2026 (Wed)</t>
  </si>
  <si>
    <t>FII heavy sell (pre-crash); DII buying</t>
  </si>
  <si>
    <t>Jun 19, 2026 (Thu)</t>
  </si>
  <si>
    <t>FII panic sell (Accenture crash day); DII heavy buy</t>
  </si>
  <si>
    <t>Jun 20, 2026 (Fri)</t>
  </si>
  <si>
    <t>Partial FII recovery; DII steady buy</t>
  </si>
  <si>
    <t>Jun 22, 2026 (Mon)</t>
  </si>
  <si>
    <t>FII returning; DII supportive; recovery</t>
  </si>
  <si>
    <t>Jun MTD (1-22)</t>
  </si>
  <si>
    <t>MTD FII net sell pressure in IT</t>
  </si>
  <si>
    <t>May 2026 Full Month</t>
  </si>
  <si>
    <t>May: mild FII recovery</t>
  </si>
  <si>
    <t>Apr 2026 Full Month</t>
  </si>
  <si>
    <t>Apr: war fears; FII sold heavily</t>
  </si>
  <si>
    <t>DAILY TOTAL (Jun 16-22)</t>
  </si>
  <si>
    <t>Sources: Groww.in FII DII Activity page (Jun 16: FII sold ₹749.18 Cr, DII ₹0.06 Cr net buy) | Jun 19 crash day estimates based on Nifty IT -5.74% move and historical FII behaviour on large sell-off days | Ajay Bagga quote via BusinessToday May 19 2026 | MTD/Monthly = approximate market estimates</t>
  </si>
  <si>
    <t xml:space="preserve">  B.  TOP MUTUAL FUNDS — IT SECTOR HOLDINGS</t>
  </si>
  <si>
    <t>Fund Name</t>
  </si>
  <si>
    <t>AUM ₹Cr</t>
  </si>
  <si>
    <t>IT Sector %</t>
  </si>
  <si>
    <t>Top IT Holding</t>
  </si>
  <si>
    <t>2nd Holding</t>
  </si>
  <si>
    <t>3rd Holding</t>
  </si>
  <si>
    <t>3M Return %</t>
  </si>
  <si>
    <t>Kotak IT ETF</t>
  </si>
  <si>
    <t>Infosys (25%)</t>
  </si>
  <si>
    <t>TCS (22%)</t>
  </si>
  <si>
    <t>HCL (12%)</t>
  </si>
  <si>
    <t>Index ETF</t>
  </si>
  <si>
    <t>Mirae Asset Nifty IT ETF</t>
  </si>
  <si>
    <t>TCS (28%)</t>
  </si>
  <si>
    <t>Infosys (23%)</t>
  </si>
  <si>
    <t>HCL (13%)</t>
  </si>
  <si>
    <t>ICICI Pru Technology Fund</t>
  </si>
  <si>
    <t>Infosys (20%)</t>
  </si>
  <si>
    <t>HCL (11%)</t>
  </si>
  <si>
    <t>Active</t>
  </si>
  <si>
    <t>SBI Technology Opp. Fund</t>
  </si>
  <si>
    <t>Infosys (24%)</t>
  </si>
  <si>
    <t>TCS (21%)</t>
  </si>
  <si>
    <t>Wipro (9%)</t>
  </si>
  <si>
    <t>Tata Digital India Fund</t>
  </si>
  <si>
    <t>Infosys (22%)</t>
  </si>
  <si>
    <t>TCS (20%)</t>
  </si>
  <si>
    <t>Franklin India Tech. Fund</t>
  </si>
  <si>
    <t>Infosys (19%)</t>
  </si>
  <si>
    <t>Persistent</t>
  </si>
  <si>
    <t xml:space="preserve">  A.  MULTI-PERIOD RETURN COMPARISON</t>
  </si>
  <si>
    <t>1 Day (Jun22)</t>
  </si>
  <si>
    <t>1 Week</t>
  </si>
  <si>
    <t>1 Month</t>
  </si>
  <si>
    <t>3 Month</t>
  </si>
  <si>
    <t>6 Month</t>
  </si>
  <si>
    <t>YTD 2026</t>
  </si>
  <si>
    <t>1 Year</t>
  </si>
  <si>
    <t>2 Year</t>
  </si>
  <si>
    <t>Nifty IT Index</t>
  </si>
  <si>
    <t>Sources: 1D returns from Jun 22 2026 trading; YTD from BusinessToday Jun 8 2026; 1Y TCS return -38.18% from Tickertape; Nifty IT -25.98% 1Y from Tickertape; Other returns estimated from Nifty IT index moves and relative beta; Blue text = input; Black text = formula | Alpha = Stock 1Y Return minus Nifty IT 1Y Return</t>
  </si>
  <si>
    <t xml:space="preserve">  B.  RECOVERY CALCULATOR — How far from 52W High?</t>
  </si>
  <si>
    <t>Fall from ATH ₹</t>
  </si>
  <si>
    <t>Fall from ATH %</t>
  </si>
  <si>
    <t>Recovery Needed %</t>
  </si>
  <si>
    <t>To reach ATH — at 5%/yr (years)</t>
  </si>
  <si>
    <t>At 10%/yr (years)</t>
  </si>
  <si>
    <t>At 15%/yr (years)</t>
  </si>
  <si>
    <t>MED 🟡</t>
  </si>
  <si>
    <t>HIGH 🔴</t>
  </si>
  <si>
    <t>LOW 🟢</t>
  </si>
  <si>
    <t>Recovery years = LOG(52W High / CMP) / LOG(1 + annual return rate). Formula auto-recalculates if CMP (Column D) is updated. Assumes continuous compounding at stated annual rate. | Sources: 52W Highs: Tickertape / Investing.com Jun 2026 | CMPs: Jun 22 2026 close estimates</t>
  </si>
  <si>
    <t xml:space="preserve">  A.  INVESTMENT OUTLOOK BY HORIZON</t>
  </si>
  <si>
    <t>Horizon</t>
  </si>
  <si>
    <t>View</t>
  </si>
  <si>
    <t>Key Catalyst</t>
  </si>
  <si>
    <t>Key Risk</t>
  </si>
  <si>
    <t>Target Return</t>
  </si>
  <si>
    <t>Short-Term
(1-4 Weeks)</t>
  </si>
  <si>
    <t>NEUTRAL
(Caution on Jun23 expiry)</t>
  </si>
  <si>
    <t>VIX 27.32 → elevated range; max pain 24,000-24,050; Nifty IT support 27,400</t>
  </si>
  <si>
    <t>Expiry trap; 2nd wave IT sell if global tech weak; US-Iran talks collapse</t>
  </si>
  <si>
    <t>0% to +5%</t>
  </si>
  <si>
    <t>Medium-Term
(1-6 Months)</t>
  </si>
  <si>
    <t>CAUTIOUSLY BULLISH</t>
  </si>
  <si>
    <t>Valuations at decadal low (P/E 21x vs 5Y avg 28x); RBI easing (Repo 5.25%); FII return on India; Domestic contrarian buying</t>
  </si>
  <si>
    <t>Accenture guidance miss repeat; GenAI disruption fear; US recession</t>
  </si>
  <si>
    <t>+10% to +18%</t>
  </si>
  <si>
    <t>Long-Term
(1-3 Years)</t>
  </si>
  <si>
    <t>POSITIVE / ACCUMULATE</t>
  </si>
  <si>
    <t>India AI Mission (₹10,372 Cr); GenAI services ramp-up; NASSCOM $300 Bn IT export target; India cost advantage</t>
  </si>
  <si>
    <t>AI replaces traditional outsourcing model; Global slowdown</t>
  </si>
  <si>
    <t>+25% to +40% CAGR</t>
  </si>
  <si>
    <t xml:space="preserve">  B.  RISK REGISTER (Updated June 2026)</t>
  </si>
  <si>
    <t>Risk Factor</t>
  </si>
  <si>
    <t>Probability
(1-5)</t>
  </si>
  <si>
    <t>Impact
(1-5)</t>
  </si>
  <si>
    <t>Risk Score
(formula)</t>
  </si>
  <si>
    <t>Status</t>
  </si>
  <si>
    <t>Accenture guidance repeat / US IT spend cut</t>
  </si>
  <si>
    <t>🔴 CRITICAL</t>
  </si>
  <si>
    <t>Diversify to domestic IT</t>
  </si>
  <si>
    <t>AI disruption — job automation reduces demand</t>
  </si>
  <si>
    <t>🔴 HIGH</t>
  </si>
  <si>
    <t>Shift to AI services revenue</t>
  </si>
  <si>
    <t>US recession / tech spending freeze</t>
  </si>
  <si>
    <t>Focus on tier-1 deal wins</t>
  </si>
  <si>
    <t>US-Iran war escalation (global risk-off)</t>
  </si>
  <si>
    <t>🟠 MEDIUM</t>
  </si>
  <si>
    <t>Monitor daily; reduce exposure</t>
  </si>
  <si>
    <t>USD/INR appreciation (&lt; ₹82)</t>
  </si>
  <si>
    <t>Natural hedge; forward cover</t>
  </si>
  <si>
    <t>H-1B visa restrictions (Trump 2.0)</t>
  </si>
  <si>
    <t>Local hiring; nearshore</t>
  </si>
  <si>
    <t>India VIX elevated at 27.32</t>
  </si>
  <si>
    <t>🟡 WATCH</t>
  </si>
  <si>
    <t>Reduce leverage; hedge</t>
  </si>
  <si>
    <t>FII continued outflow from IT</t>
  </si>
  <si>
    <t>DII absorbing; long-term hold</t>
  </si>
  <si>
    <t>Wage inflation / attrition rebound</t>
  </si>
  <si>
    <t>🟢 LOW</t>
  </si>
  <si>
    <t>AI-led automation</t>
  </si>
  <si>
    <t>RBI rate hike surprise</t>
  </si>
  <si>
    <t>Monitor RBI MPC minutes</t>
  </si>
  <si>
    <t xml:space="preserve">  VALUATION SCORECARD — NIFTY IT  |  June 22-23, 2026</t>
  </si>
  <si>
    <t xml:space="preserve"> MARKET NEWS, EVENTS &amp; TRIGGERS  |  June 19-23, 2026</t>
  </si>
  <si>
    <t xml:space="preserve">  INSTITUTIONAL FLOWS — FII / DII ACTIVITY  |  June 2026</t>
  </si>
  <si>
    <t xml:space="preserve">  RETURN ANALYSIS — STOCKS vs NIFTY IT vs NIFTY 50  |  Jun 23, 2026</t>
  </si>
  <si>
    <t>SECTOR OUTLOOK, RISKS &amp; INVESTMENT VIEW  |  June 23, 2026</t>
  </si>
  <si>
    <t>INDIAN IT SECTOR — LIVE MARKET PULSE  |  June 23, 2026 (Tuesday)</t>
  </si>
  <si>
    <t>Intraday high 27,900 / low 27,200; Support 27,400 &amp; 27,200; Resistance 27,900 &amp; 28,100; Cautiously bullish for Jun 23 expiry day; Futures premium maintained</t>
  </si>
  <si>
    <t xml:space="preserve">  NIFTY IT OVERALL RATING:   CAUTIOUSLY BULLISH (Medium-Long Term)  |  SHORT TERM: NEUTRAL (expiry volatility, VIX 27.32)  |  KEY RISK: Accenture guidance, AI disruption, US macro  |  OPPORTUNITY: Valuations at decadal lows (P/E ~21x vs 5Y avg 28x)</t>
  </si>
  <si>
    <t>NIFTY IT CONSTITUENTS — LIVE PRICES &amp; KEY DATA  |  Jun 19-22,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</si>
</sst>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+#,##0.00;\-#,##0.00"/>
    <numFmt numFmtId="165" formatCode="\+0.00%;\-0.00%"/>
    <numFmt numFmtId="166" formatCode="0.0%"/>
    <numFmt numFmtId="167" formatCode="\+0.0%;\-0.0%"/>
    <numFmt numFmtId="168" formatCode="0.0\x"/>
    <numFmt numFmtId="169" formatCode="#,##0.0"/>
    <numFmt numFmtId="170" formatCode="0.0"/>
    <numFmt numFmtId="171" formatCode="\+#,##0;\-#,##0"/>
  </numFmts>
  <fonts count="23" x14ac:knownFonts="1">
    <font>
      <sz val="11"/>
      <color theme="1"/>
      <name val="Calibri"/>
      <family val="2"/>
      <charset val="1"/>
    </font>
    <font>
      <i/>
      <sz val="9"/>
      <color rgb="FF595959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10"/>
      <color rgb="FF1F3864"/>
      <name val="Calibri"/>
      <charset val="1"/>
    </font>
    <font>
      <sz val="10"/>
      <color rgb="FF0000FF"/>
      <name val="Calibri"/>
      <charset val="1"/>
    </font>
    <font>
      <sz val="10"/>
      <color rgb="FF000000"/>
      <name val="Calibri"/>
      <charset val="1"/>
    </font>
    <font>
      <sz val="10"/>
      <color rgb="FF595959"/>
      <name val="Calibri"/>
      <charset val="1"/>
    </font>
    <font>
      <i/>
      <sz val="8"/>
      <color rgb="FF595959"/>
      <name val="Calibri"/>
      <charset val="1"/>
    </font>
    <font>
      <b/>
      <sz val="10"/>
      <color rgb="FFFF0000"/>
      <name val="Calibri"/>
      <charset val="1"/>
    </font>
    <font>
      <b/>
      <sz val="10"/>
      <color rgb="FFC55A11"/>
      <name val="Calibri"/>
      <charset val="1"/>
    </font>
    <font>
      <b/>
      <sz val="10"/>
      <color rgb="FF595959"/>
      <name val="Calibri"/>
      <charset val="1"/>
    </font>
    <font>
      <b/>
      <sz val="10"/>
      <color rgb="FF375623"/>
      <name val="Calibri"/>
      <charset val="1"/>
    </font>
    <font>
      <sz val="10"/>
      <color rgb="FF1F3864"/>
      <name val="Calibri"/>
      <charset val="1"/>
    </font>
    <font>
      <sz val="10"/>
      <color rgb="FFFF0000"/>
      <name val="Calibri"/>
      <charset val="1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13"/>
      <color theme="1"/>
      <name val="Calibri"/>
      <family val="2"/>
    </font>
    <font>
      <i/>
      <sz val="8"/>
      <color rgb="FF595959"/>
      <name val="Calibri"/>
      <family val="2"/>
    </font>
    <font>
      <sz val="10"/>
      <color rgb="FF000000"/>
      <name val="Calibri"/>
      <family val="2"/>
    </font>
    <font>
      <b/>
      <sz val="11"/>
      <color theme="9" tint="-0.499984740745262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E0E0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E0E0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993366"/>
      </patternFill>
    </fill>
    <fill>
      <patternFill patternType="solid">
        <fgColor theme="5" tint="0.79998168889431442"/>
        <bgColor rgb="FF333399"/>
      </patternFill>
    </fill>
    <fill>
      <patternFill patternType="solid">
        <fgColor theme="5" tint="0.79998168889431442"/>
        <bgColor rgb="FF99CCFF"/>
      </patternFill>
    </fill>
    <fill>
      <patternFill patternType="solid">
        <fgColor theme="9" tint="-0.249977111117893"/>
        <bgColor rgb="FF333399"/>
      </patternFill>
    </fill>
    <fill>
      <patternFill patternType="solid">
        <fgColor theme="0"/>
        <bgColor rgb="FF808000"/>
      </patternFill>
    </fill>
    <fill>
      <patternFill patternType="solid">
        <fgColor theme="9" tint="-0.249977111117893"/>
        <bgColor rgb="FF0066CC"/>
      </patternFill>
    </fill>
    <fill>
      <patternFill patternType="solid">
        <fgColor theme="9" tint="-0.249977111117893"/>
        <bgColor rgb="FF993366"/>
      </patternFill>
    </fill>
    <fill>
      <patternFill patternType="solid">
        <fgColor theme="9" tint="0.39997558519241921"/>
        <bgColor rgb="FF0066CC"/>
      </patternFill>
    </fill>
    <fill>
      <patternFill patternType="solid">
        <fgColor theme="9" tint="0.39997558519241921"/>
        <bgColor rgb="FF333399"/>
      </patternFill>
    </fill>
    <fill>
      <patternFill patternType="solid">
        <fgColor theme="0"/>
        <bgColor rgb="FF595959"/>
      </patternFill>
    </fill>
    <fill>
      <patternFill patternType="solid">
        <fgColor theme="0"/>
        <bgColor rgb="FFFFE0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66" fontId="6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165" fontId="6" fillId="8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167" fontId="6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164" fontId="6" fillId="8" borderId="1" xfId="0" applyNumberFormat="1" applyFont="1" applyFill="1" applyBorder="1" applyAlignment="1">
      <alignment horizontal="right" vertical="center"/>
    </xf>
    <xf numFmtId="167" fontId="6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167" fontId="6" fillId="9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3" fontId="6" fillId="7" borderId="1" xfId="0" applyNumberFormat="1" applyFont="1" applyFill="1" applyBorder="1" applyAlignment="1">
      <alignment horizontal="right" vertical="center"/>
    </xf>
    <xf numFmtId="168" fontId="6" fillId="7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right" vertical="center"/>
    </xf>
    <xf numFmtId="170" fontId="6" fillId="10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71" fontId="6" fillId="6" borderId="1" xfId="0" applyNumberFormat="1" applyFont="1" applyFill="1" applyBorder="1" applyAlignment="1">
      <alignment horizontal="right" vertical="center"/>
    </xf>
    <xf numFmtId="171" fontId="6" fillId="7" borderId="1" xfId="0" applyNumberFormat="1" applyFont="1" applyFill="1" applyBorder="1" applyAlignment="1">
      <alignment horizontal="right" vertical="center"/>
    </xf>
    <xf numFmtId="171" fontId="6" fillId="5" borderId="1" xfId="0" applyNumberFormat="1" applyFont="1" applyFill="1" applyBorder="1" applyAlignment="1">
      <alignment horizontal="right" vertical="center"/>
    </xf>
    <xf numFmtId="171" fontId="6" fillId="8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9" fontId="5" fillId="5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67" fontId="5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167" fontId="5" fillId="8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167" fontId="5" fillId="5" borderId="1" xfId="0" applyNumberFormat="1" applyFont="1" applyFill="1" applyBorder="1" applyAlignment="1">
      <alignment horizontal="right" vertical="center"/>
    </xf>
    <xf numFmtId="4" fontId="6" fillId="6" borderId="1" xfId="0" applyNumberFormat="1" applyFont="1" applyFill="1" applyBorder="1" applyAlignment="1">
      <alignment horizontal="right" vertical="center"/>
    </xf>
    <xf numFmtId="166" fontId="6" fillId="10" borderId="1" xfId="0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1" fontId="6" fillId="12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" fontId="6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0" fillId="15" borderId="0" xfId="0" applyFill="1"/>
    <xf numFmtId="0" fontId="4" fillId="18" borderId="1" xfId="0" applyFont="1" applyFill="1" applyBorder="1" applyAlignment="1">
      <alignment horizontal="left" vertical="center"/>
    </xf>
    <xf numFmtId="4" fontId="5" fillId="18" borderId="1" xfId="0" applyNumberFormat="1" applyFont="1" applyFill="1" applyBorder="1" applyAlignment="1">
      <alignment horizontal="right" vertical="center"/>
    </xf>
    <xf numFmtId="164" fontId="5" fillId="18" borderId="1" xfId="0" applyNumberFormat="1" applyFont="1" applyFill="1" applyBorder="1" applyAlignment="1">
      <alignment horizontal="right" vertical="center"/>
    </xf>
    <xf numFmtId="165" fontId="6" fillId="18" borderId="1" xfId="0" applyNumberFormat="1" applyFont="1" applyFill="1" applyBorder="1" applyAlignment="1">
      <alignment horizontal="right" vertical="center"/>
    </xf>
    <xf numFmtId="166" fontId="6" fillId="19" borderId="1" xfId="0" applyNumberFormat="1" applyFont="1" applyFill="1" applyBorder="1" applyAlignment="1">
      <alignment horizontal="right" vertical="center"/>
    </xf>
    <xf numFmtId="0" fontId="4" fillId="20" borderId="1" xfId="0" applyFont="1" applyFill="1" applyBorder="1" applyAlignment="1">
      <alignment horizontal="left" vertical="center"/>
    </xf>
    <xf numFmtId="165" fontId="6" fillId="20" borderId="1" xfId="0" applyNumberFormat="1" applyFont="1" applyFill="1" applyBorder="1" applyAlignment="1">
      <alignment horizontal="right" vertical="center"/>
    </xf>
    <xf numFmtId="0" fontId="7" fillId="18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164" fontId="6" fillId="18" borderId="1" xfId="0" applyNumberFormat="1" applyFont="1" applyFill="1" applyBorder="1" applyAlignment="1">
      <alignment horizontal="right" vertical="center"/>
    </xf>
    <xf numFmtId="167" fontId="6" fillId="18" borderId="1" xfId="0" applyNumberFormat="1" applyFont="1" applyFill="1" applyBorder="1" applyAlignment="1">
      <alignment horizontal="right" vertical="center"/>
    </xf>
    <xf numFmtId="0" fontId="7" fillId="18" borderId="1" xfId="0" applyFont="1" applyFill="1" applyBorder="1" applyAlignment="1">
      <alignment horizontal="left" vertical="center"/>
    </xf>
    <xf numFmtId="0" fontId="9" fillId="18" borderId="1" xfId="0" applyFont="1" applyFill="1" applyBorder="1" applyAlignment="1">
      <alignment horizontal="left" vertical="center"/>
    </xf>
    <xf numFmtId="164" fontId="6" fillId="20" borderId="1" xfId="0" applyNumberFormat="1" applyFont="1" applyFill="1" applyBorder="1" applyAlignment="1">
      <alignment horizontal="right" vertical="center"/>
    </xf>
    <xf numFmtId="167" fontId="6" fillId="20" borderId="1" xfId="0" applyNumberFormat="1" applyFont="1" applyFill="1" applyBorder="1" applyAlignment="1">
      <alignment horizontal="right" vertical="center"/>
    </xf>
    <xf numFmtId="0" fontId="7" fillId="20" borderId="1" xfId="0" applyFont="1" applyFill="1" applyBorder="1" applyAlignment="1">
      <alignment horizontal="left" vertical="center"/>
    </xf>
    <xf numFmtId="0" fontId="9" fillId="20" borderId="1" xfId="0" applyFont="1" applyFill="1" applyBorder="1" applyAlignment="1">
      <alignment horizontal="left" vertical="center"/>
    </xf>
    <xf numFmtId="0" fontId="10" fillId="18" borderId="1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horizontal="left" vertical="center"/>
    </xf>
    <xf numFmtId="0" fontId="12" fillId="20" borderId="1" xfId="0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left" vertical="center"/>
    </xf>
    <xf numFmtId="0" fontId="12" fillId="18" borderId="1" xfId="0" applyFont="1" applyFill="1" applyBorder="1" applyAlignment="1">
      <alignment horizontal="left" vertical="center"/>
    </xf>
    <xf numFmtId="0" fontId="18" fillId="14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168" fontId="5" fillId="18" borderId="1" xfId="0" applyNumberFormat="1" applyFont="1" applyFill="1" applyBorder="1" applyAlignment="1">
      <alignment horizontal="right" vertical="center"/>
    </xf>
    <xf numFmtId="166" fontId="5" fillId="18" borderId="1" xfId="0" applyNumberFormat="1" applyFont="1" applyFill="1" applyBorder="1" applyAlignment="1">
      <alignment horizontal="right" vertical="center"/>
    </xf>
    <xf numFmtId="169" fontId="5" fillId="18" borderId="1" xfId="0" applyNumberFormat="1" applyFont="1" applyFill="1" applyBorder="1" applyAlignment="1">
      <alignment horizontal="right" vertical="center"/>
    </xf>
    <xf numFmtId="168" fontId="6" fillId="19" borderId="1" xfId="0" applyNumberFormat="1" applyFont="1" applyFill="1" applyBorder="1" applyAlignment="1">
      <alignment horizontal="right" vertical="center"/>
    </xf>
    <xf numFmtId="170" fontId="6" fillId="18" borderId="1" xfId="0" applyNumberFormat="1" applyFont="1" applyFill="1" applyBorder="1" applyAlignment="1">
      <alignment horizontal="right" vertical="center"/>
    </xf>
    <xf numFmtId="0" fontId="16" fillId="15" borderId="0" xfId="0" applyFont="1" applyFill="1" applyAlignment="1">
      <alignment horizontal="center"/>
    </xf>
    <xf numFmtId="0" fontId="18" fillId="29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 wrapText="1"/>
    </xf>
    <xf numFmtId="0" fontId="8" fillId="16" borderId="0" xfId="0" applyFont="1" applyFill="1" applyAlignment="1">
      <alignment horizontal="left" vertical="center" wrapText="1"/>
    </xf>
    <xf numFmtId="0" fontId="15" fillId="1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7" fillId="17" borderId="0" xfId="0" applyFont="1" applyFill="1" applyAlignment="1">
      <alignment horizontal="left" vertical="center"/>
    </xf>
    <xf numFmtId="0" fontId="2" fillId="21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8" fillId="23" borderId="0" xfId="0" applyFont="1" applyFill="1" applyAlignment="1">
      <alignment horizontal="left" vertical="center" wrapText="1"/>
    </xf>
    <xf numFmtId="0" fontId="20" fillId="16" borderId="0" xfId="0" applyFont="1" applyFill="1" applyAlignment="1">
      <alignment horizontal="left" vertical="center" wrapText="1"/>
    </xf>
    <xf numFmtId="0" fontId="19" fillId="14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7" fillId="25" borderId="0" xfId="0" applyFont="1" applyFill="1" applyAlignment="1">
      <alignment horizontal="center" vertical="center"/>
    </xf>
    <xf numFmtId="0" fontId="17" fillId="14" borderId="2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left" vertical="center" wrapText="1"/>
    </xf>
    <xf numFmtId="0" fontId="2" fillId="2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2" fillId="27" borderId="0" xfId="0" applyFont="1" applyFill="1" applyAlignment="1">
      <alignment horizontal="center" vertical="center"/>
    </xf>
    <xf numFmtId="0" fontId="17" fillId="28" borderId="3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2" fillId="30" borderId="0" xfId="0" applyFont="1" applyFill="1" applyAlignment="1">
      <alignment horizontal="left" vertical="center" wrapText="1"/>
    </xf>
    <xf numFmtId="0" fontId="2" fillId="13" borderId="0" xfId="0" applyFont="1" applyFill="1" applyAlignment="1">
      <alignment horizontal="left" vertical="center"/>
    </xf>
    <xf numFmtId="0" fontId="1" fillId="31" borderId="0" xfId="0" applyFont="1" applyFill="1" applyAlignment="1">
      <alignment horizontal="left" vertical="center" wrapText="1"/>
    </xf>
    <xf numFmtId="0" fontId="18" fillId="29" borderId="1" xfId="0" applyFont="1" applyFill="1" applyBorder="1" applyAlignment="1">
      <alignment horizontal="center" vertic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538135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showGridLines="0" topLeftCell="A18" zoomScale="85" zoomScaleNormal="85" workbookViewId="0">
      <selection activeCell="D34" sqref="D34"/>
    </sheetView>
  </sheetViews>
  <sheetFormatPr defaultColWidth="8.6640625" defaultRowHeight="14.4" x14ac:dyDescent="0.3"/>
  <cols>
    <col min="1" max="1" width="3" customWidth="1"/>
    <col min="2" max="2" width="26" customWidth="1"/>
    <col min="3" max="10" width="14" customWidth="1"/>
  </cols>
  <sheetData>
    <row r="1" spans="2:10" ht="37.5" customHeight="1" x14ac:dyDescent="0.3">
      <c r="B1" s="120" t="s">
        <v>330</v>
      </c>
      <c r="C1" s="120"/>
      <c r="D1" s="120"/>
      <c r="E1" s="120"/>
      <c r="F1" s="120"/>
      <c r="G1" s="120"/>
      <c r="H1" s="120"/>
      <c r="I1" s="120"/>
      <c r="J1" s="120"/>
    </row>
    <row r="2" spans="2:10" ht="27.75" customHeight="1" x14ac:dyDescent="0.3">
      <c r="B2" s="121" t="s">
        <v>0</v>
      </c>
      <c r="C2" s="121"/>
      <c r="D2" s="121"/>
      <c r="E2" s="121"/>
      <c r="F2" s="121"/>
      <c r="G2" s="121"/>
      <c r="H2" s="121"/>
      <c r="I2" s="121"/>
      <c r="J2" s="121"/>
    </row>
    <row r="4" spans="2:10" ht="19.5" customHeight="1" x14ac:dyDescent="0.3">
      <c r="B4" s="122" t="s">
        <v>1</v>
      </c>
      <c r="C4" s="122"/>
      <c r="D4" s="122"/>
      <c r="E4" s="122"/>
      <c r="F4" s="122"/>
      <c r="G4" s="122"/>
      <c r="H4" s="122"/>
      <c r="I4" s="122"/>
      <c r="J4" s="122"/>
    </row>
    <row r="5" spans="2:10" ht="18" customHeight="1" x14ac:dyDescent="0.3">
      <c r="B5" s="109" t="s">
        <v>2</v>
      </c>
      <c r="C5" s="109" t="s">
        <v>3</v>
      </c>
      <c r="D5" s="109" t="s">
        <v>4</v>
      </c>
      <c r="E5" s="109" t="s">
        <v>5</v>
      </c>
      <c r="F5" s="109" t="s">
        <v>6</v>
      </c>
      <c r="G5" s="109" t="s">
        <v>7</v>
      </c>
      <c r="H5" s="109" t="s">
        <v>8</v>
      </c>
      <c r="I5" s="109" t="s">
        <v>9</v>
      </c>
    </row>
    <row r="6" spans="2:10" ht="15.75" customHeight="1" x14ac:dyDescent="0.3">
      <c r="B6" s="2" t="s">
        <v>10</v>
      </c>
      <c r="C6" s="3">
        <v>27628.55</v>
      </c>
      <c r="D6" s="4">
        <v>201.7</v>
      </c>
      <c r="E6" s="5">
        <f>IF(C6&lt;&gt;0,D6/C6,"")</f>
        <v>7.3004193126313174E-3</v>
      </c>
      <c r="F6" s="3">
        <v>40301.4</v>
      </c>
      <c r="G6" s="3">
        <v>27078</v>
      </c>
      <c r="H6" s="6">
        <f>IF(F6&lt;&gt;0,(C6-F6)/F6,"")</f>
        <v>-0.31445185527053654</v>
      </c>
      <c r="I6" s="7">
        <f>IF(G6&lt;&gt;0,(C6-G6)/G6,"")</f>
        <v>2.0332003840756306E-2</v>
      </c>
    </row>
    <row r="7" spans="2:10" ht="15.75" customHeight="1" x14ac:dyDescent="0.3">
      <c r="B7" s="91" t="s">
        <v>11</v>
      </c>
      <c r="C7" s="87">
        <v>24090</v>
      </c>
      <c r="D7" s="88">
        <v>76.900000000000006</v>
      </c>
      <c r="E7" s="92">
        <f>IF(C7&lt;&gt;0,D7/C7,"")</f>
        <v>3.1921959319219594E-3</v>
      </c>
      <c r="F7" s="87">
        <v>26373.200000000001</v>
      </c>
      <c r="G7" s="87">
        <v>22182.55</v>
      </c>
      <c r="H7" s="6">
        <f>IF(F7&lt;&gt;0,(C7-F7)/F7,"")</f>
        <v>-8.6572732925848994E-2</v>
      </c>
      <c r="I7" s="90">
        <f>IF(G7&lt;&gt;0,(C7-G7)/G7,"")</f>
        <v>8.5988761436354283E-2</v>
      </c>
    </row>
    <row r="8" spans="2:10" ht="15.75" customHeight="1" x14ac:dyDescent="0.3">
      <c r="B8" s="86" t="s">
        <v>12</v>
      </c>
      <c r="C8" s="87">
        <v>77090</v>
      </c>
      <c r="D8" s="88">
        <v>287</v>
      </c>
      <c r="E8" s="89">
        <f>IF(C8&lt;&gt;0,D8/C8,"")</f>
        <v>3.7229212608639252E-3</v>
      </c>
      <c r="F8" s="87">
        <v>85978.25</v>
      </c>
      <c r="G8" s="87">
        <v>72664.990000000005</v>
      </c>
      <c r="H8" s="6">
        <f>IF(F8&lt;&gt;0,(C8-F8)/F8,"")</f>
        <v>-0.10337788917546008</v>
      </c>
      <c r="I8" s="90">
        <f>IF(G8&lt;&gt;0,(C8-G8)/G8,"")</f>
        <v>6.0896038105833286E-2</v>
      </c>
    </row>
    <row r="9" spans="2:10" ht="15.75" customHeight="1" x14ac:dyDescent="0.3">
      <c r="B9" s="91" t="s">
        <v>13</v>
      </c>
      <c r="C9" s="87">
        <v>57935</v>
      </c>
      <c r="D9" s="88">
        <v>247.4</v>
      </c>
      <c r="E9" s="92">
        <f>IF(C9&lt;&gt;0,D9/C9,"")</f>
        <v>4.2703029256925869E-3</v>
      </c>
      <c r="F9" s="87">
        <v>56074.2</v>
      </c>
      <c r="G9" s="87">
        <v>44315.35</v>
      </c>
      <c r="H9" s="6">
        <f>IF(F9&lt;&gt;0,(C9-F9)/F9,"")</f>
        <v>3.3184601831145216E-2</v>
      </c>
      <c r="I9" s="90">
        <f>IF(G9&lt;&gt;0,(C9-G9)/G9,"")</f>
        <v>0.307334817393973</v>
      </c>
    </row>
    <row r="10" spans="2:10" ht="15.75" customHeight="1" x14ac:dyDescent="0.3">
      <c r="B10" s="86" t="s">
        <v>14</v>
      </c>
      <c r="C10" s="87">
        <v>27.32</v>
      </c>
      <c r="D10" s="88">
        <v>0.81</v>
      </c>
      <c r="E10" s="89">
        <f>IF(C10&lt;&gt;0,D10/C10,"")</f>
        <v>2.964860907759883E-2</v>
      </c>
      <c r="F10" s="93" t="s">
        <v>15</v>
      </c>
      <c r="G10" s="93" t="s">
        <v>15</v>
      </c>
      <c r="H10" s="10" t="s">
        <v>15</v>
      </c>
      <c r="I10" s="93" t="s">
        <v>15</v>
      </c>
    </row>
    <row r="11" spans="2:10" ht="15.75" customHeight="1" x14ac:dyDescent="0.3">
      <c r="B11" s="91" t="s">
        <v>16</v>
      </c>
      <c r="C11" s="87">
        <v>27660</v>
      </c>
      <c r="D11" s="94" t="s">
        <v>15</v>
      </c>
      <c r="E11" s="94" t="s">
        <v>15</v>
      </c>
      <c r="F11" s="94" t="s">
        <v>15</v>
      </c>
      <c r="G11" s="94" t="s">
        <v>15</v>
      </c>
      <c r="H11" s="11" t="s">
        <v>15</v>
      </c>
      <c r="I11" s="94" t="s">
        <v>15</v>
      </c>
    </row>
    <row r="12" spans="2:10" ht="15.75" customHeight="1" x14ac:dyDescent="0.3">
      <c r="B12" s="86" t="s">
        <v>17</v>
      </c>
      <c r="C12" s="87">
        <v>85.3</v>
      </c>
      <c r="D12" s="93" t="s">
        <v>15</v>
      </c>
      <c r="E12" s="93" t="s">
        <v>15</v>
      </c>
      <c r="F12" s="93" t="s">
        <v>15</v>
      </c>
      <c r="G12" s="93" t="s">
        <v>15</v>
      </c>
      <c r="H12" s="10" t="s">
        <v>15</v>
      </c>
      <c r="I12" s="93" t="s">
        <v>15</v>
      </c>
    </row>
    <row r="13" spans="2:10" ht="15.75" customHeight="1" x14ac:dyDescent="0.3">
      <c r="B13" s="91" t="s">
        <v>18</v>
      </c>
      <c r="C13" s="87">
        <v>5.25</v>
      </c>
      <c r="D13" s="94" t="s">
        <v>15</v>
      </c>
      <c r="E13" s="94" t="s">
        <v>15</v>
      </c>
      <c r="F13" s="94" t="s">
        <v>15</v>
      </c>
      <c r="G13" s="94" t="s">
        <v>15</v>
      </c>
      <c r="H13" s="11" t="s">
        <v>15</v>
      </c>
      <c r="I13" s="94" t="s">
        <v>15</v>
      </c>
    </row>
    <row r="14" spans="2:10" ht="15.75" customHeight="1" x14ac:dyDescent="0.3">
      <c r="B14" s="86" t="s">
        <v>19</v>
      </c>
      <c r="C14" s="87">
        <v>75.5</v>
      </c>
      <c r="D14" s="88">
        <v>-0.35</v>
      </c>
      <c r="E14" s="89">
        <f>IF(C14&lt;&gt;0,D14/C14,"")</f>
        <v>-4.6357615894039731E-3</v>
      </c>
      <c r="F14" s="93" t="s">
        <v>15</v>
      </c>
      <c r="G14" s="93" t="s">
        <v>15</v>
      </c>
      <c r="H14" s="10" t="s">
        <v>15</v>
      </c>
      <c r="I14" s="93" t="s">
        <v>15</v>
      </c>
    </row>
    <row r="15" spans="2:10" ht="15.75" customHeight="1" x14ac:dyDescent="0.3">
      <c r="B15" s="91" t="s">
        <v>20</v>
      </c>
      <c r="C15" s="87">
        <v>140000</v>
      </c>
      <c r="D15" s="94" t="s">
        <v>15</v>
      </c>
      <c r="E15" s="94" t="s">
        <v>15</v>
      </c>
      <c r="F15" s="94" t="s">
        <v>15</v>
      </c>
      <c r="G15" s="94" t="s">
        <v>15</v>
      </c>
      <c r="H15" s="11" t="s">
        <v>15</v>
      </c>
      <c r="I15" s="94" t="s">
        <v>15</v>
      </c>
    </row>
    <row r="16" spans="2:10" ht="18" customHeight="1" x14ac:dyDescent="0.3">
      <c r="B16" s="119" t="s">
        <v>21</v>
      </c>
      <c r="C16" s="119"/>
      <c r="D16" s="119"/>
      <c r="E16" s="119"/>
      <c r="F16" s="119"/>
      <c r="G16" s="119"/>
      <c r="H16" s="119"/>
      <c r="I16" s="119"/>
      <c r="J16" s="119"/>
    </row>
    <row r="18" spans="2:10" s="85" customFormat="1" ht="19.5" customHeight="1" x14ac:dyDescent="0.3">
      <c r="B18" s="123"/>
      <c r="C18" s="123"/>
      <c r="D18" s="123"/>
      <c r="E18" s="123"/>
      <c r="F18" s="123"/>
      <c r="G18" s="123"/>
      <c r="H18" s="123"/>
      <c r="I18" s="123"/>
      <c r="J18" s="123"/>
    </row>
    <row r="19" spans="2:10" ht="18" customHeight="1" x14ac:dyDescent="0.3">
      <c r="B19" s="108" t="s">
        <v>22</v>
      </c>
      <c r="C19" s="108" t="s">
        <v>23</v>
      </c>
      <c r="D19" s="108" t="s">
        <v>24</v>
      </c>
      <c r="E19" s="108" t="s">
        <v>25</v>
      </c>
      <c r="F19" s="108" t="s">
        <v>26</v>
      </c>
      <c r="G19" s="108" t="s">
        <v>27</v>
      </c>
      <c r="H19" s="108" t="s">
        <v>28</v>
      </c>
      <c r="I19" s="108" t="s">
        <v>29</v>
      </c>
    </row>
    <row r="20" spans="2:10" ht="15.75" customHeight="1" x14ac:dyDescent="0.3">
      <c r="B20" s="86" t="s">
        <v>30</v>
      </c>
      <c r="C20" s="87">
        <v>40301.4</v>
      </c>
      <c r="D20" s="95">
        <f>C20-27628.55</f>
        <v>12672.850000000002</v>
      </c>
      <c r="E20" s="96">
        <f t="shared" ref="E20:E28" si="0">(C20-27628.55)/27628.55</f>
        <v>0.45868675699593364</v>
      </c>
      <c r="F20" s="97" t="s">
        <v>31</v>
      </c>
      <c r="G20" s="98" t="s">
        <v>32</v>
      </c>
      <c r="H20" s="93" t="s">
        <v>33</v>
      </c>
      <c r="I20" s="93" t="s">
        <v>34</v>
      </c>
    </row>
    <row r="21" spans="2:10" ht="15.75" customHeight="1" x14ac:dyDescent="0.3">
      <c r="B21" s="91" t="s">
        <v>35</v>
      </c>
      <c r="C21" s="87">
        <v>32000</v>
      </c>
      <c r="D21" s="99">
        <f>C21-27628.55</f>
        <v>4371.4500000000007</v>
      </c>
      <c r="E21" s="100">
        <f t="shared" si="0"/>
        <v>0.15822220130987696</v>
      </c>
      <c r="F21" s="101" t="s">
        <v>36</v>
      </c>
      <c r="G21" s="102" t="s">
        <v>37</v>
      </c>
      <c r="H21" s="94" t="s">
        <v>38</v>
      </c>
      <c r="I21" s="94" t="s">
        <v>39</v>
      </c>
    </row>
    <row r="22" spans="2:10" ht="15.75" customHeight="1" x14ac:dyDescent="0.3">
      <c r="B22" s="86" t="s">
        <v>40</v>
      </c>
      <c r="C22" s="87">
        <v>28100</v>
      </c>
      <c r="D22" s="95">
        <f>C22-27628.55</f>
        <v>471.45000000000073</v>
      </c>
      <c r="E22" s="96">
        <f t="shared" si="0"/>
        <v>1.7063870525235697E-2</v>
      </c>
      <c r="F22" s="97" t="s">
        <v>41</v>
      </c>
      <c r="G22" s="103" t="s">
        <v>42</v>
      </c>
      <c r="H22" s="93" t="s">
        <v>43</v>
      </c>
      <c r="I22" s="93" t="s">
        <v>44</v>
      </c>
    </row>
    <row r="23" spans="2:10" ht="15.75" customHeight="1" x14ac:dyDescent="0.3">
      <c r="B23" s="91" t="s">
        <v>45</v>
      </c>
      <c r="C23" s="87">
        <v>27900</v>
      </c>
      <c r="D23" s="99">
        <f t="shared" ref="D23:D28" si="1">C23-27628.55</f>
        <v>271.45000000000073</v>
      </c>
      <c r="E23" s="100">
        <f t="shared" si="0"/>
        <v>9.8249817670489677E-3</v>
      </c>
      <c r="F23" s="101" t="s">
        <v>46</v>
      </c>
      <c r="G23" s="104" t="s">
        <v>47</v>
      </c>
      <c r="H23" s="94" t="s">
        <v>43</v>
      </c>
      <c r="I23" s="94" t="s">
        <v>48</v>
      </c>
    </row>
    <row r="24" spans="2:10" ht="15.75" customHeight="1" x14ac:dyDescent="0.3">
      <c r="B24" s="18" t="s">
        <v>49</v>
      </c>
      <c r="C24" s="3">
        <v>27628.55</v>
      </c>
      <c r="D24" s="19">
        <f>C24-27628.55</f>
        <v>0</v>
      </c>
      <c r="E24" s="20">
        <f t="shared" si="0"/>
        <v>0</v>
      </c>
      <c r="F24" s="21" t="s">
        <v>50</v>
      </c>
      <c r="G24" s="22" t="s">
        <v>15</v>
      </c>
      <c r="H24" s="23" t="s">
        <v>15</v>
      </c>
      <c r="I24" s="23" t="s">
        <v>15</v>
      </c>
    </row>
    <row r="25" spans="2:10" ht="15.75" customHeight="1" x14ac:dyDescent="0.3">
      <c r="B25" s="91" t="s">
        <v>51</v>
      </c>
      <c r="C25" s="87">
        <v>27400</v>
      </c>
      <c r="D25" s="99">
        <f>C25-27628.55</f>
        <v>-228.54999999999927</v>
      </c>
      <c r="E25" s="100">
        <f t="shared" si="0"/>
        <v>-8.2722401284178598E-3</v>
      </c>
      <c r="F25" s="101" t="s">
        <v>52</v>
      </c>
      <c r="G25" s="105" t="s">
        <v>53</v>
      </c>
      <c r="H25" s="94" t="s">
        <v>54</v>
      </c>
      <c r="I25" s="94" t="s">
        <v>48</v>
      </c>
      <c r="J25" s="85"/>
    </row>
    <row r="26" spans="2:10" ht="15.75" customHeight="1" x14ac:dyDescent="0.3">
      <c r="B26" s="86" t="s">
        <v>55</v>
      </c>
      <c r="C26" s="87">
        <v>27200</v>
      </c>
      <c r="D26" s="95">
        <f t="shared" si="1"/>
        <v>-428.54999999999927</v>
      </c>
      <c r="E26" s="96">
        <f t="shared" si="0"/>
        <v>-1.5511128886604591E-2</v>
      </c>
      <c r="F26" s="97" t="s">
        <v>56</v>
      </c>
      <c r="G26" s="106" t="s">
        <v>57</v>
      </c>
      <c r="H26" s="93" t="s">
        <v>54</v>
      </c>
      <c r="I26" s="93" t="s">
        <v>44</v>
      </c>
      <c r="J26" s="85"/>
    </row>
    <row r="27" spans="2:10" ht="15.75" customHeight="1" x14ac:dyDescent="0.3">
      <c r="B27" s="91" t="s">
        <v>58</v>
      </c>
      <c r="C27" s="87">
        <v>27078</v>
      </c>
      <c r="D27" s="99">
        <f t="shared" si="1"/>
        <v>-550.54999999999927</v>
      </c>
      <c r="E27" s="100">
        <f t="shared" si="0"/>
        <v>-1.9926851029098497E-2</v>
      </c>
      <c r="F27" s="101" t="s">
        <v>59</v>
      </c>
      <c r="G27" s="105" t="s">
        <v>60</v>
      </c>
      <c r="H27" s="94" t="s">
        <v>38</v>
      </c>
      <c r="I27" s="94" t="s">
        <v>39</v>
      </c>
      <c r="J27" s="85"/>
    </row>
    <row r="28" spans="2:10" ht="15.75" customHeight="1" x14ac:dyDescent="0.3">
      <c r="B28" s="86" t="s">
        <v>61</v>
      </c>
      <c r="C28" s="87">
        <v>25000</v>
      </c>
      <c r="D28" s="95">
        <f t="shared" si="1"/>
        <v>-2628.5499999999993</v>
      </c>
      <c r="E28" s="96">
        <f t="shared" si="0"/>
        <v>-9.5138905226658632E-2</v>
      </c>
      <c r="F28" s="97" t="s">
        <v>62</v>
      </c>
      <c r="G28" s="107" t="s">
        <v>63</v>
      </c>
      <c r="H28" s="93" t="s">
        <v>33</v>
      </c>
      <c r="I28" s="93" t="s">
        <v>34</v>
      </c>
      <c r="J28" s="85"/>
    </row>
    <row r="29" spans="2:10" ht="18" customHeight="1" x14ac:dyDescent="0.3">
      <c r="B29" s="119" t="s">
        <v>64</v>
      </c>
      <c r="C29" s="119"/>
      <c r="D29" s="119"/>
      <c r="E29" s="119"/>
      <c r="F29" s="119"/>
      <c r="G29" s="119"/>
      <c r="H29" s="119"/>
      <c r="I29" s="119"/>
      <c r="J29" s="119"/>
    </row>
  </sheetData>
  <mergeCells count="6">
    <mergeCell ref="B29:J29"/>
    <mergeCell ref="B1:J1"/>
    <mergeCell ref="B2:J2"/>
    <mergeCell ref="B4:J4"/>
    <mergeCell ref="B16:J16"/>
    <mergeCell ref="B18:J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7"/>
  <sheetViews>
    <sheetView showGridLines="0" topLeftCell="A17" zoomScale="110" zoomScaleNormal="110" workbookViewId="0">
      <selection activeCell="C25" sqref="C25"/>
    </sheetView>
  </sheetViews>
  <sheetFormatPr defaultColWidth="8.6640625" defaultRowHeight="14.4" x14ac:dyDescent="0.3"/>
  <cols>
    <col min="1" max="1" width="3" customWidth="1"/>
    <col min="2" max="2" width="24" customWidth="1"/>
    <col min="3" max="10" width="13" customWidth="1"/>
    <col min="11" max="12" width="14" customWidth="1"/>
  </cols>
  <sheetData>
    <row r="1" spans="2:12" ht="33.75" customHeight="1" x14ac:dyDescent="0.3">
      <c r="B1" s="127" t="s">
        <v>333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2:12" ht="27.75" customHeight="1" x14ac:dyDescent="0.3">
      <c r="B2" s="121" t="s">
        <v>65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</row>
    <row r="4" spans="2:12" ht="19.5" customHeight="1" x14ac:dyDescent="0.3">
      <c r="B4" s="128" t="s">
        <v>66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</row>
    <row r="5" spans="2:12" s="142" customFormat="1" ht="18" customHeight="1" x14ac:dyDescent="0.3">
      <c r="B5" s="141" t="s">
        <v>67</v>
      </c>
      <c r="C5" s="141" t="s">
        <v>68</v>
      </c>
      <c r="D5" s="141" t="s">
        <v>69</v>
      </c>
      <c r="E5" s="141" t="s">
        <v>70</v>
      </c>
      <c r="F5" s="141" t="s">
        <v>71</v>
      </c>
      <c r="G5" s="141" t="s">
        <v>72</v>
      </c>
      <c r="H5" s="141" t="s">
        <v>73</v>
      </c>
      <c r="I5" s="141" t="s">
        <v>8</v>
      </c>
      <c r="J5" s="141" t="s">
        <v>9</v>
      </c>
      <c r="K5" s="141" t="s">
        <v>74</v>
      </c>
      <c r="L5" s="141" t="s">
        <v>75</v>
      </c>
    </row>
    <row r="6" spans="2:12" ht="15.75" customHeight="1" x14ac:dyDescent="0.3">
      <c r="B6" s="2" t="s">
        <v>76</v>
      </c>
      <c r="C6" s="3">
        <v>2125</v>
      </c>
      <c r="D6" s="3">
        <v>2071.88</v>
      </c>
      <c r="E6" s="12">
        <f t="shared" ref="E6:E15" si="0">C6-D6</f>
        <v>53.119999999999891</v>
      </c>
      <c r="F6" s="5">
        <f t="shared" ref="F6:F15" si="1">IF(D6&lt;&gt;0,(C6-D6)/D6,"")</f>
        <v>2.5638550495202372E-2</v>
      </c>
      <c r="G6" s="3">
        <v>3489.9</v>
      </c>
      <c r="H6" s="3">
        <v>2059.9</v>
      </c>
      <c r="I6" s="6">
        <f t="shared" ref="I6:I15" si="2">IF(G6&lt;&gt;0,(C6-G6)/G6,"")</f>
        <v>-0.39110003151952777</v>
      </c>
      <c r="J6" s="7">
        <f t="shared" ref="J6:J15" si="3">IF(H6&lt;&gt;0,(C6-H6)/H6,"")</f>
        <v>3.1603475896888153E-2</v>
      </c>
      <c r="K6" s="24">
        <v>768844</v>
      </c>
      <c r="L6" s="25">
        <v>15.62</v>
      </c>
    </row>
    <row r="7" spans="2:12" ht="15.75" customHeight="1" x14ac:dyDescent="0.3">
      <c r="B7" s="8" t="s">
        <v>77</v>
      </c>
      <c r="C7" s="3">
        <v>1065</v>
      </c>
      <c r="D7" s="3">
        <v>1045.1500000000001</v>
      </c>
      <c r="E7" s="15">
        <f t="shared" si="0"/>
        <v>19.849999999999909</v>
      </c>
      <c r="F7" s="9">
        <f t="shared" si="1"/>
        <v>1.8992489116394687E-2</v>
      </c>
      <c r="G7" s="3">
        <v>1727.85</v>
      </c>
      <c r="H7" s="3">
        <v>1030.3499999999999</v>
      </c>
      <c r="I7" s="6">
        <f t="shared" si="2"/>
        <v>-0.38362705095928462</v>
      </c>
      <c r="J7" s="7">
        <f t="shared" si="3"/>
        <v>3.3629349250254861E-2</v>
      </c>
      <c r="K7" s="24">
        <v>432480</v>
      </c>
      <c r="L7" s="25">
        <v>18.8</v>
      </c>
    </row>
    <row r="8" spans="2:12" ht="15.75" customHeight="1" x14ac:dyDescent="0.3">
      <c r="B8" s="2" t="s">
        <v>78</v>
      </c>
      <c r="C8" s="3">
        <v>1120</v>
      </c>
      <c r="D8" s="3">
        <v>1102.51</v>
      </c>
      <c r="E8" s="12">
        <f t="shared" si="0"/>
        <v>17.490000000000009</v>
      </c>
      <c r="F8" s="5">
        <f t="shared" si="1"/>
        <v>1.586380168887358E-2</v>
      </c>
      <c r="G8" s="3">
        <v>1920</v>
      </c>
      <c r="H8" s="3">
        <v>1050</v>
      </c>
      <c r="I8" s="6">
        <f t="shared" si="2"/>
        <v>-0.41666666666666669</v>
      </c>
      <c r="J8" s="7">
        <f t="shared" si="3"/>
        <v>6.6666666666666666E-2</v>
      </c>
      <c r="K8" s="24">
        <v>302400</v>
      </c>
      <c r="L8" s="25">
        <v>17.8</v>
      </c>
    </row>
    <row r="9" spans="2:12" ht="15.75" customHeight="1" x14ac:dyDescent="0.3">
      <c r="B9" s="8" t="s">
        <v>79</v>
      </c>
      <c r="C9" s="3">
        <v>179</v>
      </c>
      <c r="D9" s="3">
        <v>176.81</v>
      </c>
      <c r="E9" s="15">
        <f t="shared" si="0"/>
        <v>2.1899999999999977</v>
      </c>
      <c r="F9" s="9">
        <f t="shared" si="1"/>
        <v>1.2386177252417837E-2</v>
      </c>
      <c r="G9" s="3">
        <v>320</v>
      </c>
      <c r="H9" s="3">
        <v>168</v>
      </c>
      <c r="I9" s="6">
        <f t="shared" si="2"/>
        <v>-0.44062499999999999</v>
      </c>
      <c r="J9" s="7">
        <f t="shared" si="3"/>
        <v>6.5476190476190479E-2</v>
      </c>
      <c r="K9" s="24">
        <v>189453</v>
      </c>
      <c r="L9" s="25">
        <v>14.2</v>
      </c>
    </row>
    <row r="10" spans="2:12" ht="15.75" customHeight="1" x14ac:dyDescent="0.3">
      <c r="B10" s="2" t="s">
        <v>80</v>
      </c>
      <c r="C10" s="3">
        <v>1430</v>
      </c>
      <c r="D10" s="3">
        <v>1380</v>
      </c>
      <c r="E10" s="12">
        <f t="shared" si="0"/>
        <v>50</v>
      </c>
      <c r="F10" s="5">
        <f t="shared" si="1"/>
        <v>3.6231884057971016E-2</v>
      </c>
      <c r="G10" s="3">
        <v>1740</v>
      </c>
      <c r="H10" s="3">
        <v>1200</v>
      </c>
      <c r="I10" s="6">
        <f t="shared" si="2"/>
        <v>-0.17816091954022989</v>
      </c>
      <c r="J10" s="7">
        <f t="shared" si="3"/>
        <v>0.19166666666666668</v>
      </c>
      <c r="K10" s="24">
        <v>139200</v>
      </c>
      <c r="L10" s="25">
        <v>22.5</v>
      </c>
    </row>
    <row r="11" spans="2:12" ht="15.75" customHeight="1" x14ac:dyDescent="0.3">
      <c r="B11" s="8" t="s">
        <v>81</v>
      </c>
      <c r="C11" s="3">
        <v>3890</v>
      </c>
      <c r="D11" s="3">
        <v>3800</v>
      </c>
      <c r="E11" s="15">
        <f t="shared" si="0"/>
        <v>90</v>
      </c>
      <c r="F11" s="9">
        <f t="shared" si="1"/>
        <v>2.368421052631579E-2</v>
      </c>
      <c r="G11" s="3">
        <v>6450</v>
      </c>
      <c r="H11" s="3">
        <v>3650</v>
      </c>
      <c r="I11" s="6">
        <f t="shared" si="2"/>
        <v>-0.39689922480620154</v>
      </c>
      <c r="J11" s="7">
        <f t="shared" si="3"/>
        <v>6.575342465753424E-2</v>
      </c>
      <c r="K11" s="24">
        <v>114200</v>
      </c>
      <c r="L11" s="25">
        <v>24.8</v>
      </c>
    </row>
    <row r="12" spans="2:12" ht="15.75" customHeight="1" x14ac:dyDescent="0.3">
      <c r="B12" s="2" t="s">
        <v>82</v>
      </c>
      <c r="C12" s="3">
        <v>4850</v>
      </c>
      <c r="D12" s="3">
        <v>4750</v>
      </c>
      <c r="E12" s="12">
        <f t="shared" si="0"/>
        <v>100</v>
      </c>
      <c r="F12" s="5">
        <f t="shared" si="1"/>
        <v>2.1052631578947368E-2</v>
      </c>
      <c r="G12" s="3">
        <v>7500</v>
      </c>
      <c r="H12" s="3">
        <v>4500</v>
      </c>
      <c r="I12" s="6">
        <f t="shared" si="2"/>
        <v>-0.35333333333333333</v>
      </c>
      <c r="J12" s="7">
        <f t="shared" si="3"/>
        <v>7.7777777777777779E-2</v>
      </c>
      <c r="K12" s="24">
        <v>73600</v>
      </c>
      <c r="L12" s="25">
        <v>38.5</v>
      </c>
    </row>
    <row r="13" spans="2:12" ht="15.75" customHeight="1" x14ac:dyDescent="0.3">
      <c r="B13" s="8" t="s">
        <v>83</v>
      </c>
      <c r="C13" s="3">
        <v>2100</v>
      </c>
      <c r="D13" s="3">
        <v>2050</v>
      </c>
      <c r="E13" s="15">
        <f t="shared" si="0"/>
        <v>50</v>
      </c>
      <c r="F13" s="9">
        <f t="shared" si="1"/>
        <v>2.4390243902439025E-2</v>
      </c>
      <c r="G13" s="3">
        <v>3200</v>
      </c>
      <c r="H13" s="3">
        <v>1950</v>
      </c>
      <c r="I13" s="6">
        <f t="shared" si="2"/>
        <v>-0.34375</v>
      </c>
      <c r="J13" s="7">
        <f t="shared" si="3"/>
        <v>7.6923076923076927E-2</v>
      </c>
      <c r="K13" s="24">
        <v>41200</v>
      </c>
      <c r="L13" s="25">
        <v>20.100000000000001</v>
      </c>
    </row>
    <row r="14" spans="2:12" ht="15.75" customHeight="1" x14ac:dyDescent="0.3">
      <c r="B14" s="2" t="s">
        <v>84</v>
      </c>
      <c r="C14" s="3">
        <v>1560</v>
      </c>
      <c r="D14" s="3">
        <v>1520</v>
      </c>
      <c r="E14" s="12">
        <f t="shared" si="0"/>
        <v>40</v>
      </c>
      <c r="F14" s="5">
        <f t="shared" si="1"/>
        <v>2.6315789473684209E-2</v>
      </c>
      <c r="G14" s="3">
        <v>2450</v>
      </c>
      <c r="H14" s="3">
        <v>1480</v>
      </c>
      <c r="I14" s="6">
        <f t="shared" si="2"/>
        <v>-0.36326530612244901</v>
      </c>
      <c r="J14" s="7">
        <f t="shared" si="3"/>
        <v>5.4054054054054057E-2</v>
      </c>
      <c r="K14" s="24">
        <v>37800</v>
      </c>
      <c r="L14" s="25">
        <v>29.2</v>
      </c>
    </row>
    <row r="15" spans="2:12" ht="15.75" customHeight="1" x14ac:dyDescent="0.3">
      <c r="B15" s="8" t="s">
        <v>85</v>
      </c>
      <c r="C15" s="3">
        <v>8300</v>
      </c>
      <c r="D15" s="3">
        <v>8200</v>
      </c>
      <c r="E15" s="15">
        <f t="shared" si="0"/>
        <v>100</v>
      </c>
      <c r="F15" s="9">
        <f t="shared" si="1"/>
        <v>1.2195121951219513E-2</v>
      </c>
      <c r="G15" s="3">
        <v>11200</v>
      </c>
      <c r="H15" s="3">
        <v>7800</v>
      </c>
      <c r="I15" s="6">
        <f t="shared" si="2"/>
        <v>-0.25892857142857145</v>
      </c>
      <c r="J15" s="7">
        <f t="shared" si="3"/>
        <v>6.4102564102564097E-2</v>
      </c>
      <c r="K15" s="24">
        <v>71900</v>
      </c>
      <c r="L15" s="25">
        <v>27.1</v>
      </c>
    </row>
    <row r="16" spans="2:12" ht="18" customHeight="1" x14ac:dyDescent="0.3">
      <c r="B16" s="130" t="s">
        <v>86</v>
      </c>
      <c r="C16" s="130"/>
      <c r="D16" s="130"/>
      <c r="K16" s="26">
        <f>SUM(K6:K15)</f>
        <v>2171077</v>
      </c>
      <c r="L16" s="27">
        <f>AVERAGE(L6:L15)</f>
        <v>22.861999999999998</v>
      </c>
    </row>
    <row r="17" spans="2:12" ht="18" customHeight="1" x14ac:dyDescent="0.3">
      <c r="B17" s="125" t="s">
        <v>87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</row>
  </sheetData>
  <mergeCells count="5">
    <mergeCell ref="B1:L1"/>
    <mergeCell ref="B2:L2"/>
    <mergeCell ref="B4:L4"/>
    <mergeCell ref="B16:D16"/>
    <mergeCell ref="B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8"/>
  <sheetViews>
    <sheetView showGridLines="0" topLeftCell="A12" zoomScaleNormal="100" workbookViewId="0">
      <selection activeCell="C29" sqref="C29"/>
    </sheetView>
  </sheetViews>
  <sheetFormatPr defaultColWidth="8.6640625" defaultRowHeight="14.4" x14ac:dyDescent="0.3"/>
  <cols>
    <col min="1" max="1" width="3" customWidth="1"/>
    <col min="2" max="2" width="24" customWidth="1"/>
    <col min="3" max="9" width="14" customWidth="1"/>
    <col min="10" max="10" width="16" customWidth="1"/>
  </cols>
  <sheetData>
    <row r="1" spans="2:11" ht="33.75" customHeight="1" x14ac:dyDescent="0.3">
      <c r="B1" s="127" t="s">
        <v>325</v>
      </c>
      <c r="C1" s="127"/>
      <c r="D1" s="127"/>
      <c r="E1" s="127"/>
      <c r="F1" s="127"/>
      <c r="G1" s="127"/>
      <c r="H1" s="127"/>
      <c r="I1" s="127"/>
      <c r="J1" s="127"/>
    </row>
    <row r="3" spans="2:11" ht="19.5" customHeight="1" x14ac:dyDescent="0.3">
      <c r="B3" s="128" t="s">
        <v>89</v>
      </c>
      <c r="C3" s="128"/>
      <c r="D3" s="128"/>
      <c r="E3" s="128"/>
      <c r="F3" s="128"/>
      <c r="G3" s="128"/>
      <c r="H3" s="128"/>
      <c r="I3" s="128"/>
      <c r="J3" s="128"/>
    </row>
    <row r="4" spans="2:11" ht="18" customHeight="1" x14ac:dyDescent="0.3">
      <c r="B4" s="110" t="s">
        <v>90</v>
      </c>
      <c r="C4" s="110" t="s">
        <v>91</v>
      </c>
      <c r="D4" s="110" t="s">
        <v>92</v>
      </c>
      <c r="E4" s="110" t="s">
        <v>93</v>
      </c>
      <c r="F4" s="110" t="s">
        <v>94</v>
      </c>
      <c r="G4" s="110" t="s">
        <v>95</v>
      </c>
      <c r="H4" s="110" t="s">
        <v>96</v>
      </c>
      <c r="I4" s="110" t="s">
        <v>97</v>
      </c>
      <c r="J4" s="110" t="s">
        <v>98</v>
      </c>
    </row>
    <row r="5" spans="2:11" ht="15.75" customHeight="1" x14ac:dyDescent="0.3">
      <c r="B5" s="91" t="s">
        <v>99</v>
      </c>
      <c r="C5" s="111">
        <v>21.5</v>
      </c>
      <c r="D5" s="111">
        <v>28</v>
      </c>
      <c r="E5" s="111">
        <v>22</v>
      </c>
      <c r="F5" s="111">
        <v>38</v>
      </c>
      <c r="G5" s="111">
        <v>15</v>
      </c>
      <c r="H5" s="100">
        <f t="shared" ref="H5:H12" si="0">IF(D5&lt;&gt;0,(C5-D5)/ABS(D5),"")</f>
        <v>-0.23214285714285715</v>
      </c>
      <c r="I5" s="100">
        <f t="shared" ref="I5:I12" si="1">IF(E5&lt;&gt;0,(C5-E5)/ABS(E5),"")</f>
        <v>-2.2727272727272728E-2</v>
      </c>
      <c r="J5" s="100">
        <f>IF(F5&lt;&gt;0,(C5-F5)/ABS(F5),"")</f>
        <v>-0.43421052631578949</v>
      </c>
      <c r="K5" s="28" t="s">
        <v>100</v>
      </c>
    </row>
    <row r="6" spans="2:11" ht="15.75" customHeight="1" x14ac:dyDescent="0.3">
      <c r="B6" s="86" t="s">
        <v>101</v>
      </c>
      <c r="C6" s="111">
        <v>4.5</v>
      </c>
      <c r="D6" s="111">
        <v>7.2</v>
      </c>
      <c r="E6" s="111">
        <v>5.5</v>
      </c>
      <c r="F6" s="111">
        <v>9.5</v>
      </c>
      <c r="G6" s="111">
        <v>3.2</v>
      </c>
      <c r="H6" s="96">
        <f t="shared" si="0"/>
        <v>-0.375</v>
      </c>
      <c r="I6" s="96">
        <f t="shared" si="1"/>
        <v>-0.18181818181818182</v>
      </c>
      <c r="J6" s="96">
        <f t="shared" ref="J6:J12" si="2">IF(F6&lt;&gt;0,(C6-F6)/ABS(F6),"")</f>
        <v>-0.52631578947368418</v>
      </c>
      <c r="K6" s="29" t="s">
        <v>100</v>
      </c>
    </row>
    <row r="7" spans="2:11" ht="15.75" customHeight="1" x14ac:dyDescent="0.3">
      <c r="B7" s="91" t="s">
        <v>102</v>
      </c>
      <c r="C7" s="111">
        <v>14.8</v>
      </c>
      <c r="D7" s="111">
        <v>22</v>
      </c>
      <c r="E7" s="111">
        <v>17</v>
      </c>
      <c r="F7" s="111">
        <v>30</v>
      </c>
      <c r="G7" s="111">
        <v>10.5</v>
      </c>
      <c r="H7" s="100">
        <f t="shared" si="0"/>
        <v>-0.32727272727272722</v>
      </c>
      <c r="I7" s="100">
        <f t="shared" si="1"/>
        <v>-0.12941176470588231</v>
      </c>
      <c r="J7" s="100">
        <f t="shared" si="2"/>
        <v>-0.5066666666666666</v>
      </c>
      <c r="K7" s="28" t="s">
        <v>100</v>
      </c>
    </row>
    <row r="8" spans="2:11" ht="15.75" customHeight="1" x14ac:dyDescent="0.3">
      <c r="B8" s="86" t="s">
        <v>103</v>
      </c>
      <c r="C8" s="111">
        <v>3.8</v>
      </c>
      <c r="D8" s="111">
        <v>5.8</v>
      </c>
      <c r="E8" s="111">
        <v>4.2</v>
      </c>
      <c r="F8" s="111">
        <v>9.1999999999999993</v>
      </c>
      <c r="G8" s="111">
        <v>2.5</v>
      </c>
      <c r="H8" s="96">
        <f t="shared" si="0"/>
        <v>-0.34482758620689657</v>
      </c>
      <c r="I8" s="96">
        <f t="shared" si="1"/>
        <v>-9.5238095238095316E-2</v>
      </c>
      <c r="J8" s="96">
        <f t="shared" si="2"/>
        <v>-0.58695652173913038</v>
      </c>
      <c r="K8" s="29" t="s">
        <v>100</v>
      </c>
    </row>
    <row r="9" spans="2:11" ht="15.75" customHeight="1" x14ac:dyDescent="0.3">
      <c r="B9" s="91" t="s">
        <v>104</v>
      </c>
      <c r="C9" s="112">
        <v>3.5000000000000003E-2</v>
      </c>
      <c r="D9" s="112">
        <v>1.7999999999999999E-2</v>
      </c>
      <c r="E9" s="112">
        <v>0.02</v>
      </c>
      <c r="F9" s="112">
        <v>1.2E-2</v>
      </c>
      <c r="G9" s="112">
        <v>3.7999999999999999E-2</v>
      </c>
      <c r="H9" s="100">
        <f t="shared" si="0"/>
        <v>0.94444444444444475</v>
      </c>
      <c r="I9" s="100">
        <f t="shared" si="1"/>
        <v>0.75000000000000011</v>
      </c>
      <c r="J9" s="100">
        <f t="shared" si="2"/>
        <v>1.916666666666667</v>
      </c>
      <c r="K9" s="28" t="s">
        <v>100</v>
      </c>
    </row>
    <row r="10" spans="2:11" ht="15.75" customHeight="1" x14ac:dyDescent="0.3">
      <c r="B10" s="86" t="s">
        <v>105</v>
      </c>
      <c r="C10" s="111">
        <v>1.8</v>
      </c>
      <c r="D10" s="111">
        <v>2.2000000000000002</v>
      </c>
      <c r="E10" s="111">
        <v>1.9</v>
      </c>
      <c r="F10" s="111">
        <v>3.5</v>
      </c>
      <c r="G10" s="111">
        <v>1.2</v>
      </c>
      <c r="H10" s="96">
        <f t="shared" si="0"/>
        <v>-0.18181818181818185</v>
      </c>
      <c r="I10" s="96">
        <f t="shared" si="1"/>
        <v>-5.2631578947368356E-2</v>
      </c>
      <c r="J10" s="96">
        <f t="shared" si="2"/>
        <v>-0.48571428571428571</v>
      </c>
      <c r="K10" s="29" t="s">
        <v>100</v>
      </c>
    </row>
    <row r="11" spans="2:11" ht="15.75" customHeight="1" x14ac:dyDescent="0.3">
      <c r="B11" s="91" t="s">
        <v>106</v>
      </c>
      <c r="C11" s="111">
        <v>3.5</v>
      </c>
      <c r="D11" s="111">
        <v>5.2</v>
      </c>
      <c r="E11" s="111">
        <v>4</v>
      </c>
      <c r="F11" s="111">
        <v>8.5</v>
      </c>
      <c r="G11" s="111">
        <v>2.2000000000000002</v>
      </c>
      <c r="H11" s="100">
        <f t="shared" si="0"/>
        <v>-0.32692307692307693</v>
      </c>
      <c r="I11" s="100">
        <f t="shared" si="1"/>
        <v>-0.125</v>
      </c>
      <c r="J11" s="100">
        <f t="shared" si="2"/>
        <v>-0.58823529411764708</v>
      </c>
      <c r="K11" s="28" t="s">
        <v>100</v>
      </c>
    </row>
    <row r="12" spans="2:11" ht="15.75" customHeight="1" x14ac:dyDescent="0.3">
      <c r="B12" s="86" t="s">
        <v>107</v>
      </c>
      <c r="C12" s="112">
        <v>4.2000000000000003E-2</v>
      </c>
      <c r="D12" s="112">
        <v>2.8000000000000001E-2</v>
      </c>
      <c r="E12" s="112">
        <v>3.2000000000000001E-2</v>
      </c>
      <c r="F12" s="112">
        <v>1.7999999999999999E-2</v>
      </c>
      <c r="G12" s="112">
        <v>5.1999999999999998E-2</v>
      </c>
      <c r="H12" s="96">
        <f t="shared" si="0"/>
        <v>0.50000000000000011</v>
      </c>
      <c r="I12" s="96">
        <f t="shared" si="1"/>
        <v>0.31250000000000006</v>
      </c>
      <c r="J12" s="96">
        <f t="shared" si="2"/>
        <v>1.3333333333333337</v>
      </c>
      <c r="K12" s="29" t="s">
        <v>100</v>
      </c>
    </row>
    <row r="13" spans="2:11" ht="18" customHeight="1" x14ac:dyDescent="0.3">
      <c r="B13" s="119" t="s">
        <v>108</v>
      </c>
      <c r="C13" s="119"/>
      <c r="D13" s="119"/>
      <c r="E13" s="119"/>
      <c r="F13" s="119"/>
      <c r="G13" s="119"/>
      <c r="H13" s="119"/>
      <c r="I13" s="119"/>
      <c r="J13" s="119"/>
    </row>
    <row r="15" spans="2:11" ht="19.5" customHeight="1" x14ac:dyDescent="0.3">
      <c r="B15" s="129" t="s">
        <v>109</v>
      </c>
      <c r="C15" s="129"/>
      <c r="D15" s="129"/>
      <c r="E15" s="129"/>
      <c r="F15" s="129"/>
      <c r="G15" s="129"/>
      <c r="H15" s="129"/>
      <c r="I15" s="129"/>
      <c r="J15" s="129"/>
    </row>
    <row r="16" spans="2:11" ht="18" customHeight="1" x14ac:dyDescent="0.3">
      <c r="B16" s="108" t="s">
        <v>88</v>
      </c>
      <c r="C16" s="108" t="s">
        <v>110</v>
      </c>
      <c r="D16" s="108" t="s">
        <v>111</v>
      </c>
      <c r="E16" s="108" t="s">
        <v>112</v>
      </c>
      <c r="F16" s="108" t="s">
        <v>113</v>
      </c>
      <c r="G16" s="108" t="s">
        <v>114</v>
      </c>
      <c r="H16" s="108" t="s">
        <v>115</v>
      </c>
      <c r="I16" s="108" t="s">
        <v>116</v>
      </c>
      <c r="J16" s="108" t="s">
        <v>117</v>
      </c>
    </row>
    <row r="17" spans="2:11" ht="15.75" customHeight="1" x14ac:dyDescent="0.3">
      <c r="B17" s="91" t="s">
        <v>76</v>
      </c>
      <c r="C17" s="87">
        <v>2125</v>
      </c>
      <c r="D17" s="113">
        <v>138.4</v>
      </c>
      <c r="E17" s="114">
        <f>IFERROR(C17/D17,"-")</f>
        <v>15.354046242774565</v>
      </c>
      <c r="F17" s="113">
        <v>300</v>
      </c>
      <c r="G17" s="114">
        <f>IFERROR(C17/F17,"-")</f>
        <v>7.083333333333333</v>
      </c>
      <c r="H17" s="113">
        <v>110</v>
      </c>
      <c r="I17" s="90">
        <f t="shared" ref="I17:I26" si="3">IFERROR(H17/C17,"-")</f>
        <v>5.1764705882352942E-2</v>
      </c>
      <c r="J17" s="111">
        <v>12.5</v>
      </c>
      <c r="K17" s="115">
        <f t="shared" ref="K17:K26" si="4">IFERROR(ROUND(10-(E17/3.5),1),"-")</f>
        <v>5.6</v>
      </c>
    </row>
    <row r="18" spans="2:11" ht="15.75" customHeight="1" x14ac:dyDescent="0.3">
      <c r="B18" s="86" t="s">
        <v>77</v>
      </c>
      <c r="C18" s="87">
        <v>1065</v>
      </c>
      <c r="D18" s="113">
        <v>56.5</v>
      </c>
      <c r="E18" s="114">
        <f t="shared" ref="E18:E26" si="5">IFERROR(C18/D18,"-")</f>
        <v>18.849557522123895</v>
      </c>
      <c r="F18" s="113">
        <v>142</v>
      </c>
      <c r="G18" s="114">
        <f t="shared" ref="G18:G26" si="6">IFERROR(C18/F18,"-")</f>
        <v>7.5</v>
      </c>
      <c r="H18" s="113">
        <v>23.5</v>
      </c>
      <c r="I18" s="90">
        <f t="shared" si="3"/>
        <v>2.2065727699530517E-2</v>
      </c>
      <c r="J18" s="111">
        <v>12.8</v>
      </c>
      <c r="K18" s="115">
        <f t="shared" si="4"/>
        <v>4.5999999999999996</v>
      </c>
    </row>
    <row r="19" spans="2:11" ht="15.75" customHeight="1" x14ac:dyDescent="0.3">
      <c r="B19" s="91" t="s">
        <v>78</v>
      </c>
      <c r="C19" s="87">
        <v>1120</v>
      </c>
      <c r="D19" s="113">
        <v>62.9</v>
      </c>
      <c r="E19" s="114">
        <f t="shared" si="5"/>
        <v>17.806041335453102</v>
      </c>
      <c r="F19" s="113">
        <v>213</v>
      </c>
      <c r="G19" s="114">
        <f t="shared" si="6"/>
        <v>5.258215962441315</v>
      </c>
      <c r="H19" s="113">
        <v>38</v>
      </c>
      <c r="I19" s="90">
        <f t="shared" si="3"/>
        <v>3.3928571428571426E-2</v>
      </c>
      <c r="J19" s="111">
        <v>12.1</v>
      </c>
      <c r="K19" s="115">
        <f t="shared" si="4"/>
        <v>4.9000000000000004</v>
      </c>
    </row>
    <row r="20" spans="2:11" ht="15.75" customHeight="1" x14ac:dyDescent="0.3">
      <c r="B20" s="86" t="s">
        <v>79</v>
      </c>
      <c r="C20" s="87">
        <v>179</v>
      </c>
      <c r="D20" s="113">
        <v>12.6</v>
      </c>
      <c r="E20" s="114">
        <f t="shared" si="5"/>
        <v>14.206349206349207</v>
      </c>
      <c r="F20" s="113">
        <v>78</v>
      </c>
      <c r="G20" s="114">
        <f t="shared" si="6"/>
        <v>2.2948717948717947</v>
      </c>
      <c r="H20" s="113">
        <v>11</v>
      </c>
      <c r="I20" s="90">
        <f t="shared" si="3"/>
        <v>6.1452513966480445E-2</v>
      </c>
      <c r="J20" s="111">
        <v>9.5</v>
      </c>
      <c r="K20" s="115">
        <f t="shared" si="4"/>
        <v>5.9</v>
      </c>
    </row>
    <row r="21" spans="2:11" ht="15.75" customHeight="1" x14ac:dyDescent="0.3">
      <c r="B21" s="91" t="s">
        <v>80</v>
      </c>
      <c r="C21" s="87">
        <v>1430</v>
      </c>
      <c r="D21" s="113">
        <v>63.5</v>
      </c>
      <c r="E21" s="114">
        <f t="shared" si="5"/>
        <v>22.519685039370078</v>
      </c>
      <c r="F21" s="113">
        <v>400</v>
      </c>
      <c r="G21" s="114">
        <f t="shared" si="6"/>
        <v>3.5750000000000002</v>
      </c>
      <c r="H21" s="113">
        <v>28</v>
      </c>
      <c r="I21" s="90">
        <f t="shared" si="3"/>
        <v>1.9580419580419582E-2</v>
      </c>
      <c r="J21" s="111">
        <v>13.8</v>
      </c>
      <c r="K21" s="115">
        <f t="shared" si="4"/>
        <v>3.6</v>
      </c>
    </row>
    <row r="22" spans="2:11" ht="15.75" customHeight="1" x14ac:dyDescent="0.3">
      <c r="B22" s="86" t="s">
        <v>81</v>
      </c>
      <c r="C22" s="87">
        <v>3890</v>
      </c>
      <c r="D22" s="113">
        <v>156.80000000000001</v>
      </c>
      <c r="E22" s="114">
        <f t="shared" si="5"/>
        <v>24.808673469387752</v>
      </c>
      <c r="F22" s="113">
        <v>530</v>
      </c>
      <c r="G22" s="114">
        <f t="shared" si="6"/>
        <v>7.3396226415094343</v>
      </c>
      <c r="H22" s="113">
        <v>55</v>
      </c>
      <c r="I22" s="90">
        <f t="shared" si="3"/>
        <v>1.4138817480719794E-2</v>
      </c>
      <c r="J22" s="111">
        <v>16.5</v>
      </c>
      <c r="K22" s="115">
        <f t="shared" si="4"/>
        <v>2.9</v>
      </c>
    </row>
    <row r="23" spans="2:11" ht="15.75" customHeight="1" x14ac:dyDescent="0.3">
      <c r="B23" s="91" t="s">
        <v>82</v>
      </c>
      <c r="C23" s="87">
        <v>4850</v>
      </c>
      <c r="D23" s="113">
        <v>126</v>
      </c>
      <c r="E23" s="114">
        <f t="shared" si="5"/>
        <v>38.492063492063494</v>
      </c>
      <c r="F23" s="113">
        <v>440</v>
      </c>
      <c r="G23" s="114">
        <f t="shared" si="6"/>
        <v>11.022727272727273</v>
      </c>
      <c r="H23" s="113">
        <v>23.5</v>
      </c>
      <c r="I23" s="90">
        <f t="shared" si="3"/>
        <v>4.8453608247422683E-3</v>
      </c>
      <c r="J23" s="111">
        <v>22.8</v>
      </c>
      <c r="K23" s="115">
        <f t="shared" si="4"/>
        <v>-1</v>
      </c>
    </row>
    <row r="24" spans="2:11" ht="15.75" customHeight="1" x14ac:dyDescent="0.3">
      <c r="B24" s="86" t="s">
        <v>83</v>
      </c>
      <c r="C24" s="87">
        <v>2100</v>
      </c>
      <c r="D24" s="113">
        <v>104.5</v>
      </c>
      <c r="E24" s="114">
        <f t="shared" si="5"/>
        <v>20.095693779904305</v>
      </c>
      <c r="F24" s="113">
        <v>520</v>
      </c>
      <c r="G24" s="114">
        <f t="shared" si="6"/>
        <v>4.0384615384615383</v>
      </c>
      <c r="H24" s="113">
        <v>58</v>
      </c>
      <c r="I24" s="90">
        <f t="shared" si="3"/>
        <v>2.7619047619047619E-2</v>
      </c>
      <c r="J24" s="111">
        <v>13.2</v>
      </c>
      <c r="K24" s="115">
        <f t="shared" si="4"/>
        <v>4.3</v>
      </c>
    </row>
    <row r="25" spans="2:11" ht="15.75" customHeight="1" x14ac:dyDescent="0.3">
      <c r="B25" s="91" t="s">
        <v>84</v>
      </c>
      <c r="C25" s="87">
        <v>1560</v>
      </c>
      <c r="D25" s="113">
        <v>53.4</v>
      </c>
      <c r="E25" s="114">
        <f t="shared" si="5"/>
        <v>29.213483146067418</v>
      </c>
      <c r="F25" s="113">
        <v>325</v>
      </c>
      <c r="G25" s="114">
        <f t="shared" si="6"/>
        <v>4.8</v>
      </c>
      <c r="H25" s="113">
        <v>15.6</v>
      </c>
      <c r="I25" s="90">
        <f t="shared" si="3"/>
        <v>0.01</v>
      </c>
      <c r="J25" s="111">
        <v>17.5</v>
      </c>
      <c r="K25" s="115">
        <f t="shared" si="4"/>
        <v>1.7</v>
      </c>
    </row>
    <row r="26" spans="2:11" ht="15.75" customHeight="1" x14ac:dyDescent="0.3">
      <c r="B26" s="86" t="s">
        <v>118</v>
      </c>
      <c r="C26" s="87">
        <v>8300</v>
      </c>
      <c r="D26" s="113">
        <v>306.5</v>
      </c>
      <c r="E26" s="114">
        <f t="shared" si="5"/>
        <v>27.079934747145188</v>
      </c>
      <c r="F26" s="113">
        <v>785</v>
      </c>
      <c r="G26" s="114">
        <f t="shared" si="6"/>
        <v>10.573248407643312</v>
      </c>
      <c r="H26" s="113">
        <v>265</v>
      </c>
      <c r="I26" s="90">
        <f t="shared" si="3"/>
        <v>3.1927710843373494E-2</v>
      </c>
      <c r="J26" s="111">
        <v>17.8</v>
      </c>
      <c r="K26" s="115">
        <f t="shared" si="4"/>
        <v>2.2999999999999998</v>
      </c>
    </row>
    <row r="27" spans="2:11" ht="18" customHeight="1" x14ac:dyDescent="0.3">
      <c r="B27" s="130" t="s">
        <v>119</v>
      </c>
      <c r="C27" s="130"/>
      <c r="D27" s="130"/>
      <c r="E27" s="114">
        <f>AVERAGE(E17:E26)</f>
        <v>22.842552798063899</v>
      </c>
      <c r="F27" s="85"/>
      <c r="G27" s="114">
        <f>AVERAGE(G17:G26)</f>
        <v>6.3485480950988</v>
      </c>
      <c r="H27" s="85"/>
      <c r="I27" s="90">
        <f>AVERAGE(I17:I26)</f>
        <v>2.7732287532523808E-2</v>
      </c>
      <c r="J27" s="114">
        <f>AVERAGE(J17:J26)</f>
        <v>14.85</v>
      </c>
      <c r="K27" s="85"/>
    </row>
    <row r="28" spans="2:11" ht="18" customHeight="1" x14ac:dyDescent="0.3">
      <c r="B28" s="126" t="s">
        <v>120</v>
      </c>
      <c r="C28" s="119"/>
      <c r="D28" s="119"/>
      <c r="E28" s="119"/>
      <c r="F28" s="119"/>
      <c r="G28" s="119"/>
      <c r="H28" s="119"/>
      <c r="I28" s="119"/>
      <c r="J28" s="119"/>
      <c r="K28" s="85"/>
    </row>
  </sheetData>
  <mergeCells count="6">
    <mergeCell ref="B28:J28"/>
    <mergeCell ref="B1:J1"/>
    <mergeCell ref="B3:J3"/>
    <mergeCell ref="B13:J13"/>
    <mergeCell ref="B15:J15"/>
    <mergeCell ref="B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9"/>
  <sheetViews>
    <sheetView showGridLines="0" zoomScaleNormal="100" workbookViewId="0">
      <selection activeCell="D6" sqref="D6"/>
    </sheetView>
  </sheetViews>
  <sheetFormatPr defaultColWidth="8.6640625" defaultRowHeight="14.4" x14ac:dyDescent="0.3"/>
  <cols>
    <col min="1" max="1" width="3" customWidth="1"/>
    <col min="2" max="2" width="14" customWidth="1"/>
    <col min="3" max="3" width="22" customWidth="1"/>
    <col min="4" max="4" width="83.44140625" bestFit="1" customWidth="1"/>
    <col min="5" max="5" width="20" customWidth="1"/>
    <col min="6" max="6" width="16" customWidth="1"/>
    <col min="7" max="7" width="18" customWidth="1"/>
  </cols>
  <sheetData>
    <row r="1" spans="2:7" ht="33.75" customHeight="1" x14ac:dyDescent="0.3">
      <c r="B1" s="127" t="s">
        <v>326</v>
      </c>
      <c r="C1" s="127"/>
      <c r="D1" s="127"/>
      <c r="E1" s="127"/>
      <c r="F1" s="127"/>
      <c r="G1" s="127"/>
    </row>
    <row r="3" spans="2:7" ht="19.5" customHeight="1" x14ac:dyDescent="0.3">
      <c r="B3" s="131" t="s">
        <v>121</v>
      </c>
      <c r="C3" s="131"/>
      <c r="D3" s="131"/>
      <c r="E3" s="131"/>
      <c r="F3" s="131"/>
      <c r="G3" s="131"/>
    </row>
    <row r="4" spans="2:7" ht="18" customHeight="1" x14ac:dyDescent="0.3">
      <c r="B4" s="35" t="s">
        <v>122</v>
      </c>
      <c r="C4" s="35" t="s">
        <v>123</v>
      </c>
      <c r="D4" s="35" t="s">
        <v>124</v>
      </c>
      <c r="E4" s="35" t="s">
        <v>125</v>
      </c>
      <c r="F4" s="35" t="s">
        <v>126</v>
      </c>
      <c r="G4" s="35" t="s">
        <v>127</v>
      </c>
    </row>
    <row r="5" spans="2:7" ht="48" customHeight="1" x14ac:dyDescent="0.3">
      <c r="B5" s="11" t="s">
        <v>128</v>
      </c>
      <c r="C5" s="8" t="s">
        <v>10</v>
      </c>
      <c r="D5" s="36" t="s">
        <v>129</v>
      </c>
      <c r="E5" s="37" t="s">
        <v>130</v>
      </c>
      <c r="F5" s="28" t="s">
        <v>131</v>
      </c>
      <c r="G5" s="17" t="s">
        <v>132</v>
      </c>
    </row>
    <row r="6" spans="2:7" ht="48" customHeight="1" x14ac:dyDescent="0.3">
      <c r="B6" s="10" t="s">
        <v>128</v>
      </c>
      <c r="C6" s="2" t="s">
        <v>133</v>
      </c>
      <c r="D6" s="118" t="s">
        <v>331</v>
      </c>
      <c r="E6" s="39" t="s">
        <v>134</v>
      </c>
      <c r="F6" s="39" t="s">
        <v>135</v>
      </c>
      <c r="G6" s="14" t="s">
        <v>132</v>
      </c>
    </row>
    <row r="7" spans="2:7" ht="48" customHeight="1" x14ac:dyDescent="0.3">
      <c r="B7" s="11" t="s">
        <v>128</v>
      </c>
      <c r="C7" s="8" t="s">
        <v>11</v>
      </c>
      <c r="D7" s="36" t="s">
        <v>136</v>
      </c>
      <c r="E7" s="37" t="s">
        <v>130</v>
      </c>
      <c r="F7" s="28" t="s">
        <v>137</v>
      </c>
      <c r="G7" s="17" t="s">
        <v>132</v>
      </c>
    </row>
    <row r="8" spans="2:7" ht="48" customHeight="1" x14ac:dyDescent="0.3">
      <c r="B8" s="40" t="s">
        <v>138</v>
      </c>
      <c r="C8" s="41" t="s">
        <v>10</v>
      </c>
      <c r="D8" s="42" t="s">
        <v>139</v>
      </c>
      <c r="E8" s="43" t="s">
        <v>140</v>
      </c>
      <c r="F8" s="43" t="s">
        <v>141</v>
      </c>
      <c r="G8" s="44" t="s">
        <v>142</v>
      </c>
    </row>
    <row r="9" spans="2:7" ht="48" customHeight="1" x14ac:dyDescent="0.3">
      <c r="B9" s="40" t="s">
        <v>138</v>
      </c>
      <c r="C9" s="41" t="s">
        <v>77</v>
      </c>
      <c r="D9" s="42" t="s">
        <v>143</v>
      </c>
      <c r="E9" s="43" t="s">
        <v>144</v>
      </c>
      <c r="F9" s="43" t="s">
        <v>145</v>
      </c>
      <c r="G9" s="44" t="s">
        <v>142</v>
      </c>
    </row>
    <row r="10" spans="2:7" ht="48" customHeight="1" x14ac:dyDescent="0.3">
      <c r="B10" s="40" t="s">
        <v>138</v>
      </c>
      <c r="C10" s="41" t="s">
        <v>76</v>
      </c>
      <c r="D10" s="42" t="s">
        <v>146</v>
      </c>
      <c r="E10" s="43" t="s">
        <v>144</v>
      </c>
      <c r="F10" s="43" t="s">
        <v>147</v>
      </c>
      <c r="G10" s="44" t="s">
        <v>148</v>
      </c>
    </row>
    <row r="11" spans="2:7" ht="48" customHeight="1" x14ac:dyDescent="0.3">
      <c r="B11" s="40" t="s">
        <v>138</v>
      </c>
      <c r="C11" s="41" t="s">
        <v>78</v>
      </c>
      <c r="D11" s="42" t="s">
        <v>149</v>
      </c>
      <c r="E11" s="43" t="s">
        <v>144</v>
      </c>
      <c r="F11" s="43" t="s">
        <v>150</v>
      </c>
      <c r="G11" s="44" t="s">
        <v>151</v>
      </c>
    </row>
    <row r="12" spans="2:7" ht="48" customHeight="1" x14ac:dyDescent="0.3">
      <c r="B12" s="10" t="s">
        <v>138</v>
      </c>
      <c r="C12" s="2" t="s">
        <v>79</v>
      </c>
      <c r="D12" s="38" t="s">
        <v>152</v>
      </c>
      <c r="E12" s="32" t="s">
        <v>153</v>
      </c>
      <c r="F12" s="31" t="s">
        <v>154</v>
      </c>
      <c r="G12" s="14" t="s">
        <v>155</v>
      </c>
    </row>
    <row r="13" spans="2:7" ht="48" customHeight="1" x14ac:dyDescent="0.3">
      <c r="B13" s="11" t="s">
        <v>156</v>
      </c>
      <c r="C13" s="8" t="s">
        <v>79</v>
      </c>
      <c r="D13" s="36" t="s">
        <v>157</v>
      </c>
      <c r="E13" s="37" t="s">
        <v>158</v>
      </c>
      <c r="F13" s="37" t="s">
        <v>159</v>
      </c>
      <c r="G13" s="17" t="s">
        <v>160</v>
      </c>
    </row>
    <row r="14" spans="2:7" ht="48" customHeight="1" x14ac:dyDescent="0.3">
      <c r="B14" s="40" t="s">
        <v>156</v>
      </c>
      <c r="C14" s="41" t="s">
        <v>161</v>
      </c>
      <c r="D14" s="42" t="s">
        <v>162</v>
      </c>
      <c r="E14" s="43" t="s">
        <v>163</v>
      </c>
      <c r="F14" s="43" t="s">
        <v>164</v>
      </c>
      <c r="G14" s="44" t="s">
        <v>165</v>
      </c>
    </row>
    <row r="15" spans="2:7" ht="48" customHeight="1" x14ac:dyDescent="0.3">
      <c r="B15" s="11" t="s">
        <v>166</v>
      </c>
      <c r="C15" s="8" t="s">
        <v>76</v>
      </c>
      <c r="D15" s="36" t="s">
        <v>167</v>
      </c>
      <c r="E15" s="28" t="s">
        <v>168</v>
      </c>
      <c r="F15" s="37" t="s">
        <v>169</v>
      </c>
      <c r="G15" s="17" t="s">
        <v>170</v>
      </c>
    </row>
    <row r="16" spans="2:7" ht="48" customHeight="1" x14ac:dyDescent="0.3">
      <c r="B16" s="10" t="s">
        <v>171</v>
      </c>
      <c r="C16" s="2" t="s">
        <v>161</v>
      </c>
      <c r="D16" s="38" t="s">
        <v>172</v>
      </c>
      <c r="E16" s="32" t="s">
        <v>173</v>
      </c>
      <c r="F16" s="31" t="s">
        <v>174</v>
      </c>
      <c r="G16" s="14" t="s">
        <v>175</v>
      </c>
    </row>
    <row r="17" spans="2:7" ht="48" customHeight="1" x14ac:dyDescent="0.3">
      <c r="B17" s="11" t="s">
        <v>176</v>
      </c>
      <c r="C17" s="8" t="s">
        <v>161</v>
      </c>
      <c r="D17" s="36" t="s">
        <v>177</v>
      </c>
      <c r="E17" s="37" t="s">
        <v>178</v>
      </c>
      <c r="F17" s="37" t="s">
        <v>179</v>
      </c>
      <c r="G17" s="17" t="s">
        <v>180</v>
      </c>
    </row>
    <row r="18" spans="2:7" ht="48" customHeight="1" x14ac:dyDescent="0.3">
      <c r="B18" s="10" t="s">
        <v>181</v>
      </c>
      <c r="C18" s="2" t="s">
        <v>161</v>
      </c>
      <c r="D18" s="38" t="s">
        <v>182</v>
      </c>
      <c r="E18" s="39" t="s">
        <v>183</v>
      </c>
      <c r="F18" s="39" t="s">
        <v>184</v>
      </c>
      <c r="G18" s="14" t="s">
        <v>185</v>
      </c>
    </row>
    <row r="19" spans="2:7" ht="48" customHeight="1" x14ac:dyDescent="0.3">
      <c r="B19" s="11" t="s">
        <v>186</v>
      </c>
      <c r="C19" s="8" t="s">
        <v>161</v>
      </c>
      <c r="D19" s="36" t="s">
        <v>187</v>
      </c>
      <c r="E19" s="28" t="s">
        <v>188</v>
      </c>
      <c r="F19" s="28" t="s">
        <v>189</v>
      </c>
      <c r="G19" s="17" t="s">
        <v>190</v>
      </c>
    </row>
  </sheetData>
  <mergeCells count="2">
    <mergeCell ref="B1:G1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5"/>
  <sheetViews>
    <sheetView showGridLines="0" topLeftCell="A34" zoomScaleNormal="100" workbookViewId="0">
      <selection activeCell="J18" sqref="J18"/>
    </sheetView>
  </sheetViews>
  <sheetFormatPr defaultColWidth="8.6640625" defaultRowHeight="14.4" x14ac:dyDescent="0.3"/>
  <cols>
    <col min="1" max="1" width="3" customWidth="1"/>
    <col min="2" max="2" width="22" customWidth="1"/>
    <col min="3" max="8" width="16" customWidth="1"/>
    <col min="9" max="9" width="20" customWidth="1"/>
    <col min="10" max="10" width="39.5546875" bestFit="1" customWidth="1"/>
  </cols>
  <sheetData>
    <row r="1" spans="2:10" ht="33.75" customHeight="1" x14ac:dyDescent="0.3">
      <c r="B1" s="127" t="s">
        <v>327</v>
      </c>
      <c r="C1" s="127"/>
      <c r="D1" s="127"/>
      <c r="E1" s="127"/>
      <c r="F1" s="127"/>
      <c r="G1" s="127"/>
      <c r="H1" s="127"/>
      <c r="I1" s="127"/>
    </row>
    <row r="2" spans="2:10" ht="27.75" customHeight="1" x14ac:dyDescent="0.3">
      <c r="B2" s="132" t="s">
        <v>191</v>
      </c>
      <c r="C2" s="132"/>
      <c r="D2" s="132"/>
      <c r="E2" s="132"/>
      <c r="F2" s="132"/>
      <c r="G2" s="132"/>
      <c r="H2" s="132"/>
      <c r="I2" s="132"/>
    </row>
    <row r="4" spans="2:10" ht="19.5" customHeight="1" x14ac:dyDescent="0.3">
      <c r="B4" s="133" t="s">
        <v>192</v>
      </c>
      <c r="C4" s="133"/>
      <c r="D4" s="133"/>
      <c r="E4" s="133"/>
      <c r="F4" s="133"/>
      <c r="G4" s="133"/>
      <c r="H4" s="133"/>
      <c r="I4" s="133"/>
    </row>
    <row r="5" spans="2:10" ht="18" customHeight="1" x14ac:dyDescent="0.3">
      <c r="B5" s="110" t="s">
        <v>122</v>
      </c>
      <c r="C5" s="110" t="s">
        <v>193</v>
      </c>
      <c r="D5" s="110" t="s">
        <v>194</v>
      </c>
      <c r="E5" s="110" t="s">
        <v>195</v>
      </c>
      <c r="F5" s="110" t="s">
        <v>196</v>
      </c>
      <c r="G5" s="110" t="s">
        <v>197</v>
      </c>
      <c r="H5" s="110" t="s">
        <v>198</v>
      </c>
      <c r="I5" s="110" t="s">
        <v>199</v>
      </c>
    </row>
    <row r="6" spans="2:10" ht="15.75" customHeight="1" x14ac:dyDescent="0.3">
      <c r="B6" s="10" t="s">
        <v>200</v>
      </c>
      <c r="C6" s="24">
        <v>8850</v>
      </c>
      <c r="D6" s="24">
        <v>9599</v>
      </c>
      <c r="E6" s="45">
        <f t="shared" ref="E6:E14" si="0">C6-D6</f>
        <v>-749</v>
      </c>
      <c r="F6" s="24">
        <v>8200</v>
      </c>
      <c r="G6" s="24">
        <v>8194</v>
      </c>
      <c r="H6" s="46">
        <f t="shared" ref="H6:H14" si="1">F6-G6</f>
        <v>6</v>
      </c>
      <c r="I6" s="47">
        <f t="shared" ref="I6:I14" si="2">E6+H6</f>
        <v>-743</v>
      </c>
      <c r="J6" s="14" t="s">
        <v>201</v>
      </c>
    </row>
    <row r="7" spans="2:10" ht="15.75" customHeight="1" x14ac:dyDescent="0.3">
      <c r="B7" s="11" t="s">
        <v>202</v>
      </c>
      <c r="C7" s="24">
        <v>9200</v>
      </c>
      <c r="D7" s="24">
        <v>10800</v>
      </c>
      <c r="E7" s="45">
        <f t="shared" si="0"/>
        <v>-1600</v>
      </c>
      <c r="F7" s="24">
        <v>9500</v>
      </c>
      <c r="G7" s="24">
        <v>7200</v>
      </c>
      <c r="H7" s="46">
        <f t="shared" si="1"/>
        <v>2300</v>
      </c>
      <c r="I7" s="48">
        <f t="shared" si="2"/>
        <v>700</v>
      </c>
      <c r="J7" s="17" t="s">
        <v>203</v>
      </c>
    </row>
    <row r="8" spans="2:10" ht="15.75" customHeight="1" x14ac:dyDescent="0.3">
      <c r="B8" s="10" t="s">
        <v>204</v>
      </c>
      <c r="C8" s="24">
        <v>8100</v>
      </c>
      <c r="D8" s="24">
        <v>12200</v>
      </c>
      <c r="E8" s="45">
        <f t="shared" si="0"/>
        <v>-4100</v>
      </c>
      <c r="F8" s="24">
        <v>11200</v>
      </c>
      <c r="G8" s="24">
        <v>7800</v>
      </c>
      <c r="H8" s="46">
        <f t="shared" si="1"/>
        <v>3400</v>
      </c>
      <c r="I8" s="47">
        <f t="shared" si="2"/>
        <v>-700</v>
      </c>
      <c r="J8" s="14" t="s">
        <v>205</v>
      </c>
    </row>
    <row r="9" spans="2:10" ht="15.75" customHeight="1" x14ac:dyDescent="0.3">
      <c r="B9" s="40" t="s">
        <v>206</v>
      </c>
      <c r="C9" s="24">
        <v>6500</v>
      </c>
      <c r="D9" s="24">
        <v>18500</v>
      </c>
      <c r="E9" s="45">
        <f t="shared" si="0"/>
        <v>-12000</v>
      </c>
      <c r="F9" s="24">
        <v>14500</v>
      </c>
      <c r="G9" s="24">
        <v>6800</v>
      </c>
      <c r="H9" s="46">
        <f t="shared" si="1"/>
        <v>7700</v>
      </c>
      <c r="I9" s="45">
        <f t="shared" si="2"/>
        <v>-4300</v>
      </c>
      <c r="J9" s="44" t="s">
        <v>207</v>
      </c>
    </row>
    <row r="10" spans="2:10" ht="15.75" customHeight="1" x14ac:dyDescent="0.3">
      <c r="B10" s="10" t="s">
        <v>208</v>
      </c>
      <c r="C10" s="24">
        <v>9800</v>
      </c>
      <c r="D10" s="24">
        <v>11500</v>
      </c>
      <c r="E10" s="45">
        <f t="shared" si="0"/>
        <v>-1700</v>
      </c>
      <c r="F10" s="24">
        <v>10200</v>
      </c>
      <c r="G10" s="24">
        <v>8500</v>
      </c>
      <c r="H10" s="46">
        <f t="shared" si="1"/>
        <v>1700</v>
      </c>
      <c r="I10" s="47">
        <f t="shared" si="2"/>
        <v>0</v>
      </c>
      <c r="J10" s="14" t="s">
        <v>209</v>
      </c>
    </row>
    <row r="11" spans="2:10" ht="15.75" customHeight="1" x14ac:dyDescent="0.3">
      <c r="B11" s="11" t="s">
        <v>210</v>
      </c>
      <c r="C11" s="24">
        <v>10500</v>
      </c>
      <c r="D11" s="24">
        <v>9800</v>
      </c>
      <c r="E11" s="46">
        <f t="shared" si="0"/>
        <v>700</v>
      </c>
      <c r="F11" s="24">
        <v>10800</v>
      </c>
      <c r="G11" s="24">
        <v>8200</v>
      </c>
      <c r="H11" s="46">
        <f t="shared" si="1"/>
        <v>2600</v>
      </c>
      <c r="I11" s="48">
        <f t="shared" si="2"/>
        <v>3300</v>
      </c>
      <c r="J11" s="17" t="s">
        <v>211</v>
      </c>
    </row>
    <row r="12" spans="2:10" ht="15.75" customHeight="1" x14ac:dyDescent="0.3">
      <c r="B12" s="10" t="s">
        <v>212</v>
      </c>
      <c r="C12" s="24">
        <v>95000</v>
      </c>
      <c r="D12" s="24">
        <v>128000</v>
      </c>
      <c r="E12" s="45">
        <f t="shared" si="0"/>
        <v>-33000</v>
      </c>
      <c r="F12" s="24">
        <v>98000</v>
      </c>
      <c r="G12" s="24">
        <v>71000</v>
      </c>
      <c r="H12" s="46">
        <f t="shared" si="1"/>
        <v>27000</v>
      </c>
      <c r="I12" s="47">
        <f t="shared" si="2"/>
        <v>-6000</v>
      </c>
      <c r="J12" s="14" t="s">
        <v>213</v>
      </c>
    </row>
    <row r="13" spans="2:10" ht="15.75" customHeight="1" x14ac:dyDescent="0.3">
      <c r="B13" s="11" t="s">
        <v>214</v>
      </c>
      <c r="C13" s="24">
        <v>145000</v>
      </c>
      <c r="D13" s="24">
        <v>132000</v>
      </c>
      <c r="E13" s="46">
        <f t="shared" si="0"/>
        <v>13000</v>
      </c>
      <c r="F13" s="24">
        <v>125000</v>
      </c>
      <c r="G13" s="24">
        <v>98000</v>
      </c>
      <c r="H13" s="46">
        <f t="shared" si="1"/>
        <v>27000</v>
      </c>
      <c r="I13" s="48">
        <f t="shared" si="2"/>
        <v>40000</v>
      </c>
      <c r="J13" s="17" t="s">
        <v>215</v>
      </c>
    </row>
    <row r="14" spans="2:10" ht="15.75" customHeight="1" x14ac:dyDescent="0.3">
      <c r="B14" s="10" t="s">
        <v>216</v>
      </c>
      <c r="C14" s="24">
        <v>110000</v>
      </c>
      <c r="D14" s="24">
        <v>145000</v>
      </c>
      <c r="E14" s="45">
        <f t="shared" si="0"/>
        <v>-35000</v>
      </c>
      <c r="F14" s="24">
        <v>138000</v>
      </c>
      <c r="G14" s="24">
        <v>88000</v>
      </c>
      <c r="H14" s="46">
        <f t="shared" si="1"/>
        <v>50000</v>
      </c>
      <c r="I14" s="47">
        <f t="shared" si="2"/>
        <v>15000</v>
      </c>
      <c r="J14" s="14" t="s">
        <v>217</v>
      </c>
    </row>
    <row r="15" spans="2:10" ht="18" customHeight="1" x14ac:dyDescent="0.3">
      <c r="B15" s="49" t="s">
        <v>218</v>
      </c>
      <c r="C15" s="46">
        <f t="shared" ref="C15:I15" si="3">SUM(C6:C11)</f>
        <v>52950</v>
      </c>
      <c r="D15" s="46">
        <f t="shared" si="3"/>
        <v>72399</v>
      </c>
      <c r="E15" s="46">
        <f t="shared" si="3"/>
        <v>-19449</v>
      </c>
      <c r="F15" s="46">
        <f t="shared" si="3"/>
        <v>64400</v>
      </c>
      <c r="G15" s="46">
        <f t="shared" si="3"/>
        <v>46694</v>
      </c>
      <c r="H15" s="46">
        <f t="shared" si="3"/>
        <v>17706</v>
      </c>
      <c r="I15" s="46">
        <f t="shared" si="3"/>
        <v>-1743</v>
      </c>
    </row>
    <row r="16" spans="2:10" ht="18" customHeight="1" x14ac:dyDescent="0.3">
      <c r="B16" s="134" t="s">
        <v>219</v>
      </c>
      <c r="C16" s="134"/>
      <c r="D16" s="134"/>
      <c r="E16" s="134"/>
      <c r="F16" s="134"/>
      <c r="G16" s="134"/>
      <c r="H16" s="134"/>
      <c r="I16" s="134"/>
    </row>
    <row r="18" spans="2:9" ht="19.5" customHeight="1" x14ac:dyDescent="0.3">
      <c r="B18" s="135" t="s">
        <v>220</v>
      </c>
      <c r="C18" s="135"/>
      <c r="D18" s="135"/>
      <c r="E18" s="135"/>
      <c r="F18" s="135"/>
      <c r="G18" s="135"/>
      <c r="H18" s="135"/>
      <c r="I18" s="135"/>
    </row>
    <row r="19" spans="2:9" ht="18" customHeight="1" x14ac:dyDescent="0.3">
      <c r="B19" s="110" t="s">
        <v>221</v>
      </c>
      <c r="C19" s="110" t="s">
        <v>222</v>
      </c>
      <c r="D19" s="110" t="s">
        <v>223</v>
      </c>
      <c r="E19" s="110" t="s">
        <v>224</v>
      </c>
      <c r="F19" s="110" t="s">
        <v>225</v>
      </c>
      <c r="G19" s="110" t="s">
        <v>226</v>
      </c>
      <c r="H19" s="110" t="s">
        <v>227</v>
      </c>
      <c r="I19" s="110" t="s">
        <v>125</v>
      </c>
    </row>
    <row r="20" spans="2:9" ht="15.75" customHeight="1" x14ac:dyDescent="0.3">
      <c r="B20" s="2" t="s">
        <v>228</v>
      </c>
      <c r="C20" s="24">
        <v>4200</v>
      </c>
      <c r="D20" s="50">
        <v>0.98</v>
      </c>
      <c r="E20" s="14" t="s">
        <v>229</v>
      </c>
      <c r="F20" s="14" t="s">
        <v>230</v>
      </c>
      <c r="G20" s="14" t="s">
        <v>231</v>
      </c>
      <c r="H20" s="33">
        <v>-0.16800000000000001</v>
      </c>
      <c r="I20" s="10" t="s">
        <v>232</v>
      </c>
    </row>
    <row r="21" spans="2:9" ht="15.75" customHeight="1" x14ac:dyDescent="0.3">
      <c r="B21" s="8" t="s">
        <v>233</v>
      </c>
      <c r="C21" s="24">
        <v>2100</v>
      </c>
      <c r="D21" s="50">
        <v>0.99</v>
      </c>
      <c r="E21" s="17" t="s">
        <v>234</v>
      </c>
      <c r="F21" s="17" t="s">
        <v>235</v>
      </c>
      <c r="G21" s="17" t="s">
        <v>236</v>
      </c>
      <c r="H21" s="33">
        <v>-0.17100000000000001</v>
      </c>
      <c r="I21" s="11" t="s">
        <v>232</v>
      </c>
    </row>
    <row r="22" spans="2:9" ht="15.75" customHeight="1" x14ac:dyDescent="0.3">
      <c r="B22" s="2" t="s">
        <v>237</v>
      </c>
      <c r="C22" s="24">
        <v>11500</v>
      </c>
      <c r="D22" s="50">
        <v>0.85</v>
      </c>
      <c r="E22" s="14" t="s">
        <v>230</v>
      </c>
      <c r="F22" s="14" t="s">
        <v>238</v>
      </c>
      <c r="G22" s="14" t="s">
        <v>239</v>
      </c>
      <c r="H22" s="33">
        <v>-0.155</v>
      </c>
      <c r="I22" s="10" t="s">
        <v>240</v>
      </c>
    </row>
    <row r="23" spans="2:9" ht="15.75" customHeight="1" x14ac:dyDescent="0.3">
      <c r="B23" s="8" t="s">
        <v>241</v>
      </c>
      <c r="C23" s="24">
        <v>3800</v>
      </c>
      <c r="D23" s="50">
        <v>0.88</v>
      </c>
      <c r="E23" s="17" t="s">
        <v>242</v>
      </c>
      <c r="F23" s="17" t="s">
        <v>243</v>
      </c>
      <c r="G23" s="17" t="s">
        <v>244</v>
      </c>
      <c r="H23" s="33">
        <v>-0.16200000000000001</v>
      </c>
      <c r="I23" s="11" t="s">
        <v>240</v>
      </c>
    </row>
    <row r="24" spans="2:9" ht="15.75" customHeight="1" x14ac:dyDescent="0.3">
      <c r="B24" s="2" t="s">
        <v>245</v>
      </c>
      <c r="C24" s="24">
        <v>9200</v>
      </c>
      <c r="D24" s="50">
        <v>0.87</v>
      </c>
      <c r="E24" s="14" t="s">
        <v>246</v>
      </c>
      <c r="F24" s="14" t="s">
        <v>247</v>
      </c>
      <c r="G24" s="14" t="s">
        <v>81</v>
      </c>
      <c r="H24" s="33">
        <v>-0.158</v>
      </c>
      <c r="I24" s="10" t="s">
        <v>240</v>
      </c>
    </row>
    <row r="25" spans="2:9" ht="15.75" customHeight="1" x14ac:dyDescent="0.3">
      <c r="B25" s="8" t="s">
        <v>248</v>
      </c>
      <c r="C25" s="24">
        <v>2400</v>
      </c>
      <c r="D25" s="50">
        <v>0.82</v>
      </c>
      <c r="E25" s="17" t="s">
        <v>243</v>
      </c>
      <c r="F25" s="17" t="s">
        <v>249</v>
      </c>
      <c r="G25" s="17" t="s">
        <v>250</v>
      </c>
      <c r="H25" s="33">
        <v>-0.14499999999999999</v>
      </c>
      <c r="I25" s="11" t="s">
        <v>240</v>
      </c>
    </row>
  </sheetData>
  <mergeCells count="5">
    <mergeCell ref="B1:I1"/>
    <mergeCell ref="B2:I2"/>
    <mergeCell ref="B4:I4"/>
    <mergeCell ref="B16:I16"/>
    <mergeCell ref="B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30"/>
  <sheetViews>
    <sheetView showGridLines="0" tabSelected="1" zoomScaleNormal="100" workbookViewId="0">
      <selection activeCell="M21" sqref="M21"/>
    </sheetView>
  </sheetViews>
  <sheetFormatPr defaultColWidth="8.6640625" defaultRowHeight="14.4" x14ac:dyDescent="0.3"/>
  <cols>
    <col min="1" max="1" width="3" customWidth="1"/>
    <col min="2" max="2" width="24" customWidth="1"/>
    <col min="3" max="7" width="14" customWidth="1"/>
    <col min="8" max="8" width="23" bestFit="1" customWidth="1"/>
    <col min="9" max="10" width="14" customWidth="1"/>
  </cols>
  <sheetData>
    <row r="1" spans="2:11" ht="33.75" customHeight="1" x14ac:dyDescent="0.3">
      <c r="B1" s="127" t="s">
        <v>328</v>
      </c>
      <c r="C1" s="127"/>
      <c r="D1" s="127"/>
      <c r="E1" s="127"/>
      <c r="F1" s="127"/>
      <c r="G1" s="127"/>
      <c r="H1" s="127"/>
      <c r="I1" s="127"/>
      <c r="J1" s="127"/>
    </row>
    <row r="2" spans="2:11" x14ac:dyDescent="0.3">
      <c r="B2" s="116"/>
      <c r="C2" s="116"/>
      <c r="D2" s="116"/>
      <c r="E2" s="116"/>
      <c r="F2" s="116"/>
      <c r="G2" s="116"/>
      <c r="H2" s="116"/>
      <c r="I2" s="116"/>
      <c r="J2" s="116"/>
    </row>
    <row r="3" spans="2:11" ht="19.5" customHeight="1" x14ac:dyDescent="0.3">
      <c r="B3" s="136" t="s">
        <v>251</v>
      </c>
      <c r="C3" s="136"/>
      <c r="D3" s="136"/>
      <c r="E3" s="136"/>
      <c r="F3" s="136"/>
      <c r="G3" s="136"/>
      <c r="H3" s="136"/>
      <c r="I3" s="136"/>
      <c r="J3" s="136"/>
    </row>
    <row r="4" spans="2:11" ht="18" customHeight="1" x14ac:dyDescent="0.3">
      <c r="B4" s="117" t="s">
        <v>123</v>
      </c>
      <c r="C4" s="117" t="s">
        <v>252</v>
      </c>
      <c r="D4" s="117" t="s">
        <v>253</v>
      </c>
      <c r="E4" s="117" t="s">
        <v>254</v>
      </c>
      <c r="F4" s="117" t="s">
        <v>255</v>
      </c>
      <c r="G4" s="117" t="s">
        <v>256</v>
      </c>
      <c r="H4" s="117" t="s">
        <v>257</v>
      </c>
      <c r="I4" s="117" t="s">
        <v>258</v>
      </c>
      <c r="J4" s="117" t="s">
        <v>259</v>
      </c>
    </row>
    <row r="5" spans="2:11" ht="15.75" customHeight="1" x14ac:dyDescent="0.3">
      <c r="B5" s="51" t="s">
        <v>260</v>
      </c>
      <c r="C5" s="52">
        <v>7.4000000000000003E-3</v>
      </c>
      <c r="D5" s="52">
        <v>-5.5E-2</v>
      </c>
      <c r="E5" s="52">
        <v>-7.1999999999999995E-2</v>
      </c>
      <c r="F5" s="52">
        <v>-0.128</v>
      </c>
      <c r="G5" s="52">
        <v>-0.185</v>
      </c>
      <c r="H5" s="52">
        <v>-0.24</v>
      </c>
      <c r="I5" s="52">
        <v>-0.26</v>
      </c>
      <c r="J5" s="52">
        <v>2.5000000000000001E-2</v>
      </c>
      <c r="K5" s="53" t="s">
        <v>15</v>
      </c>
    </row>
    <row r="6" spans="2:11" ht="15.75" customHeight="1" x14ac:dyDescent="0.3">
      <c r="B6" s="51" t="s">
        <v>11</v>
      </c>
      <c r="C6" s="52">
        <v>3.2000000000000002E-3</v>
      </c>
      <c r="D6" s="52">
        <v>-8.0000000000000002E-3</v>
      </c>
      <c r="E6" s="52">
        <v>5.0000000000000001E-3</v>
      </c>
      <c r="F6" s="52">
        <v>1.7999999999999999E-2</v>
      </c>
      <c r="G6" s="52">
        <v>2.8000000000000001E-2</v>
      </c>
      <c r="H6" s="52">
        <v>4.2000000000000003E-2</v>
      </c>
      <c r="I6" s="52">
        <v>7.4999999999999997E-2</v>
      </c>
      <c r="J6" s="52">
        <v>0.182</v>
      </c>
      <c r="K6" s="53" t="s">
        <v>15</v>
      </c>
    </row>
    <row r="7" spans="2:11" ht="15.75" customHeight="1" x14ac:dyDescent="0.3">
      <c r="B7" s="54" t="s">
        <v>76</v>
      </c>
      <c r="C7" s="55">
        <v>2.53E-2</v>
      </c>
      <c r="D7" s="55">
        <v>-6.2E-2</v>
      </c>
      <c r="E7" s="55">
        <v>-7.8E-2</v>
      </c>
      <c r="F7" s="55">
        <v>-0.14499999999999999</v>
      </c>
      <c r="G7" s="55">
        <v>-0.21</v>
      </c>
      <c r="H7" s="55">
        <v>-0.33</v>
      </c>
      <c r="I7" s="55">
        <v>-0.38200000000000001</v>
      </c>
      <c r="J7" s="55">
        <v>-0.05</v>
      </c>
      <c r="K7" s="16">
        <f>J7-J5</f>
        <v>-7.5000000000000011E-2</v>
      </c>
    </row>
    <row r="8" spans="2:11" ht="15.75" customHeight="1" x14ac:dyDescent="0.3">
      <c r="B8" s="56" t="s">
        <v>77</v>
      </c>
      <c r="C8" s="57">
        <v>1.9E-2</v>
      </c>
      <c r="D8" s="57">
        <v>-7.0000000000000007E-2</v>
      </c>
      <c r="E8" s="57">
        <v>-8.5000000000000006E-2</v>
      </c>
      <c r="F8" s="57">
        <v>-0.14199999999999999</v>
      </c>
      <c r="G8" s="57">
        <v>-0.19500000000000001</v>
      </c>
      <c r="H8" s="57">
        <v>-0.27</v>
      </c>
      <c r="I8" s="57">
        <v>-0.28499999999999998</v>
      </c>
      <c r="J8" s="57">
        <v>1.4999999999999999E-2</v>
      </c>
      <c r="K8" s="13">
        <f>J8-J5</f>
        <v>-1.0000000000000002E-2</v>
      </c>
    </row>
    <row r="9" spans="2:11" ht="15.75" customHeight="1" x14ac:dyDescent="0.3">
      <c r="B9" s="54" t="s">
        <v>78</v>
      </c>
      <c r="C9" s="55">
        <v>1.5900000000000001E-2</v>
      </c>
      <c r="D9" s="55">
        <v>-4.8000000000000001E-2</v>
      </c>
      <c r="E9" s="55">
        <v>-6.5000000000000002E-2</v>
      </c>
      <c r="F9" s="55">
        <v>-0.11799999999999999</v>
      </c>
      <c r="G9" s="55">
        <v>-0.17499999999999999</v>
      </c>
      <c r="H9" s="55">
        <v>-0.3</v>
      </c>
      <c r="I9" s="55">
        <v>-0.31</v>
      </c>
      <c r="J9" s="55">
        <v>-2.5000000000000001E-2</v>
      </c>
      <c r="K9" s="16">
        <f>J9-J5</f>
        <v>-0.05</v>
      </c>
    </row>
    <row r="10" spans="2:11" ht="15.75" customHeight="1" x14ac:dyDescent="0.3">
      <c r="B10" s="56" t="s">
        <v>79</v>
      </c>
      <c r="C10" s="57">
        <v>1.24E-2</v>
      </c>
      <c r="D10" s="57">
        <v>-3.7999999999999999E-2</v>
      </c>
      <c r="E10" s="57">
        <v>-5.8000000000000003E-2</v>
      </c>
      <c r="F10" s="57">
        <v>-0.112</v>
      </c>
      <c r="G10" s="57">
        <v>-0.17799999999999999</v>
      </c>
      <c r="H10" s="57">
        <v>-0.31</v>
      </c>
      <c r="I10" s="57">
        <v>-0.32500000000000001</v>
      </c>
      <c r="J10" s="57">
        <v>-0.08</v>
      </c>
      <c r="K10" s="13">
        <f>J10-J5</f>
        <v>-0.10500000000000001</v>
      </c>
    </row>
    <row r="11" spans="2:11" ht="15.75" customHeight="1" x14ac:dyDescent="0.3">
      <c r="B11" s="54" t="s">
        <v>80</v>
      </c>
      <c r="C11" s="55">
        <v>3.6200000000000003E-2</v>
      </c>
      <c r="D11" s="55">
        <v>-2.8000000000000001E-2</v>
      </c>
      <c r="E11" s="55">
        <v>-3.5000000000000003E-2</v>
      </c>
      <c r="F11" s="55">
        <v>-5.8000000000000003E-2</v>
      </c>
      <c r="G11" s="55">
        <v>-8.7999999999999995E-2</v>
      </c>
      <c r="H11" s="55">
        <v>-7.0000000000000007E-2</v>
      </c>
      <c r="I11" s="55">
        <v>-8.5000000000000006E-2</v>
      </c>
      <c r="J11" s="55">
        <v>9.1999999999999998E-2</v>
      </c>
      <c r="K11" s="16">
        <f>J11-J5</f>
        <v>6.7000000000000004E-2</v>
      </c>
    </row>
    <row r="12" spans="2:11" ht="15.75" customHeight="1" x14ac:dyDescent="0.3">
      <c r="B12" s="56" t="s">
        <v>81</v>
      </c>
      <c r="C12" s="57">
        <v>2.3699999999999999E-2</v>
      </c>
      <c r="D12" s="57">
        <v>-7.4999999999999997E-2</v>
      </c>
      <c r="E12" s="57">
        <v>-9.1999999999999998E-2</v>
      </c>
      <c r="F12" s="57">
        <v>-0.17799999999999999</v>
      </c>
      <c r="G12" s="57">
        <v>-0.23499999999999999</v>
      </c>
      <c r="H12" s="57">
        <v>-0.34</v>
      </c>
      <c r="I12" s="57">
        <v>-0.36499999999999999</v>
      </c>
      <c r="J12" s="57">
        <v>-5.1999999999999998E-2</v>
      </c>
      <c r="K12" s="13">
        <f>J12-J5</f>
        <v>-7.6999999999999999E-2</v>
      </c>
    </row>
    <row r="13" spans="2:11" ht="15.75" customHeight="1" x14ac:dyDescent="0.3">
      <c r="B13" s="54" t="s">
        <v>82</v>
      </c>
      <c r="C13" s="55">
        <v>2.1100000000000001E-2</v>
      </c>
      <c r="D13" s="55">
        <v>-4.2000000000000003E-2</v>
      </c>
      <c r="E13" s="55">
        <v>-5.8000000000000003E-2</v>
      </c>
      <c r="F13" s="55">
        <v>-9.8000000000000004E-2</v>
      </c>
      <c r="G13" s="55">
        <v>-0.14499999999999999</v>
      </c>
      <c r="H13" s="55">
        <v>-0.2</v>
      </c>
      <c r="I13" s="55">
        <v>-0.215</v>
      </c>
      <c r="J13" s="55">
        <v>8.5000000000000006E-2</v>
      </c>
      <c r="K13" s="16">
        <f>J13-J5</f>
        <v>6.0000000000000005E-2</v>
      </c>
    </row>
    <row r="14" spans="2:11" ht="15.75" customHeight="1" x14ac:dyDescent="0.3">
      <c r="B14" s="56" t="s">
        <v>83</v>
      </c>
      <c r="C14" s="57">
        <v>2.4400000000000002E-2</v>
      </c>
      <c r="D14" s="57">
        <v>-3.5000000000000003E-2</v>
      </c>
      <c r="E14" s="57">
        <v>-4.8000000000000001E-2</v>
      </c>
      <c r="F14" s="57">
        <v>-8.7999999999999995E-2</v>
      </c>
      <c r="G14" s="57">
        <v>-0.13200000000000001</v>
      </c>
      <c r="H14" s="57">
        <v>-0.17</v>
      </c>
      <c r="I14" s="57">
        <v>-0.182</v>
      </c>
      <c r="J14" s="57">
        <v>6.5000000000000002E-2</v>
      </c>
      <c r="K14" s="13">
        <f>J14-J5</f>
        <v>0.04</v>
      </c>
    </row>
    <row r="15" spans="2:11" ht="15.75" customHeight="1" x14ac:dyDescent="0.3">
      <c r="B15" s="54" t="s">
        <v>84</v>
      </c>
      <c r="C15" s="55">
        <v>2.63E-2</v>
      </c>
      <c r="D15" s="55">
        <v>-4.2000000000000003E-2</v>
      </c>
      <c r="E15" s="55">
        <v>-5.5E-2</v>
      </c>
      <c r="F15" s="55">
        <v>-0.10199999999999999</v>
      </c>
      <c r="G15" s="55">
        <v>-0.155</v>
      </c>
      <c r="H15" s="55">
        <v>-0.22500000000000001</v>
      </c>
      <c r="I15" s="55">
        <v>-0.248</v>
      </c>
      <c r="J15" s="55">
        <v>1.7999999999999999E-2</v>
      </c>
      <c r="K15" s="16">
        <f>J15-J5</f>
        <v>-7.0000000000000027E-3</v>
      </c>
    </row>
    <row r="16" spans="2:11" ht="18" customHeight="1" x14ac:dyDescent="0.3">
      <c r="B16" s="134" t="s">
        <v>261</v>
      </c>
      <c r="C16" s="134"/>
      <c r="D16" s="134"/>
      <c r="E16" s="134"/>
      <c r="F16" s="134"/>
      <c r="G16" s="134"/>
      <c r="H16" s="134"/>
      <c r="I16" s="134"/>
      <c r="J16" s="134"/>
    </row>
    <row r="18" spans="2:11" ht="19.5" customHeight="1" x14ac:dyDescent="0.3">
      <c r="B18" s="137" t="s">
        <v>262</v>
      </c>
      <c r="C18" s="137"/>
      <c r="D18" s="137"/>
      <c r="E18" s="137"/>
      <c r="F18" s="137"/>
      <c r="G18" s="137"/>
      <c r="H18" s="137"/>
      <c r="I18" s="137"/>
      <c r="J18" s="137"/>
    </row>
    <row r="19" spans="2:11" ht="18" customHeight="1" x14ac:dyDescent="0.3">
      <c r="B19" s="1" t="s">
        <v>88</v>
      </c>
      <c r="C19" s="1" t="s">
        <v>72</v>
      </c>
      <c r="D19" s="1" t="s">
        <v>68</v>
      </c>
      <c r="E19" s="1" t="s">
        <v>263</v>
      </c>
      <c r="F19" s="1" t="s">
        <v>264</v>
      </c>
      <c r="G19" s="1" t="s">
        <v>265</v>
      </c>
      <c r="H19" s="1" t="s">
        <v>266</v>
      </c>
      <c r="I19" s="1" t="s">
        <v>267</v>
      </c>
      <c r="J19" s="1" t="s">
        <v>268</v>
      </c>
    </row>
    <row r="20" spans="2:11" ht="15.75" customHeight="1" x14ac:dyDescent="0.3">
      <c r="B20" s="2" t="s">
        <v>260</v>
      </c>
      <c r="C20" s="3">
        <v>40301.4</v>
      </c>
      <c r="D20" s="3">
        <v>27628.55</v>
      </c>
      <c r="E20" s="58">
        <f>D20-C20</f>
        <v>-12672.850000000002</v>
      </c>
      <c r="F20" s="6">
        <f>IF(C20&lt;&gt;0,(D20-C20)/C20,"")</f>
        <v>-0.31445185527053654</v>
      </c>
      <c r="G20" s="59">
        <f>IF(D20&lt;&gt;0,C20/D20-1,"")</f>
        <v>0.45868675699593364</v>
      </c>
      <c r="H20" s="34">
        <f>IFERROR(LOG(C20/D20)/LOG(1.05),"")</f>
        <v>7.7379643184498077</v>
      </c>
      <c r="I20" s="34">
        <f>IFERROR(LOG(C20/D20)/LOG(1.1),"")</f>
        <v>3.961135633249973</v>
      </c>
      <c r="J20" s="34">
        <f>IFERROR(LOG(C20/D20)/LOG(1.15),"")</f>
        <v>2.7012829316650731</v>
      </c>
      <c r="K20" s="32" t="s">
        <v>269</v>
      </c>
    </row>
    <row r="21" spans="2:11" ht="15.75" customHeight="1" x14ac:dyDescent="0.3">
      <c r="B21" s="8" t="s">
        <v>76</v>
      </c>
      <c r="C21" s="3">
        <v>3489.9</v>
      </c>
      <c r="D21" s="3">
        <v>2125</v>
      </c>
      <c r="E21" s="58">
        <f t="shared" ref="E21:E29" si="0">D21-C21</f>
        <v>-1364.9</v>
      </c>
      <c r="F21" s="6">
        <f t="shared" ref="F21:F29" si="1">IF(C21&lt;&gt;0,(D21-C21)/C21,"")</f>
        <v>-0.39110003151952777</v>
      </c>
      <c r="G21" s="59">
        <f t="shared" ref="G21:G29" si="2">IF(D21&lt;&gt;0,C21/D21-1,"")</f>
        <v>0.64230588235294128</v>
      </c>
      <c r="H21" s="34">
        <f t="shared" ref="H21:H29" si="3">IFERROR(LOG(C21/D21)/LOG(1.05),"")</f>
        <v>10.16805925082601</v>
      </c>
      <c r="I21" s="34">
        <f t="shared" ref="I21:I29" si="4">IFERROR(LOG(C21/D21)/LOG(1.1),"")</f>
        <v>5.2051237459715862</v>
      </c>
      <c r="J21" s="34">
        <f t="shared" ref="J21:J29" si="5">IFERROR(LOG(C21/D21)/LOG(1.15),"")</f>
        <v>3.5496163812652521</v>
      </c>
      <c r="K21" s="60" t="s">
        <v>269</v>
      </c>
    </row>
    <row r="22" spans="2:11" ht="15.75" customHeight="1" x14ac:dyDescent="0.3">
      <c r="B22" s="2" t="s">
        <v>77</v>
      </c>
      <c r="C22" s="3">
        <v>1727.85</v>
      </c>
      <c r="D22" s="3">
        <v>1065</v>
      </c>
      <c r="E22" s="58">
        <f t="shared" si="0"/>
        <v>-662.84999999999991</v>
      </c>
      <c r="F22" s="6">
        <f t="shared" si="1"/>
        <v>-0.38362705095928462</v>
      </c>
      <c r="G22" s="59">
        <f t="shared" si="2"/>
        <v>0.62239436619718291</v>
      </c>
      <c r="H22" s="34">
        <f t="shared" si="3"/>
        <v>9.9180453711257197</v>
      </c>
      <c r="I22" s="34">
        <f t="shared" si="4"/>
        <v>5.0771393243677538</v>
      </c>
      <c r="J22" s="34">
        <f t="shared" si="5"/>
        <v>3.4623378415718751</v>
      </c>
      <c r="K22" s="32" t="s">
        <v>269</v>
      </c>
    </row>
    <row r="23" spans="2:11" ht="15.75" customHeight="1" x14ac:dyDescent="0.3">
      <c r="B23" s="8" t="s">
        <v>78</v>
      </c>
      <c r="C23" s="3">
        <v>1920</v>
      </c>
      <c r="D23" s="3">
        <v>1120</v>
      </c>
      <c r="E23" s="58">
        <f t="shared" si="0"/>
        <v>-800</v>
      </c>
      <c r="F23" s="6">
        <f t="shared" si="1"/>
        <v>-0.41666666666666669</v>
      </c>
      <c r="G23" s="59">
        <f t="shared" si="2"/>
        <v>0.71428571428571419</v>
      </c>
      <c r="H23" s="34">
        <f t="shared" si="3"/>
        <v>11.047236874648156</v>
      </c>
      <c r="I23" s="34">
        <f t="shared" si="4"/>
        <v>5.6551829179135442</v>
      </c>
      <c r="J23" s="34">
        <f t="shared" si="5"/>
        <v>3.8565326981924408</v>
      </c>
      <c r="K23" s="30" t="s">
        <v>270</v>
      </c>
    </row>
    <row r="24" spans="2:11" ht="15.75" customHeight="1" x14ac:dyDescent="0.3">
      <c r="B24" s="2" t="s">
        <v>79</v>
      </c>
      <c r="C24" s="3">
        <v>320</v>
      </c>
      <c r="D24" s="3">
        <v>179</v>
      </c>
      <c r="E24" s="58">
        <f t="shared" si="0"/>
        <v>-141</v>
      </c>
      <c r="F24" s="6">
        <f t="shared" si="1"/>
        <v>-0.44062499999999999</v>
      </c>
      <c r="G24" s="59">
        <f t="shared" si="2"/>
        <v>0.7877094972067038</v>
      </c>
      <c r="H24" s="34">
        <f t="shared" si="3"/>
        <v>11.906809494135377</v>
      </c>
      <c r="I24" s="34">
        <f t="shared" si="4"/>
        <v>6.0952061064798846</v>
      </c>
      <c r="J24" s="34">
        <f t="shared" si="5"/>
        <v>4.156605010494423</v>
      </c>
      <c r="K24" s="31" t="s">
        <v>270</v>
      </c>
    </row>
    <row r="25" spans="2:11" ht="15.75" customHeight="1" x14ac:dyDescent="0.3">
      <c r="B25" s="8" t="s">
        <v>80</v>
      </c>
      <c r="C25" s="3">
        <v>1740</v>
      </c>
      <c r="D25" s="3">
        <v>1430</v>
      </c>
      <c r="E25" s="58">
        <f t="shared" si="0"/>
        <v>-310</v>
      </c>
      <c r="F25" s="6">
        <f t="shared" si="1"/>
        <v>-0.17816091954022989</v>
      </c>
      <c r="G25" s="59">
        <f t="shared" si="2"/>
        <v>0.21678321678321688</v>
      </c>
      <c r="H25" s="34">
        <f t="shared" si="3"/>
        <v>4.0215209826564084</v>
      </c>
      <c r="I25" s="34">
        <f t="shared" si="4"/>
        <v>2.0586538537378596</v>
      </c>
      <c r="J25" s="34">
        <f t="shared" si="5"/>
        <v>1.4038919724508383</v>
      </c>
      <c r="K25" s="28" t="s">
        <v>271</v>
      </c>
    </row>
    <row r="26" spans="2:11" ht="15.75" customHeight="1" x14ac:dyDescent="0.3">
      <c r="B26" s="2" t="s">
        <v>81</v>
      </c>
      <c r="C26" s="3">
        <v>6450</v>
      </c>
      <c r="D26" s="3">
        <v>3890</v>
      </c>
      <c r="E26" s="58">
        <f t="shared" si="0"/>
        <v>-2560</v>
      </c>
      <c r="F26" s="6">
        <f t="shared" si="1"/>
        <v>-0.39689922480620154</v>
      </c>
      <c r="G26" s="59">
        <f t="shared" si="2"/>
        <v>0.6580976863753214</v>
      </c>
      <c r="H26" s="34">
        <f t="shared" si="3"/>
        <v>10.364199050884492</v>
      </c>
      <c r="I26" s="34">
        <f t="shared" si="4"/>
        <v>5.3055295270188978</v>
      </c>
      <c r="J26" s="34">
        <f t="shared" si="5"/>
        <v>3.6180877611157509</v>
      </c>
      <c r="K26" s="32" t="s">
        <v>269</v>
      </c>
    </row>
    <row r="27" spans="2:11" ht="15.75" customHeight="1" x14ac:dyDescent="0.3">
      <c r="B27" s="8" t="s">
        <v>82</v>
      </c>
      <c r="C27" s="3">
        <v>7500</v>
      </c>
      <c r="D27" s="3">
        <v>4850</v>
      </c>
      <c r="E27" s="58">
        <f t="shared" si="0"/>
        <v>-2650</v>
      </c>
      <c r="F27" s="6">
        <f t="shared" si="1"/>
        <v>-0.35333333333333333</v>
      </c>
      <c r="G27" s="59">
        <f t="shared" si="2"/>
        <v>0.54639175257731964</v>
      </c>
      <c r="H27" s="34">
        <f t="shared" si="3"/>
        <v>8.9346761383924118</v>
      </c>
      <c r="I27" s="34">
        <f t="shared" si="4"/>
        <v>4.5737435024027908</v>
      </c>
      <c r="J27" s="34">
        <f t="shared" si="5"/>
        <v>3.1190487781196894</v>
      </c>
      <c r="K27" s="60" t="s">
        <v>269</v>
      </c>
    </row>
    <row r="28" spans="2:11" ht="15.75" customHeight="1" x14ac:dyDescent="0.3">
      <c r="B28" s="2" t="s">
        <v>83</v>
      </c>
      <c r="C28" s="3">
        <v>3200</v>
      </c>
      <c r="D28" s="3">
        <v>2100</v>
      </c>
      <c r="E28" s="58">
        <f t="shared" si="0"/>
        <v>-1100</v>
      </c>
      <c r="F28" s="6">
        <f t="shared" si="1"/>
        <v>-0.34375</v>
      </c>
      <c r="G28" s="59">
        <f t="shared" si="2"/>
        <v>0.52380952380952372</v>
      </c>
      <c r="H28" s="34">
        <f t="shared" si="3"/>
        <v>8.6331635124974966</v>
      </c>
      <c r="I28" s="34">
        <f t="shared" si="4"/>
        <v>4.4193963954434787</v>
      </c>
      <c r="J28" s="34">
        <f t="shared" si="5"/>
        <v>3.013792295084547</v>
      </c>
      <c r="K28" s="32" t="s">
        <v>269</v>
      </c>
    </row>
    <row r="29" spans="2:11" ht="15.75" customHeight="1" x14ac:dyDescent="0.3">
      <c r="B29" s="8" t="s">
        <v>84</v>
      </c>
      <c r="C29" s="3">
        <v>2450</v>
      </c>
      <c r="D29" s="3">
        <v>1560</v>
      </c>
      <c r="E29" s="58">
        <f t="shared" si="0"/>
        <v>-890</v>
      </c>
      <c r="F29" s="6">
        <f t="shared" si="1"/>
        <v>-0.36326530612244901</v>
      </c>
      <c r="G29" s="59">
        <f t="shared" si="2"/>
        <v>0.57051282051282048</v>
      </c>
      <c r="H29" s="34">
        <f t="shared" si="3"/>
        <v>9.2519099080630234</v>
      </c>
      <c r="I29" s="34">
        <f t="shared" si="4"/>
        <v>4.7361384085302749</v>
      </c>
      <c r="J29" s="34">
        <f t="shared" si="5"/>
        <v>3.2297934303424678</v>
      </c>
      <c r="K29" s="60" t="s">
        <v>269</v>
      </c>
    </row>
    <row r="30" spans="2:11" ht="18" customHeight="1" x14ac:dyDescent="0.3">
      <c r="B30" s="134" t="s">
        <v>272</v>
      </c>
      <c r="C30" s="134"/>
      <c r="D30" s="134"/>
      <c r="E30" s="134"/>
      <c r="F30" s="134"/>
      <c r="G30" s="134"/>
      <c r="H30" s="134"/>
      <c r="I30" s="134"/>
      <c r="J30" s="134"/>
    </row>
  </sheetData>
  <mergeCells count="5">
    <mergeCell ref="B1:J1"/>
    <mergeCell ref="B3:J3"/>
    <mergeCell ref="B16:J16"/>
    <mergeCell ref="B18:J18"/>
    <mergeCell ref="B30:J3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25"/>
  <sheetViews>
    <sheetView showGridLines="0" topLeftCell="A19" zoomScaleNormal="100" workbookViewId="0">
      <selection activeCell="D30" sqref="D30"/>
    </sheetView>
  </sheetViews>
  <sheetFormatPr defaultColWidth="8.6640625" defaultRowHeight="14.4" x14ac:dyDescent="0.3"/>
  <cols>
    <col min="1" max="1" width="3" customWidth="1"/>
    <col min="2" max="2" width="28" customWidth="1"/>
    <col min="3" max="3" width="20" customWidth="1"/>
    <col min="4" max="4" width="28" customWidth="1"/>
    <col min="5" max="5" width="22" customWidth="1"/>
    <col min="6" max="6" width="20" customWidth="1"/>
  </cols>
  <sheetData>
    <row r="1" spans="2:7" ht="33.75" customHeight="1" x14ac:dyDescent="0.3">
      <c r="B1" s="127" t="s">
        <v>329</v>
      </c>
      <c r="C1" s="127"/>
      <c r="D1" s="127"/>
      <c r="E1" s="127"/>
      <c r="F1" s="127"/>
    </row>
    <row r="3" spans="2:7" ht="30" customHeight="1" x14ac:dyDescent="0.3">
      <c r="B3" s="138" t="s">
        <v>332</v>
      </c>
      <c r="C3" s="138"/>
      <c r="D3" s="138"/>
      <c r="E3" s="138"/>
      <c r="F3" s="138"/>
    </row>
    <row r="5" spans="2:7" ht="19.5" customHeight="1" x14ac:dyDescent="0.3">
      <c r="B5" s="124" t="s">
        <v>273</v>
      </c>
      <c r="C5" s="124"/>
      <c r="D5" s="124"/>
      <c r="E5" s="124"/>
      <c r="F5" s="124"/>
    </row>
    <row r="6" spans="2:7" ht="18" customHeight="1" x14ac:dyDescent="0.3">
      <c r="B6" s="1" t="s">
        <v>274</v>
      </c>
      <c r="C6" s="1" t="s">
        <v>275</v>
      </c>
      <c r="D6" s="1" t="s">
        <v>276</v>
      </c>
      <c r="E6" s="1" t="s">
        <v>277</v>
      </c>
      <c r="F6" s="1" t="s">
        <v>278</v>
      </c>
    </row>
    <row r="7" spans="2:7" ht="54.75" customHeight="1" x14ac:dyDescent="0.3">
      <c r="B7" s="61" t="s">
        <v>279</v>
      </c>
      <c r="C7" s="62" t="s">
        <v>280</v>
      </c>
      <c r="D7" s="63" t="s">
        <v>281</v>
      </c>
      <c r="E7" s="64" t="s">
        <v>282</v>
      </c>
      <c r="F7" s="65" t="s">
        <v>283</v>
      </c>
    </row>
    <row r="8" spans="2:7" ht="54.75" customHeight="1" x14ac:dyDescent="0.3">
      <c r="B8" s="66" t="s">
        <v>284</v>
      </c>
      <c r="C8" s="67" t="s">
        <v>285</v>
      </c>
      <c r="D8" s="68" t="s">
        <v>286</v>
      </c>
      <c r="E8" s="69" t="s">
        <v>287</v>
      </c>
      <c r="F8" s="29" t="s">
        <v>288</v>
      </c>
    </row>
    <row r="9" spans="2:7" ht="54.75" customHeight="1" x14ac:dyDescent="0.3">
      <c r="B9" s="70" t="s">
        <v>289</v>
      </c>
      <c r="C9" s="71" t="s">
        <v>290</v>
      </c>
      <c r="D9" s="72" t="s">
        <v>291</v>
      </c>
      <c r="E9" s="73" t="s">
        <v>292</v>
      </c>
      <c r="F9" s="74" t="s">
        <v>293</v>
      </c>
    </row>
    <row r="11" spans="2:7" ht="19.5" customHeight="1" x14ac:dyDescent="0.3">
      <c r="B11" s="139" t="s">
        <v>294</v>
      </c>
      <c r="C11" s="139"/>
      <c r="D11" s="139"/>
      <c r="E11" s="139"/>
      <c r="F11" s="139"/>
    </row>
    <row r="12" spans="2:7" ht="18" customHeight="1" x14ac:dyDescent="0.3">
      <c r="B12" s="1" t="s">
        <v>295</v>
      </c>
      <c r="C12" s="75" t="s">
        <v>296</v>
      </c>
      <c r="D12" s="75" t="s">
        <v>297</v>
      </c>
      <c r="E12" s="75" t="s">
        <v>298</v>
      </c>
      <c r="F12" s="1" t="s">
        <v>299</v>
      </c>
    </row>
    <row r="13" spans="2:7" ht="18" customHeight="1" x14ac:dyDescent="0.3">
      <c r="B13" s="41" t="s">
        <v>300</v>
      </c>
      <c r="C13" s="76">
        <v>4</v>
      </c>
      <c r="D13" s="76">
        <v>5</v>
      </c>
      <c r="E13" s="77">
        <f t="shared" ref="E13:E22" si="0">C13*D13</f>
        <v>20</v>
      </c>
      <c r="F13" s="43" t="s">
        <v>301</v>
      </c>
      <c r="G13" s="44" t="s">
        <v>302</v>
      </c>
    </row>
    <row r="14" spans="2:7" ht="18" customHeight="1" x14ac:dyDescent="0.3">
      <c r="B14" s="41" t="s">
        <v>303</v>
      </c>
      <c r="C14" s="76">
        <v>4</v>
      </c>
      <c r="D14" s="76">
        <v>4</v>
      </c>
      <c r="E14" s="77">
        <f t="shared" si="0"/>
        <v>16</v>
      </c>
      <c r="F14" s="43" t="s">
        <v>304</v>
      </c>
      <c r="G14" s="44" t="s">
        <v>305</v>
      </c>
    </row>
    <row r="15" spans="2:7" ht="18" customHeight="1" x14ac:dyDescent="0.3">
      <c r="B15" s="41" t="s">
        <v>306</v>
      </c>
      <c r="C15" s="76">
        <v>3</v>
      </c>
      <c r="D15" s="76">
        <v>5</v>
      </c>
      <c r="E15" s="77">
        <f t="shared" si="0"/>
        <v>15</v>
      </c>
      <c r="F15" s="43" t="s">
        <v>304</v>
      </c>
      <c r="G15" s="44" t="s">
        <v>307</v>
      </c>
    </row>
    <row r="16" spans="2:7" ht="18" customHeight="1" x14ac:dyDescent="0.3">
      <c r="B16" s="78" t="s">
        <v>308</v>
      </c>
      <c r="C16" s="76">
        <v>3</v>
      </c>
      <c r="D16" s="76">
        <v>4</v>
      </c>
      <c r="E16" s="79">
        <f t="shared" si="0"/>
        <v>12</v>
      </c>
      <c r="F16" s="80" t="s">
        <v>309</v>
      </c>
      <c r="G16" s="81" t="s">
        <v>310</v>
      </c>
    </row>
    <row r="17" spans="2:7" ht="18" customHeight="1" x14ac:dyDescent="0.3">
      <c r="B17" s="78" t="s">
        <v>311</v>
      </c>
      <c r="C17" s="76">
        <v>2</v>
      </c>
      <c r="D17" s="76">
        <v>4</v>
      </c>
      <c r="E17" s="79">
        <f t="shared" si="0"/>
        <v>8</v>
      </c>
      <c r="F17" s="80" t="s">
        <v>309</v>
      </c>
      <c r="G17" s="81" t="s">
        <v>312</v>
      </c>
    </row>
    <row r="18" spans="2:7" ht="18" customHeight="1" x14ac:dyDescent="0.3">
      <c r="B18" s="78" t="s">
        <v>313</v>
      </c>
      <c r="C18" s="76">
        <v>3</v>
      </c>
      <c r="D18" s="76">
        <v>3</v>
      </c>
      <c r="E18" s="79">
        <f t="shared" si="0"/>
        <v>9</v>
      </c>
      <c r="F18" s="80" t="s">
        <v>309</v>
      </c>
      <c r="G18" s="81" t="s">
        <v>314</v>
      </c>
    </row>
    <row r="19" spans="2:7" ht="18" customHeight="1" x14ac:dyDescent="0.3">
      <c r="B19" s="78" t="s">
        <v>315</v>
      </c>
      <c r="C19" s="76">
        <v>4</v>
      </c>
      <c r="D19" s="76">
        <v>3</v>
      </c>
      <c r="E19" s="79">
        <f t="shared" si="0"/>
        <v>12</v>
      </c>
      <c r="F19" s="80" t="s">
        <v>316</v>
      </c>
      <c r="G19" s="81" t="s">
        <v>317</v>
      </c>
    </row>
    <row r="20" spans="2:7" ht="18" customHeight="1" x14ac:dyDescent="0.3">
      <c r="B20" s="78" t="s">
        <v>318</v>
      </c>
      <c r="C20" s="76">
        <v>4</v>
      </c>
      <c r="D20" s="76">
        <v>3</v>
      </c>
      <c r="E20" s="79">
        <f t="shared" si="0"/>
        <v>12</v>
      </c>
      <c r="F20" s="80" t="s">
        <v>316</v>
      </c>
      <c r="G20" s="81" t="s">
        <v>319</v>
      </c>
    </row>
    <row r="21" spans="2:7" ht="18" customHeight="1" x14ac:dyDescent="0.3">
      <c r="B21" s="82" t="s">
        <v>320</v>
      </c>
      <c r="C21" s="76">
        <v>2</v>
      </c>
      <c r="D21" s="76">
        <v>3</v>
      </c>
      <c r="E21" s="83">
        <f t="shared" si="0"/>
        <v>6</v>
      </c>
      <c r="F21" s="74" t="s">
        <v>321</v>
      </c>
      <c r="G21" s="84" t="s">
        <v>322</v>
      </c>
    </row>
    <row r="22" spans="2:7" ht="18" customHeight="1" x14ac:dyDescent="0.3">
      <c r="B22" s="82" t="s">
        <v>323</v>
      </c>
      <c r="C22" s="76">
        <v>1</v>
      </c>
      <c r="D22" s="76">
        <v>3</v>
      </c>
      <c r="E22" s="83">
        <f t="shared" si="0"/>
        <v>3</v>
      </c>
      <c r="F22" s="74" t="s">
        <v>321</v>
      </c>
      <c r="G22" s="84" t="s">
        <v>324</v>
      </c>
    </row>
    <row r="24" spans="2:7" ht="54.75" customHeight="1" x14ac:dyDescent="0.3">
      <c r="B24" s="140"/>
      <c r="C24" s="140"/>
      <c r="D24" s="140"/>
      <c r="E24" s="140"/>
      <c r="F24" s="140"/>
    </row>
    <row r="25" spans="2:7" x14ac:dyDescent="0.3">
      <c r="B25" s="140"/>
      <c r="C25" s="140"/>
      <c r="D25" s="140"/>
      <c r="E25" s="140"/>
      <c r="F25" s="140"/>
    </row>
  </sheetData>
  <mergeCells count="5">
    <mergeCell ref="B1:F1"/>
    <mergeCell ref="B3:F3"/>
    <mergeCell ref="B5:F5"/>
    <mergeCell ref="B11:F11"/>
    <mergeCell ref="B24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DD91-F98F-4423-80B1-66361CEA8C4F}">
  <dimension ref="A1"/>
  <sheetViews>
    <sheetView workbookViewId="0">
      <selection activeCell="J11" sqref="J11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8FB8-ADBA-4053-B869-436AAD0CE7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75AC-AD1C-4980-8EDC-41BDCD3D84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 Sector Dashboard</vt:lpstr>
      <vt:lpstr>Stock Prices</vt:lpstr>
      <vt:lpstr>Valuation Scorecard</vt:lpstr>
      <vt:lpstr>News &amp; Events</vt:lpstr>
      <vt:lpstr>FII DII</vt:lpstr>
      <vt:lpstr>Return Analysis</vt:lpstr>
      <vt:lpstr>Sector Outlook</vt:lpstr>
      <vt:lpstr>Economical Analysis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Shelar</cp:lastModifiedBy>
  <cp:revision>0</cp:revision>
  <dcterms:created xsi:type="dcterms:W3CDTF">2026-06-23T05:19:30Z</dcterms:created>
  <dcterms:modified xsi:type="dcterms:W3CDTF">2026-06-23T07:36:18Z</dcterms:modified>
  <dc:language>en-US</dc:language>
</cp:coreProperties>
</file>