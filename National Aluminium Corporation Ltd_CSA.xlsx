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CSA\"/>
    </mc:Choice>
  </mc:AlternateContent>
  <xr:revisionPtr revIDLastSave="0" documentId="13_ncr:1_{AD8714C7-0AAE-4D64-BDAB-160685E776C7}" xr6:coauthVersionLast="47" xr6:coauthVersionMax="47" xr10:uidLastSave="{00000000-0000-0000-0000-000000000000}"/>
  <bookViews>
    <workbookView xWindow="-110" yWindow="-110" windowWidth="19420" windowHeight="11500" tabRatio="500" firstSheet="10" activeTab="13" xr2:uid="{00000000-000D-0000-FFFF-FFFF00000000}"/>
  </bookViews>
  <sheets>
    <sheet name="About" sheetId="1" r:id="rId1"/>
    <sheet name="Promoters" sheetId="2" r:id="rId2"/>
    <sheet name="Consolidated FS" sheetId="3" r:id="rId3"/>
    <sheet name="Beta" sheetId="4" r:id="rId4"/>
    <sheet name="Assumptions" sheetId="5" r:id="rId5"/>
    <sheet name="Ratios" sheetId="6" r:id="rId6"/>
    <sheet name="Fixed Asset Schedule" sheetId="7" r:id="rId7"/>
    <sheet name="FCFF" sheetId="8" r:id="rId8"/>
    <sheet name="Changes in WC" sheetId="9" r:id="rId9"/>
    <sheet name="WACC" sheetId="10" r:id="rId10"/>
    <sheet name="Raw FS Valuation" sheetId="11" r:id="rId11"/>
    <sheet name="Relative Valuation" sheetId="12" r:id="rId12"/>
    <sheet name="Growth scenerio" sheetId="13" r:id="rId13"/>
    <sheet name="DCF" sheetId="14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0" i="14" l="1"/>
  <c r="D26" i="14"/>
  <c r="D25" i="14"/>
  <c r="N5" i="14"/>
  <c r="C23" i="13"/>
  <c r="C12" i="13"/>
  <c r="C18" i="13" s="1"/>
  <c r="C6" i="13"/>
  <c r="D19" i="12"/>
  <c r="E19" i="12" s="1"/>
  <c r="F19" i="12" s="1"/>
  <c r="L12" i="12"/>
  <c r="M12" i="12" s="1"/>
  <c r="J12" i="12"/>
  <c r="H12" i="12"/>
  <c r="G12" i="12"/>
  <c r="F12" i="12"/>
  <c r="D12" i="12"/>
  <c r="C12" i="12"/>
  <c r="E12" i="12" s="1"/>
  <c r="L11" i="12"/>
  <c r="M11" i="12" s="1"/>
  <c r="J11" i="12"/>
  <c r="G11" i="12"/>
  <c r="F11" i="12"/>
  <c r="E11" i="12"/>
  <c r="H11" i="12" s="1"/>
  <c r="D11" i="12"/>
  <c r="Q11" i="12" s="1"/>
  <c r="C11" i="12"/>
  <c r="L10" i="12"/>
  <c r="M10" i="12" s="1"/>
  <c r="J10" i="12"/>
  <c r="G10" i="12"/>
  <c r="F10" i="12"/>
  <c r="D10" i="12"/>
  <c r="C10" i="12"/>
  <c r="E10" i="12" s="1"/>
  <c r="H10" i="12" s="1"/>
  <c r="L9" i="12"/>
  <c r="J9" i="12"/>
  <c r="G9" i="12"/>
  <c r="F9" i="12"/>
  <c r="D9" i="12"/>
  <c r="C9" i="12"/>
  <c r="M9" i="12" s="1"/>
  <c r="Q9" i="12" s="1"/>
  <c r="P8" i="12"/>
  <c r="O8" i="12"/>
  <c r="M8" i="12"/>
  <c r="Q8" i="12" s="1"/>
  <c r="L8" i="12"/>
  <c r="J8" i="12"/>
  <c r="G8" i="12"/>
  <c r="F8" i="12"/>
  <c r="D8" i="12"/>
  <c r="E8" i="12" s="1"/>
  <c r="H8" i="12" s="1"/>
  <c r="K8" i="12" s="1"/>
  <c r="C8" i="12"/>
  <c r="L7" i="12"/>
  <c r="M7" i="12" s="1"/>
  <c r="J7" i="12"/>
  <c r="G7" i="12"/>
  <c r="F7" i="12"/>
  <c r="D17" i="12" s="1"/>
  <c r="E17" i="12" s="1"/>
  <c r="D7" i="12"/>
  <c r="C7" i="12"/>
  <c r="E7" i="12" s="1"/>
  <c r="H7" i="12" s="1"/>
  <c r="C24" i="10"/>
  <c r="D6" i="10"/>
  <c r="D6" i="9"/>
  <c r="C6" i="9"/>
  <c r="D7" i="9" s="1"/>
  <c r="G5" i="9"/>
  <c r="F5" i="9"/>
  <c r="E5" i="9"/>
  <c r="D5" i="9"/>
  <c r="C5" i="9"/>
  <c r="G4" i="9"/>
  <c r="F4" i="9"/>
  <c r="E4" i="9"/>
  <c r="D4" i="9"/>
  <c r="C4" i="9"/>
  <c r="G3" i="9"/>
  <c r="F3" i="9"/>
  <c r="E3" i="9"/>
  <c r="D3" i="9"/>
  <c r="C3" i="9"/>
  <c r="C8" i="8"/>
  <c r="D9" i="7"/>
  <c r="G7" i="7"/>
  <c r="G5" i="7" s="1"/>
  <c r="F7" i="7"/>
  <c r="G3" i="7" s="1"/>
  <c r="E7" i="7"/>
  <c r="F3" i="7" s="1"/>
  <c r="D7" i="7"/>
  <c r="E3" i="7" s="1"/>
  <c r="C7" i="7"/>
  <c r="G6" i="7"/>
  <c r="F6" i="7"/>
  <c r="E6" i="7"/>
  <c r="D6" i="7"/>
  <c r="D5" i="7" s="1"/>
  <c r="C6" i="7"/>
  <c r="D4" i="7"/>
  <c r="D3" i="7"/>
  <c r="G22" i="6"/>
  <c r="F22" i="6"/>
  <c r="E22" i="6"/>
  <c r="D22" i="6"/>
  <c r="G21" i="6"/>
  <c r="F21" i="6"/>
  <c r="E21" i="6"/>
  <c r="D21" i="6"/>
  <c r="G5" i="6"/>
  <c r="F5" i="6"/>
  <c r="E5" i="6"/>
  <c r="G36" i="5"/>
  <c r="F36" i="5"/>
  <c r="E36" i="5"/>
  <c r="D36" i="5"/>
  <c r="C36" i="5"/>
  <c r="G35" i="5"/>
  <c r="C7" i="10" s="1"/>
  <c r="D7" i="10" s="1"/>
  <c r="F35" i="5"/>
  <c r="C22" i="10" s="1"/>
  <c r="E35" i="5"/>
  <c r="D35" i="5"/>
  <c r="C35" i="5"/>
  <c r="C37" i="5" s="1"/>
  <c r="G34" i="5"/>
  <c r="G37" i="5" s="1"/>
  <c r="F34" i="5"/>
  <c r="F37" i="5" s="1"/>
  <c r="E34" i="5"/>
  <c r="E37" i="5" s="1"/>
  <c r="D34" i="5"/>
  <c r="D37" i="5" s="1"/>
  <c r="C34" i="5"/>
  <c r="G13" i="5"/>
  <c r="C21" i="10" s="1"/>
  <c r="C23" i="10" s="1"/>
  <c r="C25" i="10" s="1"/>
  <c r="C30" i="10" s="1"/>
  <c r="F13" i="5"/>
  <c r="E13" i="5"/>
  <c r="D13" i="5"/>
  <c r="C13" i="5"/>
  <c r="G12" i="5"/>
  <c r="F12" i="5"/>
  <c r="E12" i="5"/>
  <c r="D12" i="5"/>
  <c r="C12" i="5"/>
  <c r="G10" i="5"/>
  <c r="F10" i="5"/>
  <c r="E10" i="5"/>
  <c r="D10" i="5"/>
  <c r="C10" i="5"/>
  <c r="G7" i="5"/>
  <c r="E7" i="5"/>
  <c r="F6" i="5"/>
  <c r="E6" i="5"/>
  <c r="E5" i="5" s="1"/>
  <c r="E8" i="5" s="1"/>
  <c r="G4" i="5"/>
  <c r="G3" i="5"/>
  <c r="F3" i="5"/>
  <c r="F4" i="5" s="1"/>
  <c r="E3" i="5"/>
  <c r="D3" i="5"/>
  <c r="C3" i="5"/>
  <c r="G1485" i="4"/>
  <c r="C1485" i="4"/>
  <c r="G1484" i="4"/>
  <c r="C1484" i="4"/>
  <c r="G1483" i="4"/>
  <c r="C1483" i="4"/>
  <c r="G1482" i="4"/>
  <c r="C1482" i="4"/>
  <c r="G1481" i="4"/>
  <c r="C1481" i="4"/>
  <c r="G1480" i="4"/>
  <c r="C1480" i="4"/>
  <c r="G1479" i="4"/>
  <c r="C1479" i="4"/>
  <c r="G1478" i="4"/>
  <c r="C1478" i="4"/>
  <c r="G1477" i="4"/>
  <c r="C1477" i="4"/>
  <c r="G1476" i="4"/>
  <c r="C1476" i="4"/>
  <c r="G1475" i="4"/>
  <c r="C1475" i="4"/>
  <c r="G1474" i="4"/>
  <c r="C1474" i="4"/>
  <c r="G1473" i="4"/>
  <c r="C1473" i="4"/>
  <c r="G1472" i="4"/>
  <c r="C1472" i="4"/>
  <c r="G1471" i="4"/>
  <c r="C1471" i="4"/>
  <c r="G1470" i="4"/>
  <c r="C1470" i="4"/>
  <c r="G1469" i="4"/>
  <c r="C1469" i="4"/>
  <c r="G1468" i="4"/>
  <c r="C1468" i="4"/>
  <c r="G1467" i="4"/>
  <c r="C1467" i="4"/>
  <c r="G1466" i="4"/>
  <c r="C1466" i="4"/>
  <c r="G1465" i="4"/>
  <c r="C1465" i="4"/>
  <c r="G1464" i="4"/>
  <c r="C1464" i="4"/>
  <c r="G1463" i="4"/>
  <c r="C1463" i="4"/>
  <c r="G1462" i="4"/>
  <c r="C1462" i="4"/>
  <c r="G1461" i="4"/>
  <c r="C1461" i="4"/>
  <c r="G1460" i="4"/>
  <c r="C1460" i="4"/>
  <c r="G1459" i="4"/>
  <c r="C1459" i="4"/>
  <c r="G1458" i="4"/>
  <c r="C1458" i="4"/>
  <c r="G1457" i="4"/>
  <c r="C1457" i="4"/>
  <c r="G1456" i="4"/>
  <c r="C1456" i="4"/>
  <c r="G1455" i="4"/>
  <c r="C1455" i="4"/>
  <c r="G1454" i="4"/>
  <c r="C1454" i="4"/>
  <c r="G1453" i="4"/>
  <c r="C1453" i="4"/>
  <c r="G1452" i="4"/>
  <c r="C1452" i="4"/>
  <c r="G1451" i="4"/>
  <c r="C1451" i="4"/>
  <c r="G1450" i="4"/>
  <c r="C1450" i="4"/>
  <c r="G1449" i="4"/>
  <c r="C1449" i="4"/>
  <c r="G1448" i="4"/>
  <c r="C1448" i="4"/>
  <c r="G1447" i="4"/>
  <c r="C1447" i="4"/>
  <c r="G1446" i="4"/>
  <c r="C1446" i="4"/>
  <c r="G1445" i="4"/>
  <c r="C1445" i="4"/>
  <c r="G1444" i="4"/>
  <c r="C1444" i="4"/>
  <c r="G1443" i="4"/>
  <c r="C1443" i="4"/>
  <c r="G1442" i="4"/>
  <c r="C1442" i="4"/>
  <c r="G1441" i="4"/>
  <c r="C1441" i="4"/>
  <c r="G1440" i="4"/>
  <c r="C1440" i="4"/>
  <c r="G1439" i="4"/>
  <c r="C1439" i="4"/>
  <c r="G1438" i="4"/>
  <c r="C1438" i="4"/>
  <c r="G1437" i="4"/>
  <c r="C1437" i="4"/>
  <c r="G1436" i="4"/>
  <c r="C1436" i="4"/>
  <c r="G1435" i="4"/>
  <c r="C1435" i="4"/>
  <c r="G1434" i="4"/>
  <c r="C1434" i="4"/>
  <c r="G1433" i="4"/>
  <c r="C1433" i="4"/>
  <c r="G1432" i="4"/>
  <c r="C1432" i="4"/>
  <c r="G1431" i="4"/>
  <c r="C1431" i="4"/>
  <c r="G1430" i="4"/>
  <c r="C1430" i="4"/>
  <c r="G1429" i="4"/>
  <c r="C1429" i="4"/>
  <c r="G1428" i="4"/>
  <c r="C1428" i="4"/>
  <c r="G1427" i="4"/>
  <c r="C1427" i="4"/>
  <c r="G1426" i="4"/>
  <c r="C1426" i="4"/>
  <c r="G1425" i="4"/>
  <c r="C1425" i="4"/>
  <c r="G1424" i="4"/>
  <c r="C1424" i="4"/>
  <c r="G1423" i="4"/>
  <c r="C1423" i="4"/>
  <c r="G1422" i="4"/>
  <c r="C1422" i="4"/>
  <c r="G1421" i="4"/>
  <c r="C1421" i="4"/>
  <c r="G1420" i="4"/>
  <c r="C1420" i="4"/>
  <c r="G1419" i="4"/>
  <c r="C1419" i="4"/>
  <c r="G1418" i="4"/>
  <c r="C1418" i="4"/>
  <c r="G1417" i="4"/>
  <c r="C1417" i="4"/>
  <c r="G1416" i="4"/>
  <c r="C1416" i="4"/>
  <c r="G1415" i="4"/>
  <c r="C1415" i="4"/>
  <c r="G1414" i="4"/>
  <c r="C1414" i="4"/>
  <c r="G1413" i="4"/>
  <c r="C1413" i="4"/>
  <c r="G1412" i="4"/>
  <c r="C1412" i="4"/>
  <c r="G1411" i="4"/>
  <c r="C1411" i="4"/>
  <c r="G1410" i="4"/>
  <c r="C1410" i="4"/>
  <c r="G1409" i="4"/>
  <c r="C1409" i="4"/>
  <c r="G1408" i="4"/>
  <c r="C1408" i="4"/>
  <c r="G1407" i="4"/>
  <c r="C1407" i="4"/>
  <c r="G1406" i="4"/>
  <c r="C1406" i="4"/>
  <c r="G1405" i="4"/>
  <c r="C1405" i="4"/>
  <c r="G1404" i="4"/>
  <c r="C1404" i="4"/>
  <c r="G1403" i="4"/>
  <c r="C1403" i="4"/>
  <c r="G1402" i="4"/>
  <c r="C1402" i="4"/>
  <c r="G1401" i="4"/>
  <c r="C1401" i="4"/>
  <c r="G1400" i="4"/>
  <c r="C1400" i="4"/>
  <c r="G1399" i="4"/>
  <c r="C1399" i="4"/>
  <c r="G1398" i="4"/>
  <c r="C1398" i="4"/>
  <c r="G1397" i="4"/>
  <c r="C1397" i="4"/>
  <c r="G1396" i="4"/>
  <c r="C1396" i="4"/>
  <c r="G1395" i="4"/>
  <c r="C1395" i="4"/>
  <c r="G1394" i="4"/>
  <c r="C1394" i="4"/>
  <c r="G1393" i="4"/>
  <c r="C1393" i="4"/>
  <c r="G1392" i="4"/>
  <c r="C1392" i="4"/>
  <c r="G1391" i="4"/>
  <c r="C1391" i="4"/>
  <c r="G1390" i="4"/>
  <c r="C1390" i="4"/>
  <c r="G1389" i="4"/>
  <c r="C1389" i="4"/>
  <c r="G1388" i="4"/>
  <c r="C1388" i="4"/>
  <c r="G1387" i="4"/>
  <c r="C1387" i="4"/>
  <c r="G1386" i="4"/>
  <c r="C1386" i="4"/>
  <c r="G1385" i="4"/>
  <c r="C1385" i="4"/>
  <c r="G1384" i="4"/>
  <c r="C1384" i="4"/>
  <c r="G1383" i="4"/>
  <c r="C1383" i="4"/>
  <c r="G1382" i="4"/>
  <c r="C1382" i="4"/>
  <c r="G1381" i="4"/>
  <c r="C1381" i="4"/>
  <c r="G1380" i="4"/>
  <c r="C1380" i="4"/>
  <c r="G1379" i="4"/>
  <c r="C1379" i="4"/>
  <c r="G1378" i="4"/>
  <c r="C1378" i="4"/>
  <c r="G1377" i="4"/>
  <c r="C1377" i="4"/>
  <c r="G1376" i="4"/>
  <c r="C1376" i="4"/>
  <c r="G1375" i="4"/>
  <c r="C1375" i="4"/>
  <c r="G1374" i="4"/>
  <c r="C1374" i="4"/>
  <c r="G1373" i="4"/>
  <c r="C1373" i="4"/>
  <c r="G1372" i="4"/>
  <c r="C1372" i="4"/>
  <c r="G1371" i="4"/>
  <c r="C1371" i="4"/>
  <c r="G1370" i="4"/>
  <c r="C1370" i="4"/>
  <c r="G1369" i="4"/>
  <c r="C1369" i="4"/>
  <c r="G1368" i="4"/>
  <c r="C1368" i="4"/>
  <c r="G1367" i="4"/>
  <c r="C1367" i="4"/>
  <c r="G1366" i="4"/>
  <c r="C1366" i="4"/>
  <c r="G1365" i="4"/>
  <c r="C1365" i="4"/>
  <c r="G1364" i="4"/>
  <c r="C1364" i="4"/>
  <c r="G1363" i="4"/>
  <c r="C1363" i="4"/>
  <c r="G1362" i="4"/>
  <c r="C1362" i="4"/>
  <c r="G1361" i="4"/>
  <c r="C1361" i="4"/>
  <c r="G1360" i="4"/>
  <c r="C1360" i="4"/>
  <c r="G1359" i="4"/>
  <c r="C1359" i="4"/>
  <c r="G1358" i="4"/>
  <c r="C1358" i="4"/>
  <c r="G1357" i="4"/>
  <c r="C1357" i="4"/>
  <c r="G1356" i="4"/>
  <c r="C1356" i="4"/>
  <c r="G1355" i="4"/>
  <c r="C1355" i="4"/>
  <c r="G1354" i="4"/>
  <c r="C1354" i="4"/>
  <c r="G1353" i="4"/>
  <c r="C1353" i="4"/>
  <c r="G1352" i="4"/>
  <c r="C1352" i="4"/>
  <c r="G1351" i="4"/>
  <c r="C1351" i="4"/>
  <c r="G1350" i="4"/>
  <c r="C1350" i="4"/>
  <c r="G1349" i="4"/>
  <c r="C1349" i="4"/>
  <c r="G1348" i="4"/>
  <c r="C1348" i="4"/>
  <c r="G1347" i="4"/>
  <c r="C1347" i="4"/>
  <c r="G1346" i="4"/>
  <c r="C1346" i="4"/>
  <c r="G1345" i="4"/>
  <c r="C1345" i="4"/>
  <c r="G1344" i="4"/>
  <c r="C1344" i="4"/>
  <c r="G1343" i="4"/>
  <c r="C1343" i="4"/>
  <c r="G1342" i="4"/>
  <c r="C1342" i="4"/>
  <c r="G1341" i="4"/>
  <c r="C1341" i="4"/>
  <c r="G1340" i="4"/>
  <c r="C1340" i="4"/>
  <c r="G1339" i="4"/>
  <c r="C1339" i="4"/>
  <c r="G1338" i="4"/>
  <c r="C1338" i="4"/>
  <c r="G1337" i="4"/>
  <c r="C1337" i="4"/>
  <c r="G1336" i="4"/>
  <c r="C1336" i="4"/>
  <c r="G1335" i="4"/>
  <c r="C1335" i="4"/>
  <c r="G1334" i="4"/>
  <c r="C1334" i="4"/>
  <c r="G1333" i="4"/>
  <c r="C1333" i="4"/>
  <c r="G1332" i="4"/>
  <c r="C1332" i="4"/>
  <c r="G1331" i="4"/>
  <c r="C1331" i="4"/>
  <c r="G1330" i="4"/>
  <c r="C1330" i="4"/>
  <c r="G1329" i="4"/>
  <c r="C1329" i="4"/>
  <c r="G1328" i="4"/>
  <c r="C1328" i="4"/>
  <c r="G1327" i="4"/>
  <c r="C1327" i="4"/>
  <c r="G1326" i="4"/>
  <c r="C1326" i="4"/>
  <c r="G1325" i="4"/>
  <c r="C1325" i="4"/>
  <c r="G1324" i="4"/>
  <c r="C1324" i="4"/>
  <c r="G1323" i="4"/>
  <c r="C1323" i="4"/>
  <c r="G1322" i="4"/>
  <c r="C1322" i="4"/>
  <c r="G1321" i="4"/>
  <c r="C1321" i="4"/>
  <c r="G1320" i="4"/>
  <c r="C1320" i="4"/>
  <c r="G1319" i="4"/>
  <c r="C1319" i="4"/>
  <c r="G1318" i="4"/>
  <c r="C1318" i="4"/>
  <c r="G1317" i="4"/>
  <c r="C1317" i="4"/>
  <c r="G1316" i="4"/>
  <c r="C1316" i="4"/>
  <c r="G1315" i="4"/>
  <c r="C1315" i="4"/>
  <c r="G1314" i="4"/>
  <c r="C1314" i="4"/>
  <c r="G1313" i="4"/>
  <c r="C1313" i="4"/>
  <c r="G1312" i="4"/>
  <c r="C1312" i="4"/>
  <c r="G1311" i="4"/>
  <c r="C1311" i="4"/>
  <c r="G1310" i="4"/>
  <c r="C1310" i="4"/>
  <c r="G1309" i="4"/>
  <c r="C1309" i="4"/>
  <c r="G1308" i="4"/>
  <c r="C1308" i="4"/>
  <c r="G1307" i="4"/>
  <c r="C1307" i="4"/>
  <c r="G1306" i="4"/>
  <c r="C1306" i="4"/>
  <c r="G1305" i="4"/>
  <c r="C1305" i="4"/>
  <c r="G1304" i="4"/>
  <c r="C1304" i="4"/>
  <c r="G1303" i="4"/>
  <c r="C1303" i="4"/>
  <c r="G1302" i="4"/>
  <c r="C1302" i="4"/>
  <c r="G1301" i="4"/>
  <c r="C1301" i="4"/>
  <c r="G1300" i="4"/>
  <c r="C1300" i="4"/>
  <c r="G1299" i="4"/>
  <c r="C1299" i="4"/>
  <c r="G1298" i="4"/>
  <c r="C1298" i="4"/>
  <c r="G1297" i="4"/>
  <c r="C1297" i="4"/>
  <c r="G1296" i="4"/>
  <c r="C1296" i="4"/>
  <c r="G1295" i="4"/>
  <c r="C1295" i="4"/>
  <c r="G1294" i="4"/>
  <c r="C1294" i="4"/>
  <c r="G1293" i="4"/>
  <c r="C1293" i="4"/>
  <c r="G1292" i="4"/>
  <c r="C1292" i="4"/>
  <c r="G1291" i="4"/>
  <c r="C1291" i="4"/>
  <c r="G1290" i="4"/>
  <c r="C1290" i="4"/>
  <c r="G1289" i="4"/>
  <c r="C1289" i="4"/>
  <c r="G1288" i="4"/>
  <c r="C1288" i="4"/>
  <c r="G1287" i="4"/>
  <c r="C1287" i="4"/>
  <c r="G1286" i="4"/>
  <c r="C1286" i="4"/>
  <c r="G1285" i="4"/>
  <c r="C1285" i="4"/>
  <c r="G1284" i="4"/>
  <c r="C1284" i="4"/>
  <c r="G1283" i="4"/>
  <c r="C1283" i="4"/>
  <c r="G1282" i="4"/>
  <c r="C1282" i="4"/>
  <c r="G1281" i="4"/>
  <c r="C1281" i="4"/>
  <c r="G1280" i="4"/>
  <c r="C1280" i="4"/>
  <c r="G1279" i="4"/>
  <c r="C1279" i="4"/>
  <c r="G1278" i="4"/>
  <c r="C1278" i="4"/>
  <c r="G1277" i="4"/>
  <c r="C1277" i="4"/>
  <c r="G1276" i="4"/>
  <c r="C1276" i="4"/>
  <c r="G1275" i="4"/>
  <c r="C1275" i="4"/>
  <c r="G1274" i="4"/>
  <c r="C1274" i="4"/>
  <c r="G1273" i="4"/>
  <c r="C1273" i="4"/>
  <c r="G1272" i="4"/>
  <c r="C1272" i="4"/>
  <c r="G1271" i="4"/>
  <c r="C1271" i="4"/>
  <c r="G1270" i="4"/>
  <c r="C1270" i="4"/>
  <c r="G1269" i="4"/>
  <c r="C1269" i="4"/>
  <c r="G1268" i="4"/>
  <c r="C1268" i="4"/>
  <c r="G1267" i="4"/>
  <c r="C1267" i="4"/>
  <c r="G1266" i="4"/>
  <c r="C1266" i="4"/>
  <c r="G1265" i="4"/>
  <c r="C1265" i="4"/>
  <c r="G1264" i="4"/>
  <c r="C1264" i="4"/>
  <c r="G1263" i="4"/>
  <c r="C1263" i="4"/>
  <c r="G1262" i="4"/>
  <c r="C1262" i="4"/>
  <c r="G1261" i="4"/>
  <c r="C1261" i="4"/>
  <c r="G1260" i="4"/>
  <c r="C1260" i="4"/>
  <c r="G1259" i="4"/>
  <c r="C1259" i="4"/>
  <c r="G1258" i="4"/>
  <c r="C1258" i="4"/>
  <c r="G1257" i="4"/>
  <c r="C1257" i="4"/>
  <c r="G1256" i="4"/>
  <c r="C1256" i="4"/>
  <c r="G1255" i="4"/>
  <c r="C1255" i="4"/>
  <c r="G1254" i="4"/>
  <c r="C1254" i="4"/>
  <c r="G1253" i="4"/>
  <c r="C1253" i="4"/>
  <c r="G1252" i="4"/>
  <c r="C1252" i="4"/>
  <c r="G1251" i="4"/>
  <c r="C1251" i="4"/>
  <c r="G1250" i="4"/>
  <c r="C1250" i="4"/>
  <c r="G1249" i="4"/>
  <c r="C1249" i="4"/>
  <c r="G1248" i="4"/>
  <c r="C1248" i="4"/>
  <c r="G1247" i="4"/>
  <c r="C1247" i="4"/>
  <c r="G1246" i="4"/>
  <c r="C1246" i="4"/>
  <c r="G1245" i="4"/>
  <c r="C1245" i="4"/>
  <c r="G1244" i="4"/>
  <c r="C1244" i="4"/>
  <c r="G1243" i="4"/>
  <c r="C1243" i="4"/>
  <c r="G1242" i="4"/>
  <c r="C1242" i="4"/>
  <c r="G1241" i="4"/>
  <c r="C1241" i="4"/>
  <c r="G1240" i="4"/>
  <c r="C1240" i="4"/>
  <c r="G1239" i="4"/>
  <c r="C1239" i="4"/>
  <c r="G1238" i="4"/>
  <c r="C1238" i="4"/>
  <c r="G1237" i="4"/>
  <c r="C1237" i="4"/>
  <c r="G1236" i="4"/>
  <c r="C1236" i="4"/>
  <c r="G1235" i="4"/>
  <c r="C1235" i="4"/>
  <c r="G1234" i="4"/>
  <c r="C1234" i="4"/>
  <c r="G1233" i="4"/>
  <c r="C1233" i="4"/>
  <c r="G1232" i="4"/>
  <c r="C1232" i="4"/>
  <c r="G1231" i="4"/>
  <c r="C1231" i="4"/>
  <c r="G1230" i="4"/>
  <c r="C1230" i="4"/>
  <c r="G1229" i="4"/>
  <c r="C1229" i="4"/>
  <c r="G1228" i="4"/>
  <c r="C1228" i="4"/>
  <c r="G1227" i="4"/>
  <c r="C1227" i="4"/>
  <c r="G1226" i="4"/>
  <c r="C1226" i="4"/>
  <c r="G1225" i="4"/>
  <c r="C1225" i="4"/>
  <c r="G1224" i="4"/>
  <c r="C1224" i="4"/>
  <c r="G1223" i="4"/>
  <c r="C1223" i="4"/>
  <c r="G1222" i="4"/>
  <c r="C1222" i="4"/>
  <c r="G1221" i="4"/>
  <c r="C1221" i="4"/>
  <c r="G1220" i="4"/>
  <c r="C1220" i="4"/>
  <c r="G1219" i="4"/>
  <c r="C1219" i="4"/>
  <c r="G1218" i="4"/>
  <c r="C1218" i="4"/>
  <c r="G1217" i="4"/>
  <c r="C1217" i="4"/>
  <c r="G1216" i="4"/>
  <c r="C1216" i="4"/>
  <c r="G1215" i="4"/>
  <c r="C1215" i="4"/>
  <c r="G1214" i="4"/>
  <c r="C1214" i="4"/>
  <c r="G1213" i="4"/>
  <c r="C1213" i="4"/>
  <c r="G1212" i="4"/>
  <c r="C1212" i="4"/>
  <c r="G1211" i="4"/>
  <c r="C1211" i="4"/>
  <c r="G1210" i="4"/>
  <c r="C1210" i="4"/>
  <c r="G1209" i="4"/>
  <c r="C1209" i="4"/>
  <c r="G1208" i="4"/>
  <c r="C1208" i="4"/>
  <c r="G1207" i="4"/>
  <c r="C1207" i="4"/>
  <c r="G1206" i="4"/>
  <c r="C1206" i="4"/>
  <c r="G1205" i="4"/>
  <c r="C1205" i="4"/>
  <c r="G1204" i="4"/>
  <c r="C1204" i="4"/>
  <c r="G1203" i="4"/>
  <c r="C1203" i="4"/>
  <c r="G1202" i="4"/>
  <c r="C1202" i="4"/>
  <c r="G1201" i="4"/>
  <c r="C1201" i="4"/>
  <c r="G1200" i="4"/>
  <c r="C1200" i="4"/>
  <c r="G1199" i="4"/>
  <c r="C1199" i="4"/>
  <c r="G1198" i="4"/>
  <c r="C1198" i="4"/>
  <c r="G1197" i="4"/>
  <c r="C1197" i="4"/>
  <c r="G1196" i="4"/>
  <c r="C1196" i="4"/>
  <c r="G1195" i="4"/>
  <c r="C1195" i="4"/>
  <c r="G1194" i="4"/>
  <c r="C1194" i="4"/>
  <c r="G1193" i="4"/>
  <c r="C1193" i="4"/>
  <c r="G1192" i="4"/>
  <c r="C1192" i="4"/>
  <c r="G1191" i="4"/>
  <c r="C1191" i="4"/>
  <c r="G1190" i="4"/>
  <c r="C1190" i="4"/>
  <c r="G1189" i="4"/>
  <c r="C1189" i="4"/>
  <c r="G1188" i="4"/>
  <c r="C1188" i="4"/>
  <c r="G1187" i="4"/>
  <c r="C1187" i="4"/>
  <c r="G1186" i="4"/>
  <c r="C1186" i="4"/>
  <c r="G1185" i="4"/>
  <c r="C1185" i="4"/>
  <c r="G1184" i="4"/>
  <c r="C1184" i="4"/>
  <c r="G1183" i="4"/>
  <c r="C1183" i="4"/>
  <c r="G1182" i="4"/>
  <c r="C1182" i="4"/>
  <c r="G1181" i="4"/>
  <c r="C1181" i="4"/>
  <c r="G1180" i="4"/>
  <c r="C1180" i="4"/>
  <c r="G1179" i="4"/>
  <c r="C1179" i="4"/>
  <c r="G1178" i="4"/>
  <c r="C1178" i="4"/>
  <c r="G1177" i="4"/>
  <c r="C1177" i="4"/>
  <c r="G1176" i="4"/>
  <c r="C1176" i="4"/>
  <c r="G1175" i="4"/>
  <c r="C1175" i="4"/>
  <c r="G1174" i="4"/>
  <c r="C1174" i="4"/>
  <c r="G1173" i="4"/>
  <c r="C1173" i="4"/>
  <c r="G1172" i="4"/>
  <c r="C1172" i="4"/>
  <c r="G1171" i="4"/>
  <c r="C1171" i="4"/>
  <c r="G1170" i="4"/>
  <c r="C1170" i="4"/>
  <c r="G1169" i="4"/>
  <c r="C1169" i="4"/>
  <c r="G1168" i="4"/>
  <c r="C1168" i="4"/>
  <c r="G1167" i="4"/>
  <c r="C1167" i="4"/>
  <c r="G1166" i="4"/>
  <c r="C1166" i="4"/>
  <c r="G1165" i="4"/>
  <c r="C1165" i="4"/>
  <c r="G1164" i="4"/>
  <c r="C1164" i="4"/>
  <c r="G1163" i="4"/>
  <c r="C1163" i="4"/>
  <c r="G1162" i="4"/>
  <c r="C1162" i="4"/>
  <c r="G1161" i="4"/>
  <c r="C1161" i="4"/>
  <c r="G1160" i="4"/>
  <c r="C1160" i="4"/>
  <c r="G1159" i="4"/>
  <c r="C1159" i="4"/>
  <c r="G1158" i="4"/>
  <c r="C1158" i="4"/>
  <c r="G1157" i="4"/>
  <c r="C1157" i="4"/>
  <c r="G1156" i="4"/>
  <c r="C1156" i="4"/>
  <c r="G1155" i="4"/>
  <c r="C1155" i="4"/>
  <c r="G1154" i="4"/>
  <c r="C1154" i="4"/>
  <c r="G1153" i="4"/>
  <c r="C1153" i="4"/>
  <c r="G1152" i="4"/>
  <c r="C1152" i="4"/>
  <c r="G1151" i="4"/>
  <c r="C1151" i="4"/>
  <c r="G1150" i="4"/>
  <c r="C1150" i="4"/>
  <c r="G1149" i="4"/>
  <c r="C1149" i="4"/>
  <c r="G1148" i="4"/>
  <c r="C1148" i="4"/>
  <c r="G1147" i="4"/>
  <c r="C1147" i="4"/>
  <c r="G1146" i="4"/>
  <c r="C1146" i="4"/>
  <c r="G1145" i="4"/>
  <c r="C1145" i="4"/>
  <c r="G1144" i="4"/>
  <c r="C1144" i="4"/>
  <c r="G1143" i="4"/>
  <c r="C1143" i="4"/>
  <c r="G1142" i="4"/>
  <c r="C1142" i="4"/>
  <c r="G1141" i="4"/>
  <c r="C1141" i="4"/>
  <c r="G1140" i="4"/>
  <c r="C1140" i="4"/>
  <c r="G1139" i="4"/>
  <c r="C1139" i="4"/>
  <c r="G1138" i="4"/>
  <c r="C1138" i="4"/>
  <c r="G1137" i="4"/>
  <c r="C1137" i="4"/>
  <c r="G1136" i="4"/>
  <c r="C1136" i="4"/>
  <c r="G1135" i="4"/>
  <c r="C1135" i="4"/>
  <c r="G1134" i="4"/>
  <c r="C1134" i="4"/>
  <c r="G1133" i="4"/>
  <c r="C1133" i="4"/>
  <c r="G1132" i="4"/>
  <c r="C1132" i="4"/>
  <c r="G1131" i="4"/>
  <c r="C1131" i="4"/>
  <c r="G1130" i="4"/>
  <c r="C1130" i="4"/>
  <c r="G1129" i="4"/>
  <c r="C1129" i="4"/>
  <c r="G1128" i="4"/>
  <c r="C1128" i="4"/>
  <c r="G1127" i="4"/>
  <c r="C1127" i="4"/>
  <c r="G1126" i="4"/>
  <c r="C1126" i="4"/>
  <c r="G1125" i="4"/>
  <c r="C1125" i="4"/>
  <c r="G1124" i="4"/>
  <c r="C1124" i="4"/>
  <c r="G1123" i="4"/>
  <c r="C1123" i="4"/>
  <c r="G1122" i="4"/>
  <c r="C1122" i="4"/>
  <c r="G1121" i="4"/>
  <c r="C1121" i="4"/>
  <c r="G1120" i="4"/>
  <c r="C1120" i="4"/>
  <c r="G1119" i="4"/>
  <c r="C1119" i="4"/>
  <c r="G1118" i="4"/>
  <c r="C1118" i="4"/>
  <c r="G1117" i="4"/>
  <c r="C1117" i="4"/>
  <c r="G1116" i="4"/>
  <c r="C1116" i="4"/>
  <c r="G1115" i="4"/>
  <c r="C1115" i="4"/>
  <c r="G1114" i="4"/>
  <c r="C1114" i="4"/>
  <c r="G1113" i="4"/>
  <c r="C1113" i="4"/>
  <c r="G1112" i="4"/>
  <c r="C1112" i="4"/>
  <c r="G1111" i="4"/>
  <c r="C1111" i="4"/>
  <c r="G1110" i="4"/>
  <c r="C1110" i="4"/>
  <c r="G1109" i="4"/>
  <c r="C1109" i="4"/>
  <c r="G1108" i="4"/>
  <c r="C1108" i="4"/>
  <c r="G1107" i="4"/>
  <c r="C1107" i="4"/>
  <c r="G1106" i="4"/>
  <c r="C1106" i="4"/>
  <c r="G1105" i="4"/>
  <c r="C1105" i="4"/>
  <c r="G1104" i="4"/>
  <c r="C1104" i="4"/>
  <c r="G1103" i="4"/>
  <c r="C1103" i="4"/>
  <c r="G1102" i="4"/>
  <c r="C1102" i="4"/>
  <c r="G1101" i="4"/>
  <c r="C1101" i="4"/>
  <c r="G1100" i="4"/>
  <c r="C1100" i="4"/>
  <c r="G1099" i="4"/>
  <c r="C1099" i="4"/>
  <c r="G1098" i="4"/>
  <c r="C1098" i="4"/>
  <c r="G1097" i="4"/>
  <c r="C1097" i="4"/>
  <c r="G1096" i="4"/>
  <c r="C1096" i="4"/>
  <c r="G1095" i="4"/>
  <c r="C1095" i="4"/>
  <c r="G1094" i="4"/>
  <c r="C1094" i="4"/>
  <c r="G1093" i="4"/>
  <c r="C1093" i="4"/>
  <c r="G1092" i="4"/>
  <c r="C1092" i="4"/>
  <c r="G1091" i="4"/>
  <c r="C1091" i="4"/>
  <c r="G1090" i="4"/>
  <c r="C1090" i="4"/>
  <c r="G1089" i="4"/>
  <c r="C1089" i="4"/>
  <c r="G1088" i="4"/>
  <c r="C1088" i="4"/>
  <c r="G1087" i="4"/>
  <c r="C1087" i="4"/>
  <c r="G1086" i="4"/>
  <c r="C1086" i="4"/>
  <c r="G1085" i="4"/>
  <c r="C1085" i="4"/>
  <c r="G1084" i="4"/>
  <c r="C1084" i="4"/>
  <c r="G1083" i="4"/>
  <c r="C1083" i="4"/>
  <c r="G1082" i="4"/>
  <c r="C1082" i="4"/>
  <c r="G1081" i="4"/>
  <c r="C1081" i="4"/>
  <c r="G1080" i="4"/>
  <c r="C1080" i="4"/>
  <c r="G1079" i="4"/>
  <c r="C1079" i="4"/>
  <c r="G1078" i="4"/>
  <c r="C1078" i="4"/>
  <c r="G1077" i="4"/>
  <c r="C1077" i="4"/>
  <c r="G1076" i="4"/>
  <c r="C1076" i="4"/>
  <c r="G1075" i="4"/>
  <c r="C1075" i="4"/>
  <c r="G1074" i="4"/>
  <c r="C1074" i="4"/>
  <c r="G1073" i="4"/>
  <c r="C1073" i="4"/>
  <c r="G1072" i="4"/>
  <c r="C1072" i="4"/>
  <c r="G1071" i="4"/>
  <c r="C1071" i="4"/>
  <c r="G1070" i="4"/>
  <c r="C1070" i="4"/>
  <c r="G1069" i="4"/>
  <c r="C1069" i="4"/>
  <c r="G1068" i="4"/>
  <c r="C1068" i="4"/>
  <c r="G1067" i="4"/>
  <c r="C1067" i="4"/>
  <c r="G1066" i="4"/>
  <c r="C1066" i="4"/>
  <c r="G1065" i="4"/>
  <c r="C1065" i="4"/>
  <c r="G1064" i="4"/>
  <c r="C1064" i="4"/>
  <c r="G1063" i="4"/>
  <c r="C1063" i="4"/>
  <c r="G1062" i="4"/>
  <c r="C1062" i="4"/>
  <c r="G1061" i="4"/>
  <c r="C1061" i="4"/>
  <c r="G1060" i="4"/>
  <c r="C1060" i="4"/>
  <c r="G1059" i="4"/>
  <c r="C1059" i="4"/>
  <c r="G1058" i="4"/>
  <c r="C1058" i="4"/>
  <c r="G1057" i="4"/>
  <c r="C1057" i="4"/>
  <c r="G1056" i="4"/>
  <c r="C1056" i="4"/>
  <c r="G1055" i="4"/>
  <c r="C1055" i="4"/>
  <c r="G1054" i="4"/>
  <c r="C1054" i="4"/>
  <c r="G1053" i="4"/>
  <c r="C1053" i="4"/>
  <c r="G1052" i="4"/>
  <c r="C1052" i="4"/>
  <c r="G1051" i="4"/>
  <c r="C1051" i="4"/>
  <c r="G1050" i="4"/>
  <c r="C1050" i="4"/>
  <c r="G1049" i="4"/>
  <c r="C1049" i="4"/>
  <c r="G1048" i="4"/>
  <c r="C1048" i="4"/>
  <c r="G1047" i="4"/>
  <c r="C1047" i="4"/>
  <c r="G1046" i="4"/>
  <c r="C1046" i="4"/>
  <c r="G1045" i="4"/>
  <c r="C1045" i="4"/>
  <c r="G1044" i="4"/>
  <c r="C1044" i="4"/>
  <c r="G1043" i="4"/>
  <c r="C1043" i="4"/>
  <c r="G1042" i="4"/>
  <c r="C1042" i="4"/>
  <c r="G1041" i="4"/>
  <c r="C1041" i="4"/>
  <c r="G1040" i="4"/>
  <c r="C1040" i="4"/>
  <c r="G1039" i="4"/>
  <c r="C1039" i="4"/>
  <c r="G1038" i="4"/>
  <c r="C1038" i="4"/>
  <c r="G1037" i="4"/>
  <c r="C1037" i="4"/>
  <c r="G1036" i="4"/>
  <c r="C1036" i="4"/>
  <c r="G1035" i="4"/>
  <c r="C1035" i="4"/>
  <c r="G1034" i="4"/>
  <c r="C1034" i="4"/>
  <c r="G1033" i="4"/>
  <c r="C1033" i="4"/>
  <c r="G1032" i="4"/>
  <c r="C1032" i="4"/>
  <c r="G1031" i="4"/>
  <c r="C1031" i="4"/>
  <c r="G1030" i="4"/>
  <c r="C1030" i="4"/>
  <c r="G1029" i="4"/>
  <c r="C1029" i="4"/>
  <c r="G1028" i="4"/>
  <c r="C1028" i="4"/>
  <c r="G1027" i="4"/>
  <c r="C1027" i="4"/>
  <c r="G1026" i="4"/>
  <c r="C1026" i="4"/>
  <c r="G1025" i="4"/>
  <c r="C1025" i="4"/>
  <c r="G1024" i="4"/>
  <c r="C1024" i="4"/>
  <c r="G1023" i="4"/>
  <c r="C1023" i="4"/>
  <c r="G1022" i="4"/>
  <c r="C1022" i="4"/>
  <c r="G1021" i="4"/>
  <c r="C1021" i="4"/>
  <c r="G1020" i="4"/>
  <c r="C1020" i="4"/>
  <c r="G1019" i="4"/>
  <c r="C1019" i="4"/>
  <c r="G1018" i="4"/>
  <c r="C1018" i="4"/>
  <c r="G1017" i="4"/>
  <c r="C1017" i="4"/>
  <c r="G1016" i="4"/>
  <c r="C1016" i="4"/>
  <c r="G1015" i="4"/>
  <c r="C1015" i="4"/>
  <c r="G1014" i="4"/>
  <c r="C1014" i="4"/>
  <c r="G1013" i="4"/>
  <c r="C1013" i="4"/>
  <c r="G1012" i="4"/>
  <c r="C1012" i="4"/>
  <c r="G1011" i="4"/>
  <c r="C1011" i="4"/>
  <c r="G1010" i="4"/>
  <c r="C1010" i="4"/>
  <c r="G1009" i="4"/>
  <c r="C1009" i="4"/>
  <c r="G1008" i="4"/>
  <c r="C1008" i="4"/>
  <c r="G1007" i="4"/>
  <c r="C1007" i="4"/>
  <c r="G1006" i="4"/>
  <c r="C1006" i="4"/>
  <c r="G1005" i="4"/>
  <c r="C1005" i="4"/>
  <c r="G1004" i="4"/>
  <c r="C1004" i="4"/>
  <c r="G1003" i="4"/>
  <c r="C1003" i="4"/>
  <c r="G1002" i="4"/>
  <c r="C1002" i="4"/>
  <c r="G1001" i="4"/>
  <c r="C1001" i="4"/>
  <c r="G1000" i="4"/>
  <c r="C1000" i="4"/>
  <c r="G999" i="4"/>
  <c r="C999" i="4"/>
  <c r="G998" i="4"/>
  <c r="C998" i="4"/>
  <c r="G997" i="4"/>
  <c r="C997" i="4"/>
  <c r="G996" i="4"/>
  <c r="C996" i="4"/>
  <c r="G995" i="4"/>
  <c r="C995" i="4"/>
  <c r="G994" i="4"/>
  <c r="C994" i="4"/>
  <c r="G993" i="4"/>
  <c r="C993" i="4"/>
  <c r="G992" i="4"/>
  <c r="C992" i="4"/>
  <c r="G991" i="4"/>
  <c r="C991" i="4"/>
  <c r="G990" i="4"/>
  <c r="C990" i="4"/>
  <c r="G989" i="4"/>
  <c r="C989" i="4"/>
  <c r="G988" i="4"/>
  <c r="C988" i="4"/>
  <c r="G987" i="4"/>
  <c r="C987" i="4"/>
  <c r="G986" i="4"/>
  <c r="C986" i="4"/>
  <c r="G985" i="4"/>
  <c r="C985" i="4"/>
  <c r="G984" i="4"/>
  <c r="C984" i="4"/>
  <c r="G983" i="4"/>
  <c r="C983" i="4"/>
  <c r="G982" i="4"/>
  <c r="C982" i="4"/>
  <c r="G981" i="4"/>
  <c r="C981" i="4"/>
  <c r="G980" i="4"/>
  <c r="C980" i="4"/>
  <c r="G979" i="4"/>
  <c r="C979" i="4"/>
  <c r="G978" i="4"/>
  <c r="C978" i="4"/>
  <c r="G977" i="4"/>
  <c r="C977" i="4"/>
  <c r="G976" i="4"/>
  <c r="C976" i="4"/>
  <c r="G975" i="4"/>
  <c r="C975" i="4"/>
  <c r="G974" i="4"/>
  <c r="C974" i="4"/>
  <c r="G973" i="4"/>
  <c r="C973" i="4"/>
  <c r="G972" i="4"/>
  <c r="C972" i="4"/>
  <c r="G971" i="4"/>
  <c r="C971" i="4"/>
  <c r="G970" i="4"/>
  <c r="C970" i="4"/>
  <c r="G969" i="4"/>
  <c r="C969" i="4"/>
  <c r="G968" i="4"/>
  <c r="C968" i="4"/>
  <c r="G967" i="4"/>
  <c r="C967" i="4"/>
  <c r="G966" i="4"/>
  <c r="C966" i="4"/>
  <c r="G965" i="4"/>
  <c r="C965" i="4"/>
  <c r="G964" i="4"/>
  <c r="C964" i="4"/>
  <c r="G963" i="4"/>
  <c r="C963" i="4"/>
  <c r="G962" i="4"/>
  <c r="C962" i="4"/>
  <c r="G961" i="4"/>
  <c r="C961" i="4"/>
  <c r="G960" i="4"/>
  <c r="C960" i="4"/>
  <c r="G959" i="4"/>
  <c r="C959" i="4"/>
  <c r="G958" i="4"/>
  <c r="C958" i="4"/>
  <c r="G957" i="4"/>
  <c r="C957" i="4"/>
  <c r="G956" i="4"/>
  <c r="C956" i="4"/>
  <c r="G955" i="4"/>
  <c r="C955" i="4"/>
  <c r="G954" i="4"/>
  <c r="C954" i="4"/>
  <c r="G953" i="4"/>
  <c r="C953" i="4"/>
  <c r="G952" i="4"/>
  <c r="C952" i="4"/>
  <c r="G951" i="4"/>
  <c r="C951" i="4"/>
  <c r="G950" i="4"/>
  <c r="C950" i="4"/>
  <c r="G949" i="4"/>
  <c r="C949" i="4"/>
  <c r="G948" i="4"/>
  <c r="C948" i="4"/>
  <c r="G947" i="4"/>
  <c r="C947" i="4"/>
  <c r="G946" i="4"/>
  <c r="C946" i="4"/>
  <c r="G945" i="4"/>
  <c r="C945" i="4"/>
  <c r="G944" i="4"/>
  <c r="C944" i="4"/>
  <c r="G943" i="4"/>
  <c r="C943" i="4"/>
  <c r="G942" i="4"/>
  <c r="C942" i="4"/>
  <c r="G941" i="4"/>
  <c r="C941" i="4"/>
  <c r="G940" i="4"/>
  <c r="C940" i="4"/>
  <c r="G939" i="4"/>
  <c r="C939" i="4"/>
  <c r="G938" i="4"/>
  <c r="C938" i="4"/>
  <c r="G937" i="4"/>
  <c r="C937" i="4"/>
  <c r="G936" i="4"/>
  <c r="C936" i="4"/>
  <c r="G935" i="4"/>
  <c r="C935" i="4"/>
  <c r="G934" i="4"/>
  <c r="C934" i="4"/>
  <c r="G933" i="4"/>
  <c r="C933" i="4"/>
  <c r="G932" i="4"/>
  <c r="C932" i="4"/>
  <c r="G931" i="4"/>
  <c r="C931" i="4"/>
  <c r="G930" i="4"/>
  <c r="C930" i="4"/>
  <c r="G929" i="4"/>
  <c r="C929" i="4"/>
  <c r="G928" i="4"/>
  <c r="C928" i="4"/>
  <c r="G927" i="4"/>
  <c r="C927" i="4"/>
  <c r="G926" i="4"/>
  <c r="C926" i="4"/>
  <c r="G925" i="4"/>
  <c r="C925" i="4"/>
  <c r="G924" i="4"/>
  <c r="C924" i="4"/>
  <c r="G923" i="4"/>
  <c r="C923" i="4"/>
  <c r="G922" i="4"/>
  <c r="C922" i="4"/>
  <c r="G921" i="4"/>
  <c r="C921" i="4"/>
  <c r="G920" i="4"/>
  <c r="C920" i="4"/>
  <c r="G919" i="4"/>
  <c r="C919" i="4"/>
  <c r="G918" i="4"/>
  <c r="C918" i="4"/>
  <c r="G917" i="4"/>
  <c r="C917" i="4"/>
  <c r="G916" i="4"/>
  <c r="C916" i="4"/>
  <c r="G915" i="4"/>
  <c r="C915" i="4"/>
  <c r="G914" i="4"/>
  <c r="C914" i="4"/>
  <c r="G913" i="4"/>
  <c r="C913" i="4"/>
  <c r="G912" i="4"/>
  <c r="C912" i="4"/>
  <c r="G911" i="4"/>
  <c r="C911" i="4"/>
  <c r="G910" i="4"/>
  <c r="C910" i="4"/>
  <c r="G909" i="4"/>
  <c r="C909" i="4"/>
  <c r="G908" i="4"/>
  <c r="C908" i="4"/>
  <c r="G907" i="4"/>
  <c r="C907" i="4"/>
  <c r="G906" i="4"/>
  <c r="C906" i="4"/>
  <c r="G905" i="4"/>
  <c r="C905" i="4"/>
  <c r="G904" i="4"/>
  <c r="C904" i="4"/>
  <c r="G903" i="4"/>
  <c r="C903" i="4"/>
  <c r="G902" i="4"/>
  <c r="C902" i="4"/>
  <c r="G901" i="4"/>
  <c r="C901" i="4"/>
  <c r="G900" i="4"/>
  <c r="C900" i="4"/>
  <c r="G899" i="4"/>
  <c r="C899" i="4"/>
  <c r="G898" i="4"/>
  <c r="C898" i="4"/>
  <c r="G897" i="4"/>
  <c r="C897" i="4"/>
  <c r="G896" i="4"/>
  <c r="C896" i="4"/>
  <c r="G895" i="4"/>
  <c r="C895" i="4"/>
  <c r="G894" i="4"/>
  <c r="C894" i="4"/>
  <c r="G893" i="4"/>
  <c r="C893" i="4"/>
  <c r="G892" i="4"/>
  <c r="C892" i="4"/>
  <c r="G891" i="4"/>
  <c r="C891" i="4"/>
  <c r="G890" i="4"/>
  <c r="C890" i="4"/>
  <c r="G889" i="4"/>
  <c r="C889" i="4"/>
  <c r="G888" i="4"/>
  <c r="C888" i="4"/>
  <c r="G887" i="4"/>
  <c r="C887" i="4"/>
  <c r="G886" i="4"/>
  <c r="C886" i="4"/>
  <c r="G885" i="4"/>
  <c r="C885" i="4"/>
  <c r="G884" i="4"/>
  <c r="C884" i="4"/>
  <c r="G883" i="4"/>
  <c r="C883" i="4"/>
  <c r="G882" i="4"/>
  <c r="C882" i="4"/>
  <c r="G881" i="4"/>
  <c r="C881" i="4"/>
  <c r="G880" i="4"/>
  <c r="C880" i="4"/>
  <c r="G879" i="4"/>
  <c r="C879" i="4"/>
  <c r="G878" i="4"/>
  <c r="C878" i="4"/>
  <c r="G877" i="4"/>
  <c r="C877" i="4"/>
  <c r="G876" i="4"/>
  <c r="C876" i="4"/>
  <c r="G875" i="4"/>
  <c r="C875" i="4"/>
  <c r="G874" i="4"/>
  <c r="C874" i="4"/>
  <c r="G873" i="4"/>
  <c r="C873" i="4"/>
  <c r="G872" i="4"/>
  <c r="C872" i="4"/>
  <c r="G871" i="4"/>
  <c r="C871" i="4"/>
  <c r="G870" i="4"/>
  <c r="C870" i="4"/>
  <c r="G869" i="4"/>
  <c r="C869" i="4"/>
  <c r="G868" i="4"/>
  <c r="C868" i="4"/>
  <c r="G867" i="4"/>
  <c r="C867" i="4"/>
  <c r="G866" i="4"/>
  <c r="C866" i="4"/>
  <c r="G865" i="4"/>
  <c r="C865" i="4"/>
  <c r="G864" i="4"/>
  <c r="C864" i="4"/>
  <c r="G863" i="4"/>
  <c r="C863" i="4"/>
  <c r="G862" i="4"/>
  <c r="C862" i="4"/>
  <c r="G861" i="4"/>
  <c r="C861" i="4"/>
  <c r="G860" i="4"/>
  <c r="C860" i="4"/>
  <c r="G859" i="4"/>
  <c r="C859" i="4"/>
  <c r="G858" i="4"/>
  <c r="C858" i="4"/>
  <c r="G857" i="4"/>
  <c r="C857" i="4"/>
  <c r="G856" i="4"/>
  <c r="C856" i="4"/>
  <c r="G855" i="4"/>
  <c r="C855" i="4"/>
  <c r="G854" i="4"/>
  <c r="C854" i="4"/>
  <c r="G853" i="4"/>
  <c r="C853" i="4"/>
  <c r="G852" i="4"/>
  <c r="C852" i="4"/>
  <c r="G851" i="4"/>
  <c r="C851" i="4"/>
  <c r="G850" i="4"/>
  <c r="C850" i="4"/>
  <c r="G849" i="4"/>
  <c r="C849" i="4"/>
  <c r="G848" i="4"/>
  <c r="C848" i="4"/>
  <c r="G847" i="4"/>
  <c r="C847" i="4"/>
  <c r="G846" i="4"/>
  <c r="C846" i="4"/>
  <c r="G845" i="4"/>
  <c r="C845" i="4"/>
  <c r="G844" i="4"/>
  <c r="C844" i="4"/>
  <c r="G843" i="4"/>
  <c r="C843" i="4"/>
  <c r="G842" i="4"/>
  <c r="C842" i="4"/>
  <c r="G841" i="4"/>
  <c r="C841" i="4"/>
  <c r="G840" i="4"/>
  <c r="C840" i="4"/>
  <c r="G839" i="4"/>
  <c r="C839" i="4"/>
  <c r="G838" i="4"/>
  <c r="C838" i="4"/>
  <c r="G837" i="4"/>
  <c r="C837" i="4"/>
  <c r="G836" i="4"/>
  <c r="C836" i="4"/>
  <c r="G835" i="4"/>
  <c r="C835" i="4"/>
  <c r="G834" i="4"/>
  <c r="C834" i="4"/>
  <c r="G833" i="4"/>
  <c r="C833" i="4"/>
  <c r="G832" i="4"/>
  <c r="C832" i="4"/>
  <c r="G831" i="4"/>
  <c r="C831" i="4"/>
  <c r="G830" i="4"/>
  <c r="C830" i="4"/>
  <c r="G829" i="4"/>
  <c r="C829" i="4"/>
  <c r="G828" i="4"/>
  <c r="C828" i="4"/>
  <c r="G827" i="4"/>
  <c r="C827" i="4"/>
  <c r="G826" i="4"/>
  <c r="C826" i="4"/>
  <c r="G825" i="4"/>
  <c r="C825" i="4"/>
  <c r="G824" i="4"/>
  <c r="C824" i="4"/>
  <c r="G823" i="4"/>
  <c r="C823" i="4"/>
  <c r="G822" i="4"/>
  <c r="C822" i="4"/>
  <c r="G821" i="4"/>
  <c r="C821" i="4"/>
  <c r="G820" i="4"/>
  <c r="C820" i="4"/>
  <c r="G819" i="4"/>
  <c r="C819" i="4"/>
  <c r="G818" i="4"/>
  <c r="C818" i="4"/>
  <c r="G817" i="4"/>
  <c r="C817" i="4"/>
  <c r="G816" i="4"/>
  <c r="C816" i="4"/>
  <c r="G815" i="4"/>
  <c r="C815" i="4"/>
  <c r="G814" i="4"/>
  <c r="C814" i="4"/>
  <c r="G813" i="4"/>
  <c r="C813" i="4"/>
  <c r="G812" i="4"/>
  <c r="C812" i="4"/>
  <c r="G811" i="4"/>
  <c r="C811" i="4"/>
  <c r="G810" i="4"/>
  <c r="C810" i="4"/>
  <c r="G809" i="4"/>
  <c r="C809" i="4"/>
  <c r="G808" i="4"/>
  <c r="C808" i="4"/>
  <c r="G807" i="4"/>
  <c r="C807" i="4"/>
  <c r="G806" i="4"/>
  <c r="C806" i="4"/>
  <c r="G805" i="4"/>
  <c r="C805" i="4"/>
  <c r="G804" i="4"/>
  <c r="C804" i="4"/>
  <c r="G803" i="4"/>
  <c r="C803" i="4"/>
  <c r="G802" i="4"/>
  <c r="C802" i="4"/>
  <c r="G801" i="4"/>
  <c r="C801" i="4"/>
  <c r="G800" i="4"/>
  <c r="C800" i="4"/>
  <c r="G799" i="4"/>
  <c r="C799" i="4"/>
  <c r="G798" i="4"/>
  <c r="C798" i="4"/>
  <c r="G797" i="4"/>
  <c r="C797" i="4"/>
  <c r="G796" i="4"/>
  <c r="C796" i="4"/>
  <c r="G795" i="4"/>
  <c r="C795" i="4"/>
  <c r="G794" i="4"/>
  <c r="C794" i="4"/>
  <c r="G793" i="4"/>
  <c r="C793" i="4"/>
  <c r="G792" i="4"/>
  <c r="C792" i="4"/>
  <c r="G791" i="4"/>
  <c r="C791" i="4"/>
  <c r="G790" i="4"/>
  <c r="C790" i="4"/>
  <c r="G789" i="4"/>
  <c r="C789" i="4"/>
  <c r="G788" i="4"/>
  <c r="C788" i="4"/>
  <c r="G787" i="4"/>
  <c r="C787" i="4"/>
  <c r="G786" i="4"/>
  <c r="C786" i="4"/>
  <c r="G785" i="4"/>
  <c r="C785" i="4"/>
  <c r="G784" i="4"/>
  <c r="C784" i="4"/>
  <c r="G783" i="4"/>
  <c r="C783" i="4"/>
  <c r="G782" i="4"/>
  <c r="C782" i="4"/>
  <c r="G781" i="4"/>
  <c r="C781" i="4"/>
  <c r="G780" i="4"/>
  <c r="C780" i="4"/>
  <c r="G779" i="4"/>
  <c r="C779" i="4"/>
  <c r="G778" i="4"/>
  <c r="C778" i="4"/>
  <c r="G777" i="4"/>
  <c r="C777" i="4"/>
  <c r="G776" i="4"/>
  <c r="C776" i="4"/>
  <c r="G775" i="4"/>
  <c r="C775" i="4"/>
  <c r="G774" i="4"/>
  <c r="C774" i="4"/>
  <c r="G773" i="4"/>
  <c r="C773" i="4"/>
  <c r="G772" i="4"/>
  <c r="C772" i="4"/>
  <c r="G771" i="4"/>
  <c r="C771" i="4"/>
  <c r="G770" i="4"/>
  <c r="C770" i="4"/>
  <c r="G769" i="4"/>
  <c r="C769" i="4"/>
  <c r="G768" i="4"/>
  <c r="C768" i="4"/>
  <c r="G767" i="4"/>
  <c r="C767" i="4"/>
  <c r="G766" i="4"/>
  <c r="C766" i="4"/>
  <c r="G765" i="4"/>
  <c r="C765" i="4"/>
  <c r="G764" i="4"/>
  <c r="C764" i="4"/>
  <c r="G763" i="4"/>
  <c r="C763" i="4"/>
  <c r="G762" i="4"/>
  <c r="C762" i="4"/>
  <c r="G761" i="4"/>
  <c r="C761" i="4"/>
  <c r="G760" i="4"/>
  <c r="C760" i="4"/>
  <c r="G759" i="4"/>
  <c r="C759" i="4"/>
  <c r="G758" i="4"/>
  <c r="C758" i="4"/>
  <c r="G757" i="4"/>
  <c r="C757" i="4"/>
  <c r="G756" i="4"/>
  <c r="C756" i="4"/>
  <c r="G755" i="4"/>
  <c r="C755" i="4"/>
  <c r="G754" i="4"/>
  <c r="C754" i="4"/>
  <c r="G753" i="4"/>
  <c r="C753" i="4"/>
  <c r="G752" i="4"/>
  <c r="C752" i="4"/>
  <c r="G751" i="4"/>
  <c r="C751" i="4"/>
  <c r="G750" i="4"/>
  <c r="C750" i="4"/>
  <c r="G749" i="4"/>
  <c r="C749" i="4"/>
  <c r="G748" i="4"/>
  <c r="C748" i="4"/>
  <c r="G747" i="4"/>
  <c r="C747" i="4"/>
  <c r="G746" i="4"/>
  <c r="C746" i="4"/>
  <c r="G745" i="4"/>
  <c r="C745" i="4"/>
  <c r="G744" i="4"/>
  <c r="C744" i="4"/>
  <c r="G743" i="4"/>
  <c r="C743" i="4"/>
  <c r="G742" i="4"/>
  <c r="C742" i="4"/>
  <c r="G741" i="4"/>
  <c r="C741" i="4"/>
  <c r="G740" i="4"/>
  <c r="C740" i="4"/>
  <c r="G739" i="4"/>
  <c r="C739" i="4"/>
  <c r="G738" i="4"/>
  <c r="C738" i="4"/>
  <c r="G737" i="4"/>
  <c r="C737" i="4"/>
  <c r="G736" i="4"/>
  <c r="C736" i="4"/>
  <c r="G735" i="4"/>
  <c r="C735" i="4"/>
  <c r="G734" i="4"/>
  <c r="C734" i="4"/>
  <c r="G733" i="4"/>
  <c r="C733" i="4"/>
  <c r="G732" i="4"/>
  <c r="C732" i="4"/>
  <c r="G731" i="4"/>
  <c r="C731" i="4"/>
  <c r="G730" i="4"/>
  <c r="C730" i="4"/>
  <c r="G729" i="4"/>
  <c r="C729" i="4"/>
  <c r="G728" i="4"/>
  <c r="C728" i="4"/>
  <c r="G727" i="4"/>
  <c r="C727" i="4"/>
  <c r="G726" i="4"/>
  <c r="C726" i="4"/>
  <c r="G725" i="4"/>
  <c r="C725" i="4"/>
  <c r="G724" i="4"/>
  <c r="C724" i="4"/>
  <c r="G723" i="4"/>
  <c r="C723" i="4"/>
  <c r="G722" i="4"/>
  <c r="C722" i="4"/>
  <c r="G721" i="4"/>
  <c r="C721" i="4"/>
  <c r="G720" i="4"/>
  <c r="C720" i="4"/>
  <c r="G719" i="4"/>
  <c r="C719" i="4"/>
  <c r="G718" i="4"/>
  <c r="C718" i="4"/>
  <c r="G717" i="4"/>
  <c r="C717" i="4"/>
  <c r="G716" i="4"/>
  <c r="C716" i="4"/>
  <c r="G715" i="4"/>
  <c r="C715" i="4"/>
  <c r="G714" i="4"/>
  <c r="C714" i="4"/>
  <c r="G713" i="4"/>
  <c r="C713" i="4"/>
  <c r="G712" i="4"/>
  <c r="C712" i="4"/>
  <c r="G711" i="4"/>
  <c r="C711" i="4"/>
  <c r="G710" i="4"/>
  <c r="C710" i="4"/>
  <c r="G709" i="4"/>
  <c r="C709" i="4"/>
  <c r="G708" i="4"/>
  <c r="C708" i="4"/>
  <c r="G707" i="4"/>
  <c r="C707" i="4"/>
  <c r="G706" i="4"/>
  <c r="C706" i="4"/>
  <c r="G705" i="4"/>
  <c r="C705" i="4"/>
  <c r="G704" i="4"/>
  <c r="C704" i="4"/>
  <c r="G703" i="4"/>
  <c r="C703" i="4"/>
  <c r="G702" i="4"/>
  <c r="C702" i="4"/>
  <c r="G701" i="4"/>
  <c r="C701" i="4"/>
  <c r="G700" i="4"/>
  <c r="C700" i="4"/>
  <c r="G699" i="4"/>
  <c r="C699" i="4"/>
  <c r="G698" i="4"/>
  <c r="C698" i="4"/>
  <c r="G697" i="4"/>
  <c r="C697" i="4"/>
  <c r="G696" i="4"/>
  <c r="C696" i="4"/>
  <c r="G695" i="4"/>
  <c r="C695" i="4"/>
  <c r="G694" i="4"/>
  <c r="C694" i="4"/>
  <c r="G693" i="4"/>
  <c r="C693" i="4"/>
  <c r="G692" i="4"/>
  <c r="C692" i="4"/>
  <c r="G691" i="4"/>
  <c r="C691" i="4"/>
  <c r="G690" i="4"/>
  <c r="C690" i="4"/>
  <c r="G689" i="4"/>
  <c r="C689" i="4"/>
  <c r="G688" i="4"/>
  <c r="C688" i="4"/>
  <c r="G687" i="4"/>
  <c r="C687" i="4"/>
  <c r="G686" i="4"/>
  <c r="C686" i="4"/>
  <c r="G685" i="4"/>
  <c r="C685" i="4"/>
  <c r="G684" i="4"/>
  <c r="C684" i="4"/>
  <c r="G683" i="4"/>
  <c r="C683" i="4"/>
  <c r="G682" i="4"/>
  <c r="C682" i="4"/>
  <c r="G681" i="4"/>
  <c r="C681" i="4"/>
  <c r="G680" i="4"/>
  <c r="C680" i="4"/>
  <c r="G679" i="4"/>
  <c r="C679" i="4"/>
  <c r="G678" i="4"/>
  <c r="C678" i="4"/>
  <c r="G677" i="4"/>
  <c r="C677" i="4"/>
  <c r="G676" i="4"/>
  <c r="C676" i="4"/>
  <c r="G675" i="4"/>
  <c r="C675" i="4"/>
  <c r="G674" i="4"/>
  <c r="C674" i="4"/>
  <c r="G673" i="4"/>
  <c r="C673" i="4"/>
  <c r="G672" i="4"/>
  <c r="C672" i="4"/>
  <c r="G671" i="4"/>
  <c r="C671" i="4"/>
  <c r="G670" i="4"/>
  <c r="C670" i="4"/>
  <c r="G669" i="4"/>
  <c r="C669" i="4"/>
  <c r="G668" i="4"/>
  <c r="C668" i="4"/>
  <c r="G667" i="4"/>
  <c r="C667" i="4"/>
  <c r="G666" i="4"/>
  <c r="C666" i="4"/>
  <c r="G665" i="4"/>
  <c r="C665" i="4"/>
  <c r="G664" i="4"/>
  <c r="C664" i="4"/>
  <c r="G663" i="4"/>
  <c r="C663" i="4"/>
  <c r="G662" i="4"/>
  <c r="C662" i="4"/>
  <c r="G661" i="4"/>
  <c r="C661" i="4"/>
  <c r="G660" i="4"/>
  <c r="C660" i="4"/>
  <c r="G659" i="4"/>
  <c r="C659" i="4"/>
  <c r="G658" i="4"/>
  <c r="C658" i="4"/>
  <c r="G657" i="4"/>
  <c r="C657" i="4"/>
  <c r="G656" i="4"/>
  <c r="C656" i="4"/>
  <c r="G655" i="4"/>
  <c r="C655" i="4"/>
  <c r="G654" i="4"/>
  <c r="C654" i="4"/>
  <c r="G653" i="4"/>
  <c r="C653" i="4"/>
  <c r="G652" i="4"/>
  <c r="C652" i="4"/>
  <c r="G651" i="4"/>
  <c r="C651" i="4"/>
  <c r="G650" i="4"/>
  <c r="C650" i="4"/>
  <c r="G649" i="4"/>
  <c r="C649" i="4"/>
  <c r="G648" i="4"/>
  <c r="C648" i="4"/>
  <c r="G647" i="4"/>
  <c r="C647" i="4"/>
  <c r="G646" i="4"/>
  <c r="C646" i="4"/>
  <c r="G645" i="4"/>
  <c r="C645" i="4"/>
  <c r="G644" i="4"/>
  <c r="C644" i="4"/>
  <c r="G643" i="4"/>
  <c r="C643" i="4"/>
  <c r="G642" i="4"/>
  <c r="C642" i="4"/>
  <c r="G641" i="4"/>
  <c r="C641" i="4"/>
  <c r="G640" i="4"/>
  <c r="C640" i="4"/>
  <c r="G639" i="4"/>
  <c r="C639" i="4"/>
  <c r="G638" i="4"/>
  <c r="C638" i="4"/>
  <c r="G637" i="4"/>
  <c r="C637" i="4"/>
  <c r="G636" i="4"/>
  <c r="C636" i="4"/>
  <c r="G635" i="4"/>
  <c r="C635" i="4"/>
  <c r="G634" i="4"/>
  <c r="C634" i="4"/>
  <c r="G633" i="4"/>
  <c r="C633" i="4"/>
  <c r="G632" i="4"/>
  <c r="C632" i="4"/>
  <c r="G631" i="4"/>
  <c r="C631" i="4"/>
  <c r="G630" i="4"/>
  <c r="C630" i="4"/>
  <c r="G629" i="4"/>
  <c r="C629" i="4"/>
  <c r="G628" i="4"/>
  <c r="C628" i="4"/>
  <c r="G627" i="4"/>
  <c r="C627" i="4"/>
  <c r="G626" i="4"/>
  <c r="C626" i="4"/>
  <c r="G625" i="4"/>
  <c r="C625" i="4"/>
  <c r="G624" i="4"/>
  <c r="C624" i="4"/>
  <c r="G623" i="4"/>
  <c r="C623" i="4"/>
  <c r="G622" i="4"/>
  <c r="C622" i="4"/>
  <c r="G621" i="4"/>
  <c r="C621" i="4"/>
  <c r="G620" i="4"/>
  <c r="C620" i="4"/>
  <c r="G619" i="4"/>
  <c r="C619" i="4"/>
  <c r="G618" i="4"/>
  <c r="C618" i="4"/>
  <c r="G617" i="4"/>
  <c r="C617" i="4"/>
  <c r="G616" i="4"/>
  <c r="C616" i="4"/>
  <c r="G615" i="4"/>
  <c r="C615" i="4"/>
  <c r="G614" i="4"/>
  <c r="C614" i="4"/>
  <c r="G613" i="4"/>
  <c r="C613" i="4"/>
  <c r="G612" i="4"/>
  <c r="C612" i="4"/>
  <c r="G611" i="4"/>
  <c r="C611" i="4"/>
  <c r="G610" i="4"/>
  <c r="C610" i="4"/>
  <c r="G609" i="4"/>
  <c r="C609" i="4"/>
  <c r="G608" i="4"/>
  <c r="C608" i="4"/>
  <c r="G607" i="4"/>
  <c r="C607" i="4"/>
  <c r="G606" i="4"/>
  <c r="C606" i="4"/>
  <c r="G605" i="4"/>
  <c r="C605" i="4"/>
  <c r="G604" i="4"/>
  <c r="C604" i="4"/>
  <c r="G603" i="4"/>
  <c r="C603" i="4"/>
  <c r="G602" i="4"/>
  <c r="C602" i="4"/>
  <c r="G601" i="4"/>
  <c r="C601" i="4"/>
  <c r="G600" i="4"/>
  <c r="C600" i="4"/>
  <c r="G599" i="4"/>
  <c r="C599" i="4"/>
  <c r="G598" i="4"/>
  <c r="C598" i="4"/>
  <c r="G597" i="4"/>
  <c r="C597" i="4"/>
  <c r="G596" i="4"/>
  <c r="C596" i="4"/>
  <c r="G595" i="4"/>
  <c r="C595" i="4"/>
  <c r="G594" i="4"/>
  <c r="C594" i="4"/>
  <c r="G593" i="4"/>
  <c r="C593" i="4"/>
  <c r="G592" i="4"/>
  <c r="C592" i="4"/>
  <c r="G591" i="4"/>
  <c r="C591" i="4"/>
  <c r="G590" i="4"/>
  <c r="C590" i="4"/>
  <c r="G589" i="4"/>
  <c r="C589" i="4"/>
  <c r="G588" i="4"/>
  <c r="C588" i="4"/>
  <c r="G587" i="4"/>
  <c r="C587" i="4"/>
  <c r="G586" i="4"/>
  <c r="C586" i="4"/>
  <c r="G585" i="4"/>
  <c r="C585" i="4"/>
  <c r="G584" i="4"/>
  <c r="C584" i="4"/>
  <c r="G583" i="4"/>
  <c r="C583" i="4"/>
  <c r="G582" i="4"/>
  <c r="C582" i="4"/>
  <c r="G581" i="4"/>
  <c r="C581" i="4"/>
  <c r="G580" i="4"/>
  <c r="C580" i="4"/>
  <c r="G579" i="4"/>
  <c r="C579" i="4"/>
  <c r="G578" i="4"/>
  <c r="C578" i="4"/>
  <c r="G577" i="4"/>
  <c r="C577" i="4"/>
  <c r="G576" i="4"/>
  <c r="C576" i="4"/>
  <c r="G575" i="4"/>
  <c r="C575" i="4"/>
  <c r="G574" i="4"/>
  <c r="C574" i="4"/>
  <c r="G573" i="4"/>
  <c r="C573" i="4"/>
  <c r="G572" i="4"/>
  <c r="C572" i="4"/>
  <c r="G571" i="4"/>
  <c r="C571" i="4"/>
  <c r="G570" i="4"/>
  <c r="C570" i="4"/>
  <c r="G569" i="4"/>
  <c r="C569" i="4"/>
  <c r="G568" i="4"/>
  <c r="C568" i="4"/>
  <c r="G567" i="4"/>
  <c r="C567" i="4"/>
  <c r="G566" i="4"/>
  <c r="C566" i="4"/>
  <c r="G565" i="4"/>
  <c r="C565" i="4"/>
  <c r="G564" i="4"/>
  <c r="C564" i="4"/>
  <c r="G563" i="4"/>
  <c r="C563" i="4"/>
  <c r="G562" i="4"/>
  <c r="C562" i="4"/>
  <c r="G561" i="4"/>
  <c r="C561" i="4"/>
  <c r="G560" i="4"/>
  <c r="C560" i="4"/>
  <c r="G559" i="4"/>
  <c r="C559" i="4"/>
  <c r="G558" i="4"/>
  <c r="C558" i="4"/>
  <c r="G557" i="4"/>
  <c r="C557" i="4"/>
  <c r="G556" i="4"/>
  <c r="C556" i="4"/>
  <c r="G555" i="4"/>
  <c r="C555" i="4"/>
  <c r="G554" i="4"/>
  <c r="C554" i="4"/>
  <c r="G553" i="4"/>
  <c r="C553" i="4"/>
  <c r="G552" i="4"/>
  <c r="C552" i="4"/>
  <c r="G551" i="4"/>
  <c r="C551" i="4"/>
  <c r="G550" i="4"/>
  <c r="C550" i="4"/>
  <c r="G549" i="4"/>
  <c r="C549" i="4"/>
  <c r="G548" i="4"/>
  <c r="C548" i="4"/>
  <c r="G547" i="4"/>
  <c r="C547" i="4"/>
  <c r="G546" i="4"/>
  <c r="C546" i="4"/>
  <c r="G545" i="4"/>
  <c r="C545" i="4"/>
  <c r="G544" i="4"/>
  <c r="C544" i="4"/>
  <c r="G543" i="4"/>
  <c r="C543" i="4"/>
  <c r="G542" i="4"/>
  <c r="C542" i="4"/>
  <c r="G541" i="4"/>
  <c r="C541" i="4"/>
  <c r="G540" i="4"/>
  <c r="C540" i="4"/>
  <c r="G539" i="4"/>
  <c r="C539" i="4"/>
  <c r="G538" i="4"/>
  <c r="C538" i="4"/>
  <c r="G537" i="4"/>
  <c r="C537" i="4"/>
  <c r="G536" i="4"/>
  <c r="C536" i="4"/>
  <c r="G535" i="4"/>
  <c r="C535" i="4"/>
  <c r="G534" i="4"/>
  <c r="C534" i="4"/>
  <c r="G533" i="4"/>
  <c r="C533" i="4"/>
  <c r="G532" i="4"/>
  <c r="C532" i="4"/>
  <c r="G531" i="4"/>
  <c r="C531" i="4"/>
  <c r="G530" i="4"/>
  <c r="C530" i="4"/>
  <c r="G529" i="4"/>
  <c r="C529" i="4"/>
  <c r="G528" i="4"/>
  <c r="C528" i="4"/>
  <c r="G527" i="4"/>
  <c r="C527" i="4"/>
  <c r="G526" i="4"/>
  <c r="C526" i="4"/>
  <c r="G525" i="4"/>
  <c r="C525" i="4"/>
  <c r="G524" i="4"/>
  <c r="C524" i="4"/>
  <c r="G523" i="4"/>
  <c r="C523" i="4"/>
  <c r="G522" i="4"/>
  <c r="C522" i="4"/>
  <c r="G521" i="4"/>
  <c r="C521" i="4"/>
  <c r="G520" i="4"/>
  <c r="C520" i="4"/>
  <c r="G519" i="4"/>
  <c r="C519" i="4"/>
  <c r="G518" i="4"/>
  <c r="C518" i="4"/>
  <c r="G517" i="4"/>
  <c r="C517" i="4"/>
  <c r="G516" i="4"/>
  <c r="C516" i="4"/>
  <c r="G515" i="4"/>
  <c r="C515" i="4"/>
  <c r="G514" i="4"/>
  <c r="C514" i="4"/>
  <c r="G513" i="4"/>
  <c r="C513" i="4"/>
  <c r="G512" i="4"/>
  <c r="C512" i="4"/>
  <c r="G511" i="4"/>
  <c r="C511" i="4"/>
  <c r="G510" i="4"/>
  <c r="C510" i="4"/>
  <c r="G509" i="4"/>
  <c r="C509" i="4"/>
  <c r="G508" i="4"/>
  <c r="C508" i="4"/>
  <c r="G507" i="4"/>
  <c r="C507" i="4"/>
  <c r="G506" i="4"/>
  <c r="C506" i="4"/>
  <c r="G505" i="4"/>
  <c r="C505" i="4"/>
  <c r="G504" i="4"/>
  <c r="C504" i="4"/>
  <c r="G503" i="4"/>
  <c r="C503" i="4"/>
  <c r="G502" i="4"/>
  <c r="C502" i="4"/>
  <c r="G501" i="4"/>
  <c r="C501" i="4"/>
  <c r="G500" i="4"/>
  <c r="C500" i="4"/>
  <c r="G499" i="4"/>
  <c r="C499" i="4"/>
  <c r="G498" i="4"/>
  <c r="C498" i="4"/>
  <c r="G497" i="4"/>
  <c r="C497" i="4"/>
  <c r="G496" i="4"/>
  <c r="C496" i="4"/>
  <c r="G495" i="4"/>
  <c r="C495" i="4"/>
  <c r="G494" i="4"/>
  <c r="C494" i="4"/>
  <c r="G493" i="4"/>
  <c r="C493" i="4"/>
  <c r="G492" i="4"/>
  <c r="C492" i="4"/>
  <c r="G491" i="4"/>
  <c r="C491" i="4"/>
  <c r="G490" i="4"/>
  <c r="C490" i="4"/>
  <c r="G489" i="4"/>
  <c r="C489" i="4"/>
  <c r="G488" i="4"/>
  <c r="C488" i="4"/>
  <c r="G487" i="4"/>
  <c r="C487" i="4"/>
  <c r="G486" i="4"/>
  <c r="C486" i="4"/>
  <c r="G485" i="4"/>
  <c r="C485" i="4"/>
  <c r="G484" i="4"/>
  <c r="C484" i="4"/>
  <c r="G483" i="4"/>
  <c r="C483" i="4"/>
  <c r="G482" i="4"/>
  <c r="C482" i="4"/>
  <c r="G481" i="4"/>
  <c r="C481" i="4"/>
  <c r="G480" i="4"/>
  <c r="C480" i="4"/>
  <c r="G479" i="4"/>
  <c r="C479" i="4"/>
  <c r="G478" i="4"/>
  <c r="C478" i="4"/>
  <c r="G477" i="4"/>
  <c r="C477" i="4"/>
  <c r="G476" i="4"/>
  <c r="C476" i="4"/>
  <c r="G475" i="4"/>
  <c r="C475" i="4"/>
  <c r="G474" i="4"/>
  <c r="C474" i="4"/>
  <c r="G473" i="4"/>
  <c r="C473" i="4"/>
  <c r="G472" i="4"/>
  <c r="C472" i="4"/>
  <c r="G471" i="4"/>
  <c r="C471" i="4"/>
  <c r="G470" i="4"/>
  <c r="C470" i="4"/>
  <c r="G469" i="4"/>
  <c r="C469" i="4"/>
  <c r="G468" i="4"/>
  <c r="C468" i="4"/>
  <c r="G467" i="4"/>
  <c r="C467" i="4"/>
  <c r="G466" i="4"/>
  <c r="C466" i="4"/>
  <c r="G465" i="4"/>
  <c r="C465" i="4"/>
  <c r="G464" i="4"/>
  <c r="C464" i="4"/>
  <c r="G463" i="4"/>
  <c r="C463" i="4"/>
  <c r="G462" i="4"/>
  <c r="C462" i="4"/>
  <c r="G461" i="4"/>
  <c r="C461" i="4"/>
  <c r="G460" i="4"/>
  <c r="C460" i="4"/>
  <c r="G459" i="4"/>
  <c r="C459" i="4"/>
  <c r="G458" i="4"/>
  <c r="C458" i="4"/>
  <c r="G457" i="4"/>
  <c r="C457" i="4"/>
  <c r="G456" i="4"/>
  <c r="C456" i="4"/>
  <c r="G455" i="4"/>
  <c r="C455" i="4"/>
  <c r="G454" i="4"/>
  <c r="C454" i="4"/>
  <c r="G453" i="4"/>
  <c r="C453" i="4"/>
  <c r="G452" i="4"/>
  <c r="C452" i="4"/>
  <c r="G451" i="4"/>
  <c r="C451" i="4"/>
  <c r="G450" i="4"/>
  <c r="C450" i="4"/>
  <c r="G449" i="4"/>
  <c r="C449" i="4"/>
  <c r="G448" i="4"/>
  <c r="C448" i="4"/>
  <c r="G447" i="4"/>
  <c r="C447" i="4"/>
  <c r="G446" i="4"/>
  <c r="C446" i="4"/>
  <c r="G445" i="4"/>
  <c r="C445" i="4"/>
  <c r="G444" i="4"/>
  <c r="C444" i="4"/>
  <c r="G443" i="4"/>
  <c r="C443" i="4"/>
  <c r="G442" i="4"/>
  <c r="C442" i="4"/>
  <c r="G441" i="4"/>
  <c r="C441" i="4"/>
  <c r="G440" i="4"/>
  <c r="C440" i="4"/>
  <c r="G439" i="4"/>
  <c r="C439" i="4"/>
  <c r="G438" i="4"/>
  <c r="C438" i="4"/>
  <c r="G437" i="4"/>
  <c r="C437" i="4"/>
  <c r="G436" i="4"/>
  <c r="C436" i="4"/>
  <c r="G435" i="4"/>
  <c r="C435" i="4"/>
  <c r="G434" i="4"/>
  <c r="C434" i="4"/>
  <c r="G433" i="4"/>
  <c r="C433" i="4"/>
  <c r="G432" i="4"/>
  <c r="C432" i="4"/>
  <c r="G431" i="4"/>
  <c r="C431" i="4"/>
  <c r="G430" i="4"/>
  <c r="C430" i="4"/>
  <c r="G429" i="4"/>
  <c r="C429" i="4"/>
  <c r="G428" i="4"/>
  <c r="C428" i="4"/>
  <c r="G427" i="4"/>
  <c r="C427" i="4"/>
  <c r="G426" i="4"/>
  <c r="C426" i="4"/>
  <c r="G425" i="4"/>
  <c r="C425" i="4"/>
  <c r="G424" i="4"/>
  <c r="C424" i="4"/>
  <c r="G423" i="4"/>
  <c r="C423" i="4"/>
  <c r="G422" i="4"/>
  <c r="C422" i="4"/>
  <c r="G421" i="4"/>
  <c r="C421" i="4"/>
  <c r="G420" i="4"/>
  <c r="C420" i="4"/>
  <c r="G419" i="4"/>
  <c r="C419" i="4"/>
  <c r="G418" i="4"/>
  <c r="C418" i="4"/>
  <c r="G417" i="4"/>
  <c r="C417" i="4"/>
  <c r="G416" i="4"/>
  <c r="C416" i="4"/>
  <c r="G415" i="4"/>
  <c r="C415" i="4"/>
  <c r="G414" i="4"/>
  <c r="C414" i="4"/>
  <c r="G413" i="4"/>
  <c r="C413" i="4"/>
  <c r="G412" i="4"/>
  <c r="C412" i="4"/>
  <c r="G411" i="4"/>
  <c r="C411" i="4"/>
  <c r="G410" i="4"/>
  <c r="C410" i="4"/>
  <c r="G409" i="4"/>
  <c r="C409" i="4"/>
  <c r="G408" i="4"/>
  <c r="C408" i="4"/>
  <c r="G407" i="4"/>
  <c r="C407" i="4"/>
  <c r="G406" i="4"/>
  <c r="C406" i="4"/>
  <c r="G405" i="4"/>
  <c r="C405" i="4"/>
  <c r="G404" i="4"/>
  <c r="C404" i="4"/>
  <c r="G403" i="4"/>
  <c r="C403" i="4"/>
  <c r="G402" i="4"/>
  <c r="C402" i="4"/>
  <c r="G401" i="4"/>
  <c r="C401" i="4"/>
  <c r="G400" i="4"/>
  <c r="C400" i="4"/>
  <c r="G399" i="4"/>
  <c r="C399" i="4"/>
  <c r="G398" i="4"/>
  <c r="C398" i="4"/>
  <c r="G397" i="4"/>
  <c r="C397" i="4"/>
  <c r="G396" i="4"/>
  <c r="C396" i="4"/>
  <c r="G395" i="4"/>
  <c r="C395" i="4"/>
  <c r="G394" i="4"/>
  <c r="C394" i="4"/>
  <c r="G393" i="4"/>
  <c r="C393" i="4"/>
  <c r="G392" i="4"/>
  <c r="C392" i="4"/>
  <c r="G391" i="4"/>
  <c r="C391" i="4"/>
  <c r="G390" i="4"/>
  <c r="C390" i="4"/>
  <c r="G389" i="4"/>
  <c r="C389" i="4"/>
  <c r="G388" i="4"/>
  <c r="C388" i="4"/>
  <c r="G387" i="4"/>
  <c r="C387" i="4"/>
  <c r="G386" i="4"/>
  <c r="C386" i="4"/>
  <c r="G385" i="4"/>
  <c r="C385" i="4"/>
  <c r="G384" i="4"/>
  <c r="C384" i="4"/>
  <c r="G383" i="4"/>
  <c r="C383" i="4"/>
  <c r="G382" i="4"/>
  <c r="C382" i="4"/>
  <c r="G381" i="4"/>
  <c r="C381" i="4"/>
  <c r="G380" i="4"/>
  <c r="C380" i="4"/>
  <c r="G379" i="4"/>
  <c r="C379" i="4"/>
  <c r="G378" i="4"/>
  <c r="C378" i="4"/>
  <c r="G377" i="4"/>
  <c r="C377" i="4"/>
  <c r="G376" i="4"/>
  <c r="C376" i="4"/>
  <c r="G375" i="4"/>
  <c r="C375" i="4"/>
  <c r="G374" i="4"/>
  <c r="C374" i="4"/>
  <c r="G373" i="4"/>
  <c r="C373" i="4"/>
  <c r="G372" i="4"/>
  <c r="C372" i="4"/>
  <c r="G371" i="4"/>
  <c r="C371" i="4"/>
  <c r="G370" i="4"/>
  <c r="C370" i="4"/>
  <c r="G369" i="4"/>
  <c r="C369" i="4"/>
  <c r="G368" i="4"/>
  <c r="C368" i="4"/>
  <c r="G367" i="4"/>
  <c r="C367" i="4"/>
  <c r="G366" i="4"/>
  <c r="C366" i="4"/>
  <c r="G365" i="4"/>
  <c r="C365" i="4"/>
  <c r="G364" i="4"/>
  <c r="C364" i="4"/>
  <c r="G363" i="4"/>
  <c r="C363" i="4"/>
  <c r="G362" i="4"/>
  <c r="C362" i="4"/>
  <c r="G361" i="4"/>
  <c r="C361" i="4"/>
  <c r="G360" i="4"/>
  <c r="C360" i="4"/>
  <c r="G359" i="4"/>
  <c r="C359" i="4"/>
  <c r="G358" i="4"/>
  <c r="C358" i="4"/>
  <c r="G357" i="4"/>
  <c r="C357" i="4"/>
  <c r="G356" i="4"/>
  <c r="C356" i="4"/>
  <c r="G355" i="4"/>
  <c r="C355" i="4"/>
  <c r="G354" i="4"/>
  <c r="C354" i="4"/>
  <c r="G353" i="4"/>
  <c r="C353" i="4"/>
  <c r="G352" i="4"/>
  <c r="C352" i="4"/>
  <c r="G351" i="4"/>
  <c r="C351" i="4"/>
  <c r="G350" i="4"/>
  <c r="C350" i="4"/>
  <c r="G349" i="4"/>
  <c r="C349" i="4"/>
  <c r="G348" i="4"/>
  <c r="C348" i="4"/>
  <c r="G347" i="4"/>
  <c r="C347" i="4"/>
  <c r="G346" i="4"/>
  <c r="C346" i="4"/>
  <c r="G345" i="4"/>
  <c r="C345" i="4"/>
  <c r="G344" i="4"/>
  <c r="C344" i="4"/>
  <c r="G343" i="4"/>
  <c r="C343" i="4"/>
  <c r="G342" i="4"/>
  <c r="C342" i="4"/>
  <c r="G341" i="4"/>
  <c r="C341" i="4"/>
  <c r="G340" i="4"/>
  <c r="C340" i="4"/>
  <c r="G339" i="4"/>
  <c r="C339" i="4"/>
  <c r="G338" i="4"/>
  <c r="C338" i="4"/>
  <c r="G337" i="4"/>
  <c r="C337" i="4"/>
  <c r="G336" i="4"/>
  <c r="C336" i="4"/>
  <c r="G335" i="4"/>
  <c r="C335" i="4"/>
  <c r="G334" i="4"/>
  <c r="C334" i="4"/>
  <c r="G333" i="4"/>
  <c r="C333" i="4"/>
  <c r="G332" i="4"/>
  <c r="C332" i="4"/>
  <c r="G331" i="4"/>
  <c r="C331" i="4"/>
  <c r="G330" i="4"/>
  <c r="C330" i="4"/>
  <c r="G329" i="4"/>
  <c r="C329" i="4"/>
  <c r="G328" i="4"/>
  <c r="C328" i="4"/>
  <c r="G327" i="4"/>
  <c r="C327" i="4"/>
  <c r="G326" i="4"/>
  <c r="C326" i="4"/>
  <c r="G325" i="4"/>
  <c r="C325" i="4"/>
  <c r="G324" i="4"/>
  <c r="C324" i="4"/>
  <c r="G323" i="4"/>
  <c r="C323" i="4"/>
  <c r="G322" i="4"/>
  <c r="C322" i="4"/>
  <c r="G321" i="4"/>
  <c r="C321" i="4"/>
  <c r="G320" i="4"/>
  <c r="C320" i="4"/>
  <c r="G319" i="4"/>
  <c r="C319" i="4"/>
  <c r="G318" i="4"/>
  <c r="C318" i="4"/>
  <c r="G317" i="4"/>
  <c r="C317" i="4"/>
  <c r="G316" i="4"/>
  <c r="C316" i="4"/>
  <c r="G315" i="4"/>
  <c r="C315" i="4"/>
  <c r="G314" i="4"/>
  <c r="C314" i="4"/>
  <c r="G313" i="4"/>
  <c r="C313" i="4"/>
  <c r="G312" i="4"/>
  <c r="C312" i="4"/>
  <c r="G311" i="4"/>
  <c r="C311" i="4"/>
  <c r="G310" i="4"/>
  <c r="C310" i="4"/>
  <c r="G309" i="4"/>
  <c r="C309" i="4"/>
  <c r="G308" i="4"/>
  <c r="C308" i="4"/>
  <c r="G307" i="4"/>
  <c r="C307" i="4"/>
  <c r="G306" i="4"/>
  <c r="C306" i="4"/>
  <c r="G305" i="4"/>
  <c r="C305" i="4"/>
  <c r="G304" i="4"/>
  <c r="C304" i="4"/>
  <c r="G303" i="4"/>
  <c r="C303" i="4"/>
  <c r="G302" i="4"/>
  <c r="C302" i="4"/>
  <c r="G301" i="4"/>
  <c r="C301" i="4"/>
  <c r="G300" i="4"/>
  <c r="C300" i="4"/>
  <c r="G299" i="4"/>
  <c r="C299" i="4"/>
  <c r="G298" i="4"/>
  <c r="C298" i="4"/>
  <c r="G297" i="4"/>
  <c r="C297" i="4"/>
  <c r="G296" i="4"/>
  <c r="C296" i="4"/>
  <c r="G295" i="4"/>
  <c r="C295" i="4"/>
  <c r="G294" i="4"/>
  <c r="C294" i="4"/>
  <c r="G293" i="4"/>
  <c r="C293" i="4"/>
  <c r="G292" i="4"/>
  <c r="C292" i="4"/>
  <c r="G291" i="4"/>
  <c r="C291" i="4"/>
  <c r="G290" i="4"/>
  <c r="C290" i="4"/>
  <c r="G289" i="4"/>
  <c r="C289" i="4"/>
  <c r="G288" i="4"/>
  <c r="C288" i="4"/>
  <c r="G287" i="4"/>
  <c r="C287" i="4"/>
  <c r="G286" i="4"/>
  <c r="C286" i="4"/>
  <c r="G285" i="4"/>
  <c r="C285" i="4"/>
  <c r="G284" i="4"/>
  <c r="C284" i="4"/>
  <c r="G283" i="4"/>
  <c r="C283" i="4"/>
  <c r="G282" i="4"/>
  <c r="C282" i="4"/>
  <c r="G281" i="4"/>
  <c r="C281" i="4"/>
  <c r="G280" i="4"/>
  <c r="C280" i="4"/>
  <c r="G279" i="4"/>
  <c r="C279" i="4"/>
  <c r="G278" i="4"/>
  <c r="C278" i="4"/>
  <c r="G277" i="4"/>
  <c r="C277" i="4"/>
  <c r="G276" i="4"/>
  <c r="C276" i="4"/>
  <c r="G275" i="4"/>
  <c r="C275" i="4"/>
  <c r="G274" i="4"/>
  <c r="C274" i="4"/>
  <c r="G273" i="4"/>
  <c r="C273" i="4"/>
  <c r="G272" i="4"/>
  <c r="C272" i="4"/>
  <c r="G271" i="4"/>
  <c r="C271" i="4"/>
  <c r="G270" i="4"/>
  <c r="C270" i="4"/>
  <c r="G269" i="4"/>
  <c r="C269" i="4"/>
  <c r="G268" i="4"/>
  <c r="C268" i="4"/>
  <c r="G267" i="4"/>
  <c r="C267" i="4"/>
  <c r="G266" i="4"/>
  <c r="C266" i="4"/>
  <c r="G265" i="4"/>
  <c r="C265" i="4"/>
  <c r="G264" i="4"/>
  <c r="C264" i="4"/>
  <c r="G263" i="4"/>
  <c r="C263" i="4"/>
  <c r="G262" i="4"/>
  <c r="C262" i="4"/>
  <c r="G261" i="4"/>
  <c r="C261" i="4"/>
  <c r="G260" i="4"/>
  <c r="C260" i="4"/>
  <c r="G259" i="4"/>
  <c r="C259" i="4"/>
  <c r="G258" i="4"/>
  <c r="C258" i="4"/>
  <c r="G257" i="4"/>
  <c r="C257" i="4"/>
  <c r="G256" i="4"/>
  <c r="C256" i="4"/>
  <c r="G255" i="4"/>
  <c r="C255" i="4"/>
  <c r="G254" i="4"/>
  <c r="C254" i="4"/>
  <c r="G253" i="4"/>
  <c r="C253" i="4"/>
  <c r="G252" i="4"/>
  <c r="C252" i="4"/>
  <c r="G251" i="4"/>
  <c r="C251" i="4"/>
  <c r="G250" i="4"/>
  <c r="C250" i="4"/>
  <c r="G249" i="4"/>
  <c r="C249" i="4"/>
  <c r="G248" i="4"/>
  <c r="C248" i="4"/>
  <c r="G247" i="4"/>
  <c r="C247" i="4"/>
  <c r="G246" i="4"/>
  <c r="C246" i="4"/>
  <c r="G245" i="4"/>
  <c r="C245" i="4"/>
  <c r="G244" i="4"/>
  <c r="C244" i="4"/>
  <c r="G243" i="4"/>
  <c r="C243" i="4"/>
  <c r="G242" i="4"/>
  <c r="C242" i="4"/>
  <c r="G241" i="4"/>
  <c r="C241" i="4"/>
  <c r="G240" i="4"/>
  <c r="C240" i="4"/>
  <c r="G239" i="4"/>
  <c r="C239" i="4"/>
  <c r="G238" i="4"/>
  <c r="C238" i="4"/>
  <c r="G237" i="4"/>
  <c r="C237" i="4"/>
  <c r="G236" i="4"/>
  <c r="C236" i="4"/>
  <c r="G235" i="4"/>
  <c r="C235" i="4"/>
  <c r="G234" i="4"/>
  <c r="C234" i="4"/>
  <c r="G233" i="4"/>
  <c r="C233" i="4"/>
  <c r="G232" i="4"/>
  <c r="C232" i="4"/>
  <c r="G231" i="4"/>
  <c r="C231" i="4"/>
  <c r="G230" i="4"/>
  <c r="C230" i="4"/>
  <c r="G229" i="4"/>
  <c r="C229" i="4"/>
  <c r="G228" i="4"/>
  <c r="C228" i="4"/>
  <c r="G227" i="4"/>
  <c r="C227" i="4"/>
  <c r="G226" i="4"/>
  <c r="C226" i="4"/>
  <c r="G225" i="4"/>
  <c r="C225" i="4"/>
  <c r="G224" i="4"/>
  <c r="C224" i="4"/>
  <c r="G223" i="4"/>
  <c r="C223" i="4"/>
  <c r="G222" i="4"/>
  <c r="C222" i="4"/>
  <c r="G221" i="4"/>
  <c r="C221" i="4"/>
  <c r="G220" i="4"/>
  <c r="C220" i="4"/>
  <c r="G219" i="4"/>
  <c r="C219" i="4"/>
  <c r="G218" i="4"/>
  <c r="C218" i="4"/>
  <c r="G217" i="4"/>
  <c r="C217" i="4"/>
  <c r="G216" i="4"/>
  <c r="C216" i="4"/>
  <c r="G215" i="4"/>
  <c r="C215" i="4"/>
  <c r="G214" i="4"/>
  <c r="C214" i="4"/>
  <c r="G213" i="4"/>
  <c r="C213" i="4"/>
  <c r="G212" i="4"/>
  <c r="C212" i="4"/>
  <c r="G211" i="4"/>
  <c r="C211" i="4"/>
  <c r="G210" i="4"/>
  <c r="C210" i="4"/>
  <c r="G209" i="4"/>
  <c r="C209" i="4"/>
  <c r="G208" i="4"/>
  <c r="C208" i="4"/>
  <c r="G207" i="4"/>
  <c r="C207" i="4"/>
  <c r="G206" i="4"/>
  <c r="C206" i="4"/>
  <c r="G205" i="4"/>
  <c r="C205" i="4"/>
  <c r="G204" i="4"/>
  <c r="C204" i="4"/>
  <c r="G203" i="4"/>
  <c r="C203" i="4"/>
  <c r="G202" i="4"/>
  <c r="C202" i="4"/>
  <c r="G201" i="4"/>
  <c r="C201" i="4"/>
  <c r="G200" i="4"/>
  <c r="C200" i="4"/>
  <c r="G199" i="4"/>
  <c r="C199" i="4"/>
  <c r="G198" i="4"/>
  <c r="C198" i="4"/>
  <c r="G197" i="4"/>
  <c r="C197" i="4"/>
  <c r="G196" i="4"/>
  <c r="C196" i="4"/>
  <c r="G195" i="4"/>
  <c r="C195" i="4"/>
  <c r="G194" i="4"/>
  <c r="C194" i="4"/>
  <c r="G193" i="4"/>
  <c r="C193" i="4"/>
  <c r="G192" i="4"/>
  <c r="C192" i="4"/>
  <c r="G191" i="4"/>
  <c r="C191" i="4"/>
  <c r="G190" i="4"/>
  <c r="C190" i="4"/>
  <c r="G189" i="4"/>
  <c r="C189" i="4"/>
  <c r="G188" i="4"/>
  <c r="C188" i="4"/>
  <c r="G187" i="4"/>
  <c r="C187" i="4"/>
  <c r="G186" i="4"/>
  <c r="C186" i="4"/>
  <c r="G185" i="4"/>
  <c r="C185" i="4"/>
  <c r="G184" i="4"/>
  <c r="C184" i="4"/>
  <c r="G183" i="4"/>
  <c r="C183" i="4"/>
  <c r="G182" i="4"/>
  <c r="C182" i="4"/>
  <c r="G181" i="4"/>
  <c r="C181" i="4"/>
  <c r="G180" i="4"/>
  <c r="C180" i="4"/>
  <c r="G179" i="4"/>
  <c r="C179" i="4"/>
  <c r="G178" i="4"/>
  <c r="C178" i="4"/>
  <c r="G177" i="4"/>
  <c r="C177" i="4"/>
  <c r="G176" i="4"/>
  <c r="C176" i="4"/>
  <c r="G175" i="4"/>
  <c r="C175" i="4"/>
  <c r="G174" i="4"/>
  <c r="C174" i="4"/>
  <c r="G173" i="4"/>
  <c r="C173" i="4"/>
  <c r="G172" i="4"/>
  <c r="C172" i="4"/>
  <c r="G171" i="4"/>
  <c r="C171" i="4"/>
  <c r="G170" i="4"/>
  <c r="C170" i="4"/>
  <c r="G169" i="4"/>
  <c r="C169" i="4"/>
  <c r="G168" i="4"/>
  <c r="C168" i="4"/>
  <c r="G167" i="4"/>
  <c r="C167" i="4"/>
  <c r="G166" i="4"/>
  <c r="C166" i="4"/>
  <c r="G165" i="4"/>
  <c r="C165" i="4"/>
  <c r="G164" i="4"/>
  <c r="C164" i="4"/>
  <c r="G163" i="4"/>
  <c r="C163" i="4"/>
  <c r="G162" i="4"/>
  <c r="C162" i="4"/>
  <c r="G161" i="4"/>
  <c r="C161" i="4"/>
  <c r="G160" i="4"/>
  <c r="C160" i="4"/>
  <c r="G159" i="4"/>
  <c r="C159" i="4"/>
  <c r="G158" i="4"/>
  <c r="C158" i="4"/>
  <c r="G157" i="4"/>
  <c r="C157" i="4"/>
  <c r="G156" i="4"/>
  <c r="C156" i="4"/>
  <c r="G155" i="4"/>
  <c r="C155" i="4"/>
  <c r="G154" i="4"/>
  <c r="C154" i="4"/>
  <c r="G153" i="4"/>
  <c r="C153" i="4"/>
  <c r="G152" i="4"/>
  <c r="C152" i="4"/>
  <c r="G151" i="4"/>
  <c r="C151" i="4"/>
  <c r="G150" i="4"/>
  <c r="C150" i="4"/>
  <c r="G149" i="4"/>
  <c r="C149" i="4"/>
  <c r="G148" i="4"/>
  <c r="C148" i="4"/>
  <c r="G147" i="4"/>
  <c r="C147" i="4"/>
  <c r="G146" i="4"/>
  <c r="C146" i="4"/>
  <c r="G145" i="4"/>
  <c r="C145" i="4"/>
  <c r="G144" i="4"/>
  <c r="C144" i="4"/>
  <c r="G143" i="4"/>
  <c r="C143" i="4"/>
  <c r="G142" i="4"/>
  <c r="C142" i="4"/>
  <c r="G141" i="4"/>
  <c r="C141" i="4"/>
  <c r="G140" i="4"/>
  <c r="C140" i="4"/>
  <c r="G139" i="4"/>
  <c r="C139" i="4"/>
  <c r="G138" i="4"/>
  <c r="C138" i="4"/>
  <c r="G137" i="4"/>
  <c r="C137" i="4"/>
  <c r="G136" i="4"/>
  <c r="C136" i="4"/>
  <c r="G135" i="4"/>
  <c r="C135" i="4"/>
  <c r="G134" i="4"/>
  <c r="C134" i="4"/>
  <c r="G133" i="4"/>
  <c r="C133" i="4"/>
  <c r="G132" i="4"/>
  <c r="C132" i="4"/>
  <c r="G131" i="4"/>
  <c r="C131" i="4"/>
  <c r="G130" i="4"/>
  <c r="C130" i="4"/>
  <c r="G129" i="4"/>
  <c r="C129" i="4"/>
  <c r="G128" i="4"/>
  <c r="C128" i="4"/>
  <c r="G127" i="4"/>
  <c r="C127" i="4"/>
  <c r="G126" i="4"/>
  <c r="C126" i="4"/>
  <c r="G125" i="4"/>
  <c r="C125" i="4"/>
  <c r="G124" i="4"/>
  <c r="C124" i="4"/>
  <c r="G123" i="4"/>
  <c r="C123" i="4"/>
  <c r="G122" i="4"/>
  <c r="C122" i="4"/>
  <c r="G121" i="4"/>
  <c r="C121" i="4"/>
  <c r="G120" i="4"/>
  <c r="C120" i="4"/>
  <c r="G119" i="4"/>
  <c r="C119" i="4"/>
  <c r="G118" i="4"/>
  <c r="C118" i="4"/>
  <c r="G117" i="4"/>
  <c r="C117" i="4"/>
  <c r="G116" i="4"/>
  <c r="C116" i="4"/>
  <c r="G115" i="4"/>
  <c r="C115" i="4"/>
  <c r="G114" i="4"/>
  <c r="C114" i="4"/>
  <c r="G113" i="4"/>
  <c r="C113" i="4"/>
  <c r="G112" i="4"/>
  <c r="C112" i="4"/>
  <c r="G111" i="4"/>
  <c r="C111" i="4"/>
  <c r="G110" i="4"/>
  <c r="C110" i="4"/>
  <c r="G109" i="4"/>
  <c r="C109" i="4"/>
  <c r="G108" i="4"/>
  <c r="C108" i="4"/>
  <c r="G107" i="4"/>
  <c r="C107" i="4"/>
  <c r="G106" i="4"/>
  <c r="C106" i="4"/>
  <c r="G105" i="4"/>
  <c r="C105" i="4"/>
  <c r="G104" i="4"/>
  <c r="C104" i="4"/>
  <c r="G103" i="4"/>
  <c r="C103" i="4"/>
  <c r="G102" i="4"/>
  <c r="C102" i="4"/>
  <c r="G101" i="4"/>
  <c r="C101" i="4"/>
  <c r="G100" i="4"/>
  <c r="C100" i="4"/>
  <c r="G99" i="4"/>
  <c r="C99" i="4"/>
  <c r="G98" i="4"/>
  <c r="C98" i="4"/>
  <c r="G97" i="4"/>
  <c r="C97" i="4"/>
  <c r="G96" i="4"/>
  <c r="C96" i="4"/>
  <c r="G95" i="4"/>
  <c r="C95" i="4"/>
  <c r="G94" i="4"/>
  <c r="C94" i="4"/>
  <c r="G93" i="4"/>
  <c r="C93" i="4"/>
  <c r="G92" i="4"/>
  <c r="C92" i="4"/>
  <c r="G91" i="4"/>
  <c r="C91" i="4"/>
  <c r="G90" i="4"/>
  <c r="C90" i="4"/>
  <c r="G89" i="4"/>
  <c r="C89" i="4"/>
  <c r="G88" i="4"/>
  <c r="C88" i="4"/>
  <c r="G87" i="4"/>
  <c r="C87" i="4"/>
  <c r="G86" i="4"/>
  <c r="C86" i="4"/>
  <c r="G85" i="4"/>
  <c r="C85" i="4"/>
  <c r="G84" i="4"/>
  <c r="C84" i="4"/>
  <c r="G83" i="4"/>
  <c r="C83" i="4"/>
  <c r="G82" i="4"/>
  <c r="C82" i="4"/>
  <c r="G81" i="4"/>
  <c r="C81" i="4"/>
  <c r="G80" i="4"/>
  <c r="C80" i="4"/>
  <c r="G79" i="4"/>
  <c r="C79" i="4"/>
  <c r="G78" i="4"/>
  <c r="C78" i="4"/>
  <c r="G77" i="4"/>
  <c r="C77" i="4"/>
  <c r="G76" i="4"/>
  <c r="C76" i="4"/>
  <c r="G75" i="4"/>
  <c r="C75" i="4"/>
  <c r="G74" i="4"/>
  <c r="C74" i="4"/>
  <c r="G73" i="4"/>
  <c r="C73" i="4"/>
  <c r="G72" i="4"/>
  <c r="C72" i="4"/>
  <c r="G71" i="4"/>
  <c r="C71" i="4"/>
  <c r="G70" i="4"/>
  <c r="C70" i="4"/>
  <c r="G69" i="4"/>
  <c r="C69" i="4"/>
  <c r="G68" i="4"/>
  <c r="C68" i="4"/>
  <c r="G67" i="4"/>
  <c r="C67" i="4"/>
  <c r="G66" i="4"/>
  <c r="C66" i="4"/>
  <c r="G65" i="4"/>
  <c r="C65" i="4"/>
  <c r="G64" i="4"/>
  <c r="C64" i="4"/>
  <c r="G63" i="4"/>
  <c r="C63" i="4"/>
  <c r="G62" i="4"/>
  <c r="C62" i="4"/>
  <c r="G61" i="4"/>
  <c r="C61" i="4"/>
  <c r="G60" i="4"/>
  <c r="C60" i="4"/>
  <c r="G59" i="4"/>
  <c r="C59" i="4"/>
  <c r="G58" i="4"/>
  <c r="C58" i="4"/>
  <c r="G57" i="4"/>
  <c r="C57" i="4"/>
  <c r="G56" i="4"/>
  <c r="C56" i="4"/>
  <c r="G55" i="4"/>
  <c r="C55" i="4"/>
  <c r="G54" i="4"/>
  <c r="C54" i="4"/>
  <c r="G53" i="4"/>
  <c r="C53" i="4"/>
  <c r="G52" i="4"/>
  <c r="C52" i="4"/>
  <c r="G51" i="4"/>
  <c r="C51" i="4"/>
  <c r="G50" i="4"/>
  <c r="C50" i="4"/>
  <c r="G49" i="4"/>
  <c r="C49" i="4"/>
  <c r="G48" i="4"/>
  <c r="C48" i="4"/>
  <c r="G47" i="4"/>
  <c r="C47" i="4"/>
  <c r="G46" i="4"/>
  <c r="C46" i="4"/>
  <c r="G45" i="4"/>
  <c r="C45" i="4"/>
  <c r="G44" i="4"/>
  <c r="C44" i="4"/>
  <c r="G43" i="4"/>
  <c r="C43" i="4"/>
  <c r="G42" i="4"/>
  <c r="C42" i="4"/>
  <c r="G41" i="4"/>
  <c r="C41" i="4"/>
  <c r="G40" i="4"/>
  <c r="C40" i="4"/>
  <c r="G39" i="4"/>
  <c r="C39" i="4"/>
  <c r="G38" i="4"/>
  <c r="C38" i="4"/>
  <c r="G37" i="4"/>
  <c r="C37" i="4"/>
  <c r="G36" i="4"/>
  <c r="C36" i="4"/>
  <c r="G35" i="4"/>
  <c r="C35" i="4"/>
  <c r="G34" i="4"/>
  <c r="C34" i="4"/>
  <c r="G33" i="4"/>
  <c r="C33" i="4"/>
  <c r="G32" i="4"/>
  <c r="C32" i="4"/>
  <c r="G31" i="4"/>
  <c r="C31" i="4"/>
  <c r="G30" i="4"/>
  <c r="C30" i="4"/>
  <c r="G29" i="4"/>
  <c r="C29" i="4"/>
  <c r="G28" i="4"/>
  <c r="C28" i="4"/>
  <c r="G27" i="4"/>
  <c r="C27" i="4"/>
  <c r="G26" i="4"/>
  <c r="C26" i="4"/>
  <c r="G25" i="4"/>
  <c r="C25" i="4"/>
  <c r="G24" i="4"/>
  <c r="C24" i="4"/>
  <c r="G23" i="4"/>
  <c r="C23" i="4"/>
  <c r="G22" i="4"/>
  <c r="C22" i="4"/>
  <c r="G21" i="4"/>
  <c r="C21" i="4"/>
  <c r="G20" i="4"/>
  <c r="C20" i="4"/>
  <c r="G19" i="4"/>
  <c r="C19" i="4"/>
  <c r="G18" i="4"/>
  <c r="C18" i="4"/>
  <c r="G17" i="4"/>
  <c r="C17" i="4"/>
  <c r="G16" i="4"/>
  <c r="C16" i="4"/>
  <c r="G15" i="4"/>
  <c r="C15" i="4"/>
  <c r="G14" i="4"/>
  <c r="C14" i="4"/>
  <c r="G13" i="4"/>
  <c r="C13" i="4"/>
  <c r="G12" i="4"/>
  <c r="C12" i="4"/>
  <c r="G11" i="4"/>
  <c r="C11" i="4"/>
  <c r="G10" i="4"/>
  <c r="C10" i="4"/>
  <c r="G9" i="4"/>
  <c r="C9" i="4"/>
  <c r="G8" i="4"/>
  <c r="C8" i="4"/>
  <c r="G7" i="4"/>
  <c r="C7" i="4"/>
  <c r="G6" i="4"/>
  <c r="C6" i="4"/>
  <c r="G5" i="4"/>
  <c r="C5" i="4"/>
  <c r="AB40" i="3"/>
  <c r="AA40" i="3"/>
  <c r="Z40" i="3"/>
  <c r="Y40" i="3"/>
  <c r="X40" i="3"/>
  <c r="AB39" i="3"/>
  <c r="AA39" i="3"/>
  <c r="Z39" i="3"/>
  <c r="Y39" i="3"/>
  <c r="X39" i="3"/>
  <c r="AB38" i="3"/>
  <c r="AA38" i="3"/>
  <c r="Z38" i="3"/>
  <c r="Y38" i="3"/>
  <c r="X38" i="3"/>
  <c r="AB37" i="3"/>
  <c r="AA37" i="3"/>
  <c r="Z37" i="3"/>
  <c r="Y37" i="3"/>
  <c r="X37" i="3"/>
  <c r="AB36" i="3"/>
  <c r="AA36" i="3"/>
  <c r="Z36" i="3"/>
  <c r="Y36" i="3"/>
  <c r="AB35" i="3"/>
  <c r="AA35" i="3"/>
  <c r="Z35" i="3"/>
  <c r="Y35" i="3"/>
  <c r="X35" i="3"/>
  <c r="AB34" i="3"/>
  <c r="AB33" i="3"/>
  <c r="AA33" i="3"/>
  <c r="Z33" i="3"/>
  <c r="Y33" i="3"/>
  <c r="X33" i="3"/>
  <c r="AB32" i="3"/>
  <c r="AA32" i="3"/>
  <c r="Z32" i="3"/>
  <c r="Y32" i="3"/>
  <c r="X32" i="3"/>
  <c r="AB31" i="3"/>
  <c r="AA31" i="3"/>
  <c r="Z31" i="3"/>
  <c r="Y31" i="3"/>
  <c r="X31" i="3"/>
  <c r="AB30" i="3"/>
  <c r="AA30" i="3"/>
  <c r="Z30" i="3"/>
  <c r="Y30" i="3"/>
  <c r="X30" i="3"/>
  <c r="N30" i="3"/>
  <c r="M30" i="3"/>
  <c r="L30" i="3"/>
  <c r="K30" i="3"/>
  <c r="J30" i="3"/>
  <c r="AB29" i="3"/>
  <c r="AA29" i="3"/>
  <c r="Z29" i="3"/>
  <c r="Y29" i="3"/>
  <c r="X29" i="3"/>
  <c r="N29" i="3"/>
  <c r="M29" i="3"/>
  <c r="L29" i="3"/>
  <c r="K29" i="3"/>
  <c r="J29" i="3"/>
  <c r="AB28" i="3"/>
  <c r="AA28" i="3"/>
  <c r="Z28" i="3"/>
  <c r="Y28" i="3"/>
  <c r="X28" i="3"/>
  <c r="N28" i="3"/>
  <c r="M28" i="3"/>
  <c r="L28" i="3"/>
  <c r="K28" i="3"/>
  <c r="J28" i="3"/>
  <c r="AB27" i="3"/>
  <c r="AA27" i="3"/>
  <c r="Z27" i="3"/>
  <c r="Y27" i="3"/>
  <c r="X27" i="3"/>
  <c r="N27" i="3"/>
  <c r="M27" i="3"/>
  <c r="L27" i="3"/>
  <c r="K27" i="3"/>
  <c r="J27" i="3"/>
  <c r="AB26" i="3"/>
  <c r="AA26" i="3"/>
  <c r="Z26" i="3"/>
  <c r="Y26" i="3"/>
  <c r="X26" i="3"/>
  <c r="N26" i="3"/>
  <c r="M26" i="3"/>
  <c r="L26" i="3"/>
  <c r="K26" i="3"/>
  <c r="J26" i="3"/>
  <c r="AB25" i="3"/>
  <c r="AA25" i="3"/>
  <c r="Z25" i="3"/>
  <c r="Y25" i="3"/>
  <c r="X25" i="3"/>
  <c r="N25" i="3"/>
  <c r="M25" i="3"/>
  <c r="L25" i="3"/>
  <c r="K25" i="3"/>
  <c r="J25" i="3"/>
  <c r="AB23" i="3"/>
  <c r="AA23" i="3"/>
  <c r="Z23" i="3"/>
  <c r="Y23" i="3"/>
  <c r="X23" i="3"/>
  <c r="AB22" i="3"/>
  <c r="AA22" i="3"/>
  <c r="Z22" i="3"/>
  <c r="Y22" i="3"/>
  <c r="X22" i="3"/>
  <c r="N22" i="3"/>
  <c r="M22" i="3"/>
  <c r="L22" i="3"/>
  <c r="K22" i="3"/>
  <c r="J22" i="3"/>
  <c r="AB21" i="3"/>
  <c r="AA21" i="3"/>
  <c r="Z21" i="3"/>
  <c r="Y21" i="3"/>
  <c r="X21" i="3"/>
  <c r="N21" i="3"/>
  <c r="M21" i="3"/>
  <c r="L21" i="3"/>
  <c r="K21" i="3"/>
  <c r="J21" i="3"/>
  <c r="AB20" i="3"/>
  <c r="AA20" i="3"/>
  <c r="Z20" i="3"/>
  <c r="Y20" i="3"/>
  <c r="X20" i="3"/>
  <c r="N20" i="3"/>
  <c r="M20" i="3"/>
  <c r="L20" i="3"/>
  <c r="K20" i="3"/>
  <c r="J20" i="3"/>
  <c r="AB19" i="3"/>
  <c r="AA19" i="3"/>
  <c r="Z19" i="3"/>
  <c r="Y19" i="3"/>
  <c r="X19" i="3"/>
  <c r="N19" i="3"/>
  <c r="M19" i="3"/>
  <c r="L19" i="3"/>
  <c r="K19" i="3"/>
  <c r="J19" i="3"/>
  <c r="AB18" i="3"/>
  <c r="AA18" i="3"/>
  <c r="Z18" i="3"/>
  <c r="Y18" i="3"/>
  <c r="X18" i="3"/>
  <c r="N18" i="3"/>
  <c r="M18" i="3"/>
  <c r="L18" i="3"/>
  <c r="K18" i="3"/>
  <c r="J18" i="3"/>
  <c r="AB17" i="3"/>
  <c r="AA17" i="3"/>
  <c r="Z17" i="3"/>
  <c r="Y17" i="3"/>
  <c r="X17" i="3"/>
  <c r="N17" i="3"/>
  <c r="M17" i="3"/>
  <c r="L17" i="3"/>
  <c r="K17" i="3"/>
  <c r="J17" i="3"/>
  <c r="AB16" i="3"/>
  <c r="AA16" i="3"/>
  <c r="Z16" i="3"/>
  <c r="Y16" i="3"/>
  <c r="X16" i="3"/>
  <c r="M16" i="3"/>
  <c r="K16" i="3"/>
  <c r="J16" i="3"/>
  <c r="AB15" i="3"/>
  <c r="AA15" i="3"/>
  <c r="Z15" i="3"/>
  <c r="Y15" i="3"/>
  <c r="X15" i="3"/>
  <c r="N15" i="3"/>
  <c r="M15" i="3"/>
  <c r="L15" i="3"/>
  <c r="K15" i="3"/>
  <c r="J15" i="3"/>
  <c r="N14" i="3"/>
  <c r="M14" i="3"/>
  <c r="L14" i="3"/>
  <c r="K14" i="3"/>
  <c r="J14" i="3"/>
  <c r="AB13" i="3"/>
  <c r="AA13" i="3"/>
  <c r="Z13" i="3"/>
  <c r="Y13" i="3"/>
  <c r="X13" i="3"/>
  <c r="N13" i="3"/>
  <c r="M13" i="3"/>
  <c r="L13" i="3"/>
  <c r="K13" i="3"/>
  <c r="J13" i="3"/>
  <c r="AB12" i="3"/>
  <c r="AA12" i="3"/>
  <c r="Z12" i="3"/>
  <c r="Y12" i="3"/>
  <c r="X12" i="3"/>
  <c r="N12" i="3"/>
  <c r="M12" i="3"/>
  <c r="L12" i="3"/>
  <c r="K12" i="3"/>
  <c r="J12" i="3"/>
  <c r="N11" i="3"/>
  <c r="M11" i="3"/>
  <c r="L11" i="3"/>
  <c r="K11" i="3"/>
  <c r="J11" i="3"/>
  <c r="N10" i="3"/>
  <c r="M10" i="3"/>
  <c r="L10" i="3"/>
  <c r="K10" i="3"/>
  <c r="J10" i="3"/>
  <c r="N9" i="3"/>
  <c r="M9" i="3"/>
  <c r="L9" i="3"/>
  <c r="K9" i="3"/>
  <c r="J9" i="3"/>
  <c r="AB8" i="3"/>
  <c r="AA8" i="3"/>
  <c r="Z8" i="3"/>
  <c r="Y8" i="3"/>
  <c r="X8" i="3"/>
  <c r="M8" i="3"/>
  <c r="L8" i="3"/>
  <c r="K8" i="3"/>
  <c r="J8" i="3"/>
  <c r="M7" i="3"/>
  <c r="L7" i="3"/>
  <c r="K7" i="3"/>
  <c r="J7" i="3"/>
  <c r="AB6" i="3"/>
  <c r="AA6" i="3"/>
  <c r="Z6" i="3"/>
  <c r="Y6" i="3"/>
  <c r="X6" i="3"/>
  <c r="N6" i="3"/>
  <c r="M6" i="3"/>
  <c r="L6" i="3"/>
  <c r="K6" i="3"/>
  <c r="J6" i="3"/>
  <c r="AB5" i="3"/>
  <c r="AA5" i="3"/>
  <c r="Z5" i="3"/>
  <c r="Y5" i="3"/>
  <c r="X5" i="3"/>
  <c r="N5" i="3"/>
  <c r="M5" i="3"/>
  <c r="L5" i="3"/>
  <c r="K5" i="3"/>
  <c r="J5" i="3"/>
  <c r="AB4" i="3"/>
  <c r="AA4" i="3"/>
  <c r="Z4" i="3"/>
  <c r="Y4" i="3"/>
  <c r="X4" i="3"/>
  <c r="N4" i="3"/>
  <c r="M4" i="3"/>
  <c r="L4" i="3"/>
  <c r="K4" i="3"/>
  <c r="J4" i="3"/>
  <c r="L7" i="4"/>
  <c r="L5" i="4"/>
  <c r="G4" i="7" l="1"/>
  <c r="G9" i="7" s="1"/>
  <c r="D8" i="9"/>
  <c r="D7" i="8"/>
  <c r="K11" i="12"/>
  <c r="P11" i="12" s="1"/>
  <c r="O11" i="12"/>
  <c r="O10" i="12"/>
  <c r="K10" i="12"/>
  <c r="P10" i="12" s="1"/>
  <c r="O12" i="12"/>
  <c r="J22" i="6"/>
  <c r="I22" i="6"/>
  <c r="K12" i="12"/>
  <c r="P12" i="12" s="1"/>
  <c r="F5" i="5"/>
  <c r="F8" i="5" s="1"/>
  <c r="F9" i="5" s="1"/>
  <c r="P7" i="12"/>
  <c r="O7" i="12"/>
  <c r="Q7" i="12"/>
  <c r="K7" i="12"/>
  <c r="E4" i="5"/>
  <c r="C21" i="5"/>
  <c r="G6" i="9"/>
  <c r="C6" i="10"/>
  <c r="C8" i="10" s="1"/>
  <c r="D8" i="10"/>
  <c r="E6" i="10"/>
  <c r="D29" i="10" s="1"/>
  <c r="C15" i="10"/>
  <c r="E7" i="10"/>
  <c r="D30" i="10" s="1"/>
  <c r="E30" i="10" s="1"/>
  <c r="E6" i="9"/>
  <c r="E7" i="9" s="1"/>
  <c r="J21" i="6"/>
  <c r="I21" i="6"/>
  <c r="E5" i="7"/>
  <c r="E4" i="7" s="1"/>
  <c r="E9" i="7" s="1"/>
  <c r="Q10" i="12"/>
  <c r="K7" i="4"/>
  <c r="K5" i="4"/>
  <c r="C14" i="10" s="1"/>
  <c r="C16" i="10" s="1"/>
  <c r="C17" i="10" s="1"/>
  <c r="C29" i="10" s="1"/>
  <c r="E29" i="10" s="1"/>
  <c r="D21" i="5"/>
  <c r="C44" i="5"/>
  <c r="C7" i="5"/>
  <c r="C6" i="5"/>
  <c r="C5" i="5" s="1"/>
  <c r="C8" i="5" s="1"/>
  <c r="C9" i="5"/>
  <c r="D5" i="6"/>
  <c r="D4" i="5"/>
  <c r="D7" i="5"/>
  <c r="D6" i="5"/>
  <c r="D5" i="5" s="1"/>
  <c r="D8" i="5" s="1"/>
  <c r="D9" i="5" s="1"/>
  <c r="F5" i="7"/>
  <c r="F4" i="7" s="1"/>
  <c r="F9" i="7" s="1"/>
  <c r="Q12" i="12"/>
  <c r="D6" i="8"/>
  <c r="D8" i="8" s="1"/>
  <c r="D10" i="7"/>
  <c r="F6" i="9"/>
  <c r="C4" i="14"/>
  <c r="E9" i="12"/>
  <c r="H9" i="12" s="1"/>
  <c r="E9" i="5"/>
  <c r="G6" i="5"/>
  <c r="G5" i="5" s="1"/>
  <c r="G8" i="5" s="1"/>
  <c r="G9" i="5" s="1"/>
  <c r="F7" i="5"/>
  <c r="D6" i="6" l="1"/>
  <c r="D11" i="5"/>
  <c r="D11" i="6"/>
  <c r="D23" i="5"/>
  <c r="E8" i="9"/>
  <c r="E7" i="8"/>
  <c r="J5" i="6"/>
  <c r="I5" i="6"/>
  <c r="E31" i="10"/>
  <c r="Q4" i="14" s="1"/>
  <c r="F7" i="9"/>
  <c r="E6" i="8"/>
  <c r="E8" i="8" s="1"/>
  <c r="E10" i="7"/>
  <c r="C12" i="7" s="1"/>
  <c r="Q19" i="12"/>
  <c r="F16" i="12" s="1"/>
  <c r="F18" i="12" s="1"/>
  <c r="F20" i="12" s="1"/>
  <c r="Q16" i="12"/>
  <c r="Q21" i="12"/>
  <c r="Q20" i="12"/>
  <c r="Q17" i="12"/>
  <c r="Q18" i="12"/>
  <c r="F6" i="8"/>
  <c r="F10" i="7"/>
  <c r="O20" i="12"/>
  <c r="O17" i="12"/>
  <c r="F11" i="6"/>
  <c r="F6" i="6"/>
  <c r="F23" i="5"/>
  <c r="F11" i="5"/>
  <c r="C20" i="5"/>
  <c r="C43" i="5"/>
  <c r="P4" i="13"/>
  <c r="C11" i="5"/>
  <c r="C11" i="6"/>
  <c r="C23" i="5"/>
  <c r="G11" i="6"/>
  <c r="G23" i="5"/>
  <c r="G6" i="6"/>
  <c r="G11" i="5"/>
  <c r="E6" i="6"/>
  <c r="E11" i="6"/>
  <c r="E23" i="5"/>
  <c r="E11" i="5"/>
  <c r="G7" i="9"/>
  <c r="C11" i="14"/>
  <c r="O9" i="12"/>
  <c r="O18" i="12" s="1"/>
  <c r="D16" i="12" s="1"/>
  <c r="D18" i="12" s="1"/>
  <c r="D20" i="12" s="1"/>
  <c r="K9" i="12"/>
  <c r="P9" i="12" s="1"/>
  <c r="G6" i="8"/>
  <c r="G10" i="7"/>
  <c r="P18" i="12" l="1"/>
  <c r="P17" i="12"/>
  <c r="P19" i="12"/>
  <c r="E16" i="12" s="1"/>
  <c r="E18" i="12" s="1"/>
  <c r="E20" i="12" s="1"/>
  <c r="P16" i="12"/>
  <c r="P21" i="12"/>
  <c r="P20" i="12"/>
  <c r="F8" i="9"/>
  <c r="C11" i="9" s="1"/>
  <c r="F7" i="8"/>
  <c r="O16" i="12"/>
  <c r="E3" i="8"/>
  <c r="E7" i="6"/>
  <c r="E33" i="5"/>
  <c r="E40" i="5" s="1"/>
  <c r="E18" i="6" s="1"/>
  <c r="E24" i="5"/>
  <c r="E39" i="5"/>
  <c r="E17" i="6" s="1"/>
  <c r="E14" i="5"/>
  <c r="E12" i="6"/>
  <c r="E11" i="8"/>
  <c r="D13" i="13"/>
  <c r="P10" i="13"/>
  <c r="P12" i="13" s="1"/>
  <c r="G8" i="9"/>
  <c r="C10" i="9" s="1"/>
  <c r="G7" i="8"/>
  <c r="D7" i="13"/>
  <c r="P6" i="13"/>
  <c r="O19" i="12"/>
  <c r="G7" i="6"/>
  <c r="G33" i="5"/>
  <c r="G40" i="5" s="1"/>
  <c r="G18" i="6" s="1"/>
  <c r="G39" i="5"/>
  <c r="G17" i="6" s="1"/>
  <c r="G14" i="5"/>
  <c r="G24" i="5"/>
  <c r="G3" i="8"/>
  <c r="G12" i="6"/>
  <c r="J11" i="6"/>
  <c r="I11" i="6"/>
  <c r="G8" i="8"/>
  <c r="G11" i="8" s="1"/>
  <c r="C13" i="7"/>
  <c r="E19" i="14"/>
  <c r="D19" i="14"/>
  <c r="M19" i="14"/>
  <c r="L19" i="14"/>
  <c r="K19" i="14"/>
  <c r="J19" i="14"/>
  <c r="F19" i="14"/>
  <c r="I19" i="14"/>
  <c r="H19" i="14"/>
  <c r="G19" i="14"/>
  <c r="F8" i="8"/>
  <c r="D12" i="6"/>
  <c r="D14" i="5"/>
  <c r="D3" i="8"/>
  <c r="D7" i="6"/>
  <c r="D33" i="5"/>
  <c r="D40" i="5" s="1"/>
  <c r="D18" i="6" s="1"/>
  <c r="D24" i="5"/>
  <c r="D39" i="5"/>
  <c r="D17" i="6" s="1"/>
  <c r="C12" i="6"/>
  <c r="C14" i="5"/>
  <c r="C3" i="8"/>
  <c r="C24" i="5"/>
  <c r="C33" i="5"/>
  <c r="C40" i="5" s="1"/>
  <c r="C39" i="5"/>
  <c r="C17" i="6" s="1"/>
  <c r="O21" i="12"/>
  <c r="F7" i="6"/>
  <c r="F33" i="5"/>
  <c r="F40" i="5" s="1"/>
  <c r="F18" i="6" s="1"/>
  <c r="F39" i="5"/>
  <c r="F17" i="6" s="1"/>
  <c r="F14" i="5"/>
  <c r="F3" i="8"/>
  <c r="F24" i="5"/>
  <c r="F12" i="6"/>
  <c r="J6" i="6"/>
  <c r="I6" i="6"/>
  <c r="I7" i="6" l="1"/>
  <c r="J7" i="6"/>
  <c r="D12" i="13"/>
  <c r="D25" i="5"/>
  <c r="D13" i="6"/>
  <c r="D15" i="5"/>
  <c r="D29" i="5" s="1"/>
  <c r="E25" i="5"/>
  <c r="E17" i="5"/>
  <c r="E13" i="6"/>
  <c r="E15" i="5"/>
  <c r="E29" i="5" s="1"/>
  <c r="G25" i="5"/>
  <c r="G15" i="5"/>
  <c r="G29" i="5" s="1"/>
  <c r="G13" i="6"/>
  <c r="I17" i="6"/>
  <c r="J17" i="6"/>
  <c r="C18" i="6"/>
  <c r="Q5" i="14"/>
  <c r="N15" i="14" s="1"/>
  <c r="E4" i="8"/>
  <c r="E5" i="8"/>
  <c r="E9" i="8" s="1"/>
  <c r="G7" i="14"/>
  <c r="F7" i="14"/>
  <c r="E7" i="14"/>
  <c r="D7" i="14"/>
  <c r="M7" i="14"/>
  <c r="L7" i="14"/>
  <c r="K7" i="14"/>
  <c r="J7" i="14"/>
  <c r="I7" i="14"/>
  <c r="H7" i="14"/>
  <c r="G4" i="8"/>
  <c r="G5" i="8" s="1"/>
  <c r="G9" i="8" s="1"/>
  <c r="C4" i="8"/>
  <c r="C5" i="8" s="1"/>
  <c r="C9" i="8" s="1"/>
  <c r="P7" i="13"/>
  <c r="O8" i="13"/>
  <c r="J12" i="6"/>
  <c r="I12" i="6"/>
  <c r="O14" i="13"/>
  <c r="P13" i="13"/>
  <c r="E13" i="13" s="1"/>
  <c r="F13" i="13" s="1"/>
  <c r="G13" i="13" s="1"/>
  <c r="H13" i="13" s="1"/>
  <c r="I13" i="13" s="1"/>
  <c r="J13" i="13" s="1"/>
  <c r="K13" i="13" s="1"/>
  <c r="L13" i="13" s="1"/>
  <c r="M13" i="13" s="1"/>
  <c r="F4" i="8"/>
  <c r="F5" i="8" s="1"/>
  <c r="F9" i="8" s="1"/>
  <c r="D4" i="8"/>
  <c r="D5" i="8"/>
  <c r="D9" i="8" s="1"/>
  <c r="D11" i="8"/>
  <c r="F25" i="5"/>
  <c r="F15" i="5"/>
  <c r="F29" i="5" s="1"/>
  <c r="F13" i="6"/>
  <c r="F11" i="8"/>
  <c r="C25" i="5"/>
  <c r="C13" i="6"/>
  <c r="C17" i="5"/>
  <c r="C15" i="5"/>
  <c r="C29" i="5" s="1"/>
  <c r="D24" i="13"/>
  <c r="E7" i="13"/>
  <c r="D6" i="13"/>
  <c r="J13" i="6" l="1"/>
  <c r="I13" i="6"/>
  <c r="E12" i="13"/>
  <c r="F12" i="13" s="1"/>
  <c r="G12" i="13" s="1"/>
  <c r="H12" i="13" s="1"/>
  <c r="I12" i="13" s="1"/>
  <c r="J12" i="13" s="1"/>
  <c r="K12" i="13" s="1"/>
  <c r="L12" i="13" s="1"/>
  <c r="M12" i="13" s="1"/>
  <c r="I18" i="6"/>
  <c r="J18" i="6"/>
  <c r="F17" i="5"/>
  <c r="C14" i="8"/>
  <c r="C13" i="8"/>
  <c r="C46" i="5" s="1"/>
  <c r="G17" i="5"/>
  <c r="E6" i="13"/>
  <c r="F6" i="13" s="1"/>
  <c r="N7" i="14"/>
  <c r="C26" i="5"/>
  <c r="C14" i="6"/>
  <c r="E24" i="13"/>
  <c r="E5" i="14" s="1"/>
  <c r="F7" i="13"/>
  <c r="E14" i="6"/>
  <c r="E26" i="5"/>
  <c r="D5" i="14"/>
  <c r="D23" i="13"/>
  <c r="D17" i="5"/>
  <c r="D14" i="6" l="1"/>
  <c r="I14" i="6" s="1"/>
  <c r="D8" i="6"/>
  <c r="D26" i="5"/>
  <c r="G8" i="6"/>
  <c r="G26" i="5"/>
  <c r="G14" i="6"/>
  <c r="P16" i="13"/>
  <c r="P18" i="13" s="1"/>
  <c r="D19" i="13"/>
  <c r="F14" i="6"/>
  <c r="F8" i="6"/>
  <c r="F26" i="5"/>
  <c r="G7" i="13"/>
  <c r="F24" i="13"/>
  <c r="F5" i="14" s="1"/>
  <c r="G6" i="13"/>
  <c r="D4" i="14"/>
  <c r="E23" i="13"/>
  <c r="E8" i="6"/>
  <c r="H7" i="13" l="1"/>
  <c r="G24" i="13"/>
  <c r="G5" i="14" s="1"/>
  <c r="D18" i="13"/>
  <c r="P19" i="13"/>
  <c r="E19" i="13" s="1"/>
  <c r="F19" i="13" s="1"/>
  <c r="G19" i="13" s="1"/>
  <c r="H19" i="13" s="1"/>
  <c r="I19" i="13" s="1"/>
  <c r="J19" i="13" s="1"/>
  <c r="K19" i="13" s="1"/>
  <c r="L19" i="13" s="1"/>
  <c r="M19" i="13" s="1"/>
  <c r="O20" i="13"/>
  <c r="E4" i="14"/>
  <c r="F23" i="13"/>
  <c r="J14" i="6"/>
  <c r="D10" i="14"/>
  <c r="D11" i="14"/>
  <c r="D12" i="14" s="1"/>
  <c r="D6" i="14"/>
  <c r="J8" i="6"/>
  <c r="I8" i="6"/>
  <c r="D8" i="14" l="1"/>
  <c r="D9" i="14" s="1"/>
  <c r="D13" i="14"/>
  <c r="F4" i="14"/>
  <c r="G23" i="13"/>
  <c r="E10" i="14"/>
  <c r="E11" i="14"/>
  <c r="E12" i="14" s="1"/>
  <c r="E6" i="14"/>
  <c r="E18" i="13"/>
  <c r="F18" i="13" s="1"/>
  <c r="G18" i="13" s="1"/>
  <c r="H18" i="13" s="1"/>
  <c r="I18" i="13" s="1"/>
  <c r="J18" i="13" s="1"/>
  <c r="K18" i="13" s="1"/>
  <c r="L18" i="13" s="1"/>
  <c r="M18" i="13" s="1"/>
  <c r="I7" i="13"/>
  <c r="H24" i="13"/>
  <c r="H5" i="14" s="1"/>
  <c r="H6" i="13"/>
  <c r="I6" i="13" s="1"/>
  <c r="D14" i="14" l="1"/>
  <c r="E13" i="14"/>
  <c r="J7" i="13"/>
  <c r="I24" i="13"/>
  <c r="I5" i="14" s="1"/>
  <c r="E8" i="14"/>
  <c r="E9" i="14"/>
  <c r="E14" i="14" s="1"/>
  <c r="G4" i="14"/>
  <c r="H23" i="13"/>
  <c r="F10" i="14"/>
  <c r="F11" i="14"/>
  <c r="F12" i="14" s="1"/>
  <c r="F6" i="14"/>
  <c r="D15" i="14"/>
  <c r="I23" i="13" l="1"/>
  <c r="H4" i="14"/>
  <c r="F8" i="14"/>
  <c r="F9" i="14"/>
  <c r="K7" i="13"/>
  <c r="J24" i="13"/>
  <c r="J5" i="14" s="1"/>
  <c r="E15" i="14"/>
  <c r="F13" i="14"/>
  <c r="F15" i="14" s="1"/>
  <c r="G10" i="14"/>
  <c r="G11" i="14"/>
  <c r="G12" i="14" s="1"/>
  <c r="G6" i="14"/>
  <c r="J6" i="13"/>
  <c r="K6" i="13" s="1"/>
  <c r="G8" i="14" l="1"/>
  <c r="G9" i="14" s="1"/>
  <c r="G13" i="14"/>
  <c r="L7" i="13"/>
  <c r="K24" i="13"/>
  <c r="K5" i="14" s="1"/>
  <c r="F14" i="14"/>
  <c r="H10" i="14"/>
  <c r="H11" i="14"/>
  <c r="H12" i="14" s="1"/>
  <c r="H6" i="14"/>
  <c r="I4" i="14"/>
  <c r="J23" i="13"/>
  <c r="G14" i="14" l="1"/>
  <c r="J4" i="14"/>
  <c r="K23" i="13"/>
  <c r="I10" i="14"/>
  <c r="I11" i="14"/>
  <c r="I12" i="14" s="1"/>
  <c r="I6" i="14"/>
  <c r="H8" i="14"/>
  <c r="H9" i="14" s="1"/>
  <c r="H13" i="14"/>
  <c r="M7" i="13"/>
  <c r="M24" i="13" s="1"/>
  <c r="M5" i="14" s="1"/>
  <c r="L24" i="13"/>
  <c r="L5" i="14" s="1"/>
  <c r="G15" i="14"/>
  <c r="L6" i="13"/>
  <c r="M6" i="13" s="1"/>
  <c r="H15" i="14" l="1"/>
  <c r="H14" i="14"/>
  <c r="I8" i="14"/>
  <c r="I9" i="14"/>
  <c r="I13" i="14"/>
  <c r="I15" i="14" s="1"/>
  <c r="L23" i="13"/>
  <c r="K4" i="14"/>
  <c r="J10" i="14"/>
  <c r="J11" i="14"/>
  <c r="J12" i="14" s="1"/>
  <c r="J6" i="14"/>
  <c r="J8" i="14" l="1"/>
  <c r="J9" i="14" s="1"/>
  <c r="J14" i="14" s="1"/>
  <c r="J13" i="14"/>
  <c r="K10" i="14"/>
  <c r="K11" i="14"/>
  <c r="K12" i="14" s="1"/>
  <c r="K6" i="14"/>
  <c r="M23" i="13"/>
  <c r="M4" i="14" s="1"/>
  <c r="L4" i="14"/>
  <c r="I14" i="14"/>
  <c r="K13" i="14" l="1"/>
  <c r="N4" i="14"/>
  <c r="N6" i="14" s="1"/>
  <c r="M10" i="14"/>
  <c r="M11" i="14"/>
  <c r="M6" i="14"/>
  <c r="K8" i="14"/>
  <c r="K9" i="14"/>
  <c r="K14" i="14" s="1"/>
  <c r="L10" i="14"/>
  <c r="L11" i="14"/>
  <c r="L12" i="14" s="1"/>
  <c r="L6" i="14"/>
  <c r="K15" i="14"/>
  <c r="J15" i="14"/>
  <c r="L8" i="14" l="1"/>
  <c r="L9" i="14"/>
  <c r="L13" i="14"/>
  <c r="L15" i="14" s="1"/>
  <c r="M8" i="14"/>
  <c r="M9" i="14" s="1"/>
  <c r="M12" i="14"/>
  <c r="M13" i="14"/>
  <c r="N8" i="14"/>
  <c r="N9" i="14" s="1"/>
  <c r="M14" i="14" l="1"/>
  <c r="N13" i="14"/>
  <c r="N14" i="14"/>
  <c r="D17" i="14" s="1"/>
  <c r="D22" i="14" s="1"/>
  <c r="M15" i="14"/>
  <c r="L14" i="14"/>
  <c r="D21" i="14" l="1"/>
  <c r="D24" i="14" s="1"/>
  <c r="D28" i="14" s="1"/>
  <c r="D31" i="14" s="1"/>
</calcChain>
</file>

<file path=xl/sharedStrings.xml><?xml version="1.0" encoding="utf-8"?>
<sst xmlns="http://schemas.openxmlformats.org/spreadsheetml/2006/main" count="476" uniqueCount="369">
  <si>
    <t>About</t>
  </si>
  <si>
    <t>National Aluminium Company Ltd (Nalco) was incorporated in 1981, as a public sector enterprise of the Government of India. It is Asia`s largest integrated aluminium complex, encompassing bauxite mining, alumina refining, aluminium smelting and casting, power generation, rail and port operations. Commissioned during 1985-87, Nalco has emerged to be a star performer in production, export of alumina and aluminium, and more significantly, in propelling a self-sustained growth..The company also in the business activities of Chemicals, Aluminium.</t>
  </si>
  <si>
    <t>Key Points </t>
  </si>
  <si>
    <t>Registered Office</t>
  </si>
  <si>
    <t>Address</t>
  </si>
  <si>
    <t>Nalco Bhawan,,,Plot No. P/1, Nayapalli,</t>
  </si>
  <si>
    <t>City</t>
  </si>
  <si>
    <t>Bhubaneshwar</t>
  </si>
  <si>
    <t>State</t>
  </si>
  <si>
    <t>Orissa</t>
  </si>
  <si>
    <t>Pin Code</t>
  </si>
  <si>
    <t>Tel. No.</t>
  </si>
  <si>
    <t>0674-2303197</t>
  </si>
  <si>
    <t>Fax No.</t>
  </si>
  <si>
    <t>0674-2300677</t>
  </si>
  <si>
    <t>Email</t>
  </si>
  <si>
    <t>company_secretary@nalcoindia.co.in</t>
  </si>
  <si>
    <t>Internet</t>
  </si>
  <si>
    <t>http://www.nalcoindia.com</t>
  </si>
  <si>
    <t>Management - NALCO</t>
  </si>
  <si>
    <t>Name</t>
  </si>
  <si>
    <t>Designation</t>
  </si>
  <si>
    <t>Brijendra Pratap Singh</t>
  </si>
  <si>
    <t>Chairman &amp; Managing Director</t>
  </si>
  <si>
    <t>Pankaj Kumar Sharma</t>
  </si>
  <si>
    <t>Director - Production</t>
  </si>
  <si>
    <t>Tapas Kumar Pattanayak</t>
  </si>
  <si>
    <t>Director - Human Resources</t>
  </si>
  <si>
    <t>Vivek Kumar Bajpai</t>
  </si>
  <si>
    <t>Part Time Official Director</t>
  </si>
  <si>
    <t>Patel Sanjaykumar</t>
  </si>
  <si>
    <t>Part Time Non Official Director</t>
  </si>
  <si>
    <t>Abhay Kumar Behuria</t>
  </si>
  <si>
    <t>Director - Finance</t>
  </si>
  <si>
    <t>Jagdish Arora</t>
  </si>
  <si>
    <t>Director</t>
  </si>
  <si>
    <t>Sanjay Lohiya</t>
  </si>
  <si>
    <t>Trupti Kamlesh Patel</t>
  </si>
  <si>
    <t>Ajay Narang</t>
  </si>
  <si>
    <t>Particulars</t>
  </si>
  <si>
    <t>Promoters -</t>
  </si>
  <si>
    <t>President Of India</t>
  </si>
  <si>
    <t>FIIs -</t>
  </si>
  <si>
    <t>Pinebridge Global Funds - Pinebridge India Equity Fund</t>
  </si>
  <si>
    <t>DIIs -</t>
  </si>
  <si>
    <t>Lici Gratuity Plus Balanced Fund</t>
  </si>
  <si>
    <t>Icici Prudential Equity Arbitrage Fund</t>
  </si>
  <si>
    <t>Icici Prudential Smallcap Index Fund</t>
  </si>
  <si>
    <t>LIFE INSURANCE CORPORATION OF INDIA - P &amp; GS Fund</t>
  </si>
  <si>
    <t>Bharat 22 ETF</t>
  </si>
  <si>
    <t>Sbi Arbitrage Opportunities Fund</t>
  </si>
  <si>
    <t>Icici Prudential S&amp;P Bse 500 Etf</t>
  </si>
  <si>
    <t>Sbi Psu Fund</t>
  </si>
  <si>
    <t>Quant Mutual Fund-Quant Elss Tax Saver Fund</t>
  </si>
  <si>
    <t>Mirae Asset Large Cap Fund</t>
  </si>
  <si>
    <t>Mirae Asset Nifty Total Market Index Fund</t>
  </si>
  <si>
    <t>Mirae Asset Nifty500 Multicap 50:25:25 Etf</t>
  </si>
  <si>
    <t>Sbi Life Insurance Co. Ltd</t>
  </si>
  <si>
    <t>Public -</t>
  </si>
  <si>
    <t>No. of Shareholders</t>
  </si>
  <si>
    <t xml:space="preserve">Profit &amp; Loss National Aluminium Company Ltd </t>
  </si>
  <si>
    <t xml:space="preserve">Balance sheet  National Aluminium Company Ltd </t>
  </si>
  <si>
    <t xml:space="preserve">Profit &amp; Loss for the year ended 31 march 2025 </t>
  </si>
  <si>
    <t xml:space="preserve">% Change </t>
  </si>
  <si>
    <t xml:space="preserve">Balance sheet of the year 2025 </t>
  </si>
  <si>
    <t>Sales -</t>
  </si>
  <si>
    <t>Equity Capital</t>
  </si>
  <si>
    <t>Sales Growth %</t>
  </si>
  <si>
    <t>Reserves</t>
  </si>
  <si>
    <t>Expenses -</t>
  </si>
  <si>
    <t>Borrowings -</t>
  </si>
  <si>
    <t>Material Cost % -</t>
  </si>
  <si>
    <t>Long term Borrowings</t>
  </si>
  <si>
    <t>Raw material cost</t>
  </si>
  <si>
    <t>Short term Borrowings</t>
  </si>
  <si>
    <t>Change in inventory</t>
  </si>
  <si>
    <t>Lease Liabilities</t>
  </si>
  <si>
    <t>Manufacturing Cost %</t>
  </si>
  <si>
    <t>Preference Capital</t>
  </si>
  <si>
    <t>Employee Cost %</t>
  </si>
  <si>
    <t>Other Borrowings</t>
  </si>
  <si>
    <t>Other Cost %</t>
  </si>
  <si>
    <t>Other Liabilities -</t>
  </si>
  <si>
    <t>Operating Profit</t>
  </si>
  <si>
    <t>Trade Payables</t>
  </si>
  <si>
    <t>OPM %</t>
  </si>
  <si>
    <t>Advance from Customers</t>
  </si>
  <si>
    <t>Other Income -</t>
  </si>
  <si>
    <t>Other liability items</t>
  </si>
  <si>
    <t>Exceptional items</t>
  </si>
  <si>
    <t>Total Liabilities</t>
  </si>
  <si>
    <t>Other income normal</t>
  </si>
  <si>
    <t>Fixed Assets -</t>
  </si>
  <si>
    <t>Interest</t>
  </si>
  <si>
    <t>Land</t>
  </si>
  <si>
    <t>Depreciation</t>
  </si>
  <si>
    <t>Building</t>
  </si>
  <si>
    <t>Profit before tax</t>
  </si>
  <si>
    <t>Plant Machinery</t>
  </si>
  <si>
    <t>Tax %</t>
  </si>
  <si>
    <t>Equipments</t>
  </si>
  <si>
    <t>Net Profit -</t>
  </si>
  <si>
    <t>Railway sidings</t>
  </si>
  <si>
    <t>Exceptional items AT</t>
  </si>
  <si>
    <t>Furniture n fittings</t>
  </si>
  <si>
    <t>Vehicles</t>
  </si>
  <si>
    <t>Profit excl Excep</t>
  </si>
  <si>
    <t>Intangible Assets</t>
  </si>
  <si>
    <t>Profit for PE</t>
  </si>
  <si>
    <t>Other fixed assets</t>
  </si>
  <si>
    <t>Profit for EPS</t>
  </si>
  <si>
    <t>Gross Block</t>
  </si>
  <si>
    <t>Profit Growth %</t>
  </si>
  <si>
    <t>Accumulated Depreciation</t>
  </si>
  <si>
    <t>EPS in Rs</t>
  </si>
  <si>
    <t>CWIP</t>
  </si>
  <si>
    <t>Dividend Payout %</t>
  </si>
  <si>
    <t>Investments</t>
  </si>
  <si>
    <t>Other Assets -</t>
  </si>
  <si>
    <t>Inventories</t>
  </si>
  <si>
    <t>Trade receivables -</t>
  </si>
  <si>
    <t>Receivables over 6m</t>
  </si>
  <si>
    <t>Receivables under 6m</t>
  </si>
  <si>
    <t>Prov for Doubtful</t>
  </si>
  <si>
    <t>Cash Equivalents</t>
  </si>
  <si>
    <t>Loans n Advances</t>
  </si>
  <si>
    <t>Other asset items</t>
  </si>
  <si>
    <t>Total Assets</t>
  </si>
  <si>
    <t>National Aluminium Corporation</t>
  </si>
  <si>
    <t xml:space="preserve">Nifty </t>
  </si>
  <si>
    <t>Beta Calculation</t>
  </si>
  <si>
    <t>Date</t>
  </si>
  <si>
    <t>Close</t>
  </si>
  <si>
    <t>Return</t>
  </si>
  <si>
    <t>Srl. No.</t>
  </si>
  <si>
    <t>Particular</t>
  </si>
  <si>
    <t>Value</t>
  </si>
  <si>
    <t>Formula</t>
  </si>
  <si>
    <t>Beta</t>
  </si>
  <si>
    <t xml:space="preserve">Beta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</si>
  <si>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</si>
  <si>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</si>
  <si>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</si>
  <si>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</si>
  <si>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</si>
  <si>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</si>
  <si>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</si>
  <si>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</si>
  <si>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</si>
  <si>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</si>
  <si>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</si>
  <si>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</si>
  <si>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</si>
  <si>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</si>
  <si>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</si>
  <si>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</si>
  <si>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</si>
  <si>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</si>
  <si>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</si>
  <si>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</si>
  <si>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</si>
  <si>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</si>
  <si>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</si>
  <si>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</si>
  <si>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</si>
  <si>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Revenur from Operations</t>
  </si>
  <si>
    <t>Revenue Growth</t>
  </si>
  <si>
    <t xml:space="preserve">Less:Material Cost </t>
  </si>
  <si>
    <t>Less:Employee Cost</t>
  </si>
  <si>
    <t>Less: Other Expense</t>
  </si>
  <si>
    <t>Total Expense</t>
  </si>
  <si>
    <t>EBITDA</t>
  </si>
  <si>
    <t>Less: Depreciation and Amortization</t>
  </si>
  <si>
    <t>EBIT</t>
  </si>
  <si>
    <t>Add: Non Operating Income/Other Income</t>
  </si>
  <si>
    <t>Less:Interest Expense</t>
  </si>
  <si>
    <t>EBT</t>
  </si>
  <si>
    <t>Less: Tax</t>
  </si>
  <si>
    <t>Less:Non Controlling Interest/Minority Interest</t>
  </si>
  <si>
    <t>PAT</t>
  </si>
  <si>
    <t>Historical Growth</t>
  </si>
  <si>
    <t>Average Growth</t>
  </si>
  <si>
    <t>CAGR</t>
  </si>
  <si>
    <t>Margin Analysis</t>
  </si>
  <si>
    <t>EBITDA Margin</t>
  </si>
  <si>
    <t>EBIT Margin</t>
  </si>
  <si>
    <t>EBT Margin</t>
  </si>
  <si>
    <t>PAT Margin</t>
  </si>
  <si>
    <t>Tax Rate</t>
  </si>
  <si>
    <t>Effective Tax Rate</t>
  </si>
  <si>
    <t>Marginal Tax Rate</t>
  </si>
  <si>
    <t>Return on Capital</t>
  </si>
  <si>
    <t>EBIT(1-t)</t>
  </si>
  <si>
    <t>Book Equity</t>
  </si>
  <si>
    <t>Book Debt</t>
  </si>
  <si>
    <t>Cash and Cash Equivalents</t>
  </si>
  <si>
    <t>Capital Employed</t>
  </si>
  <si>
    <t>Pre Tax Return on Capital</t>
  </si>
  <si>
    <t>Post Tax Return on Capital</t>
  </si>
  <si>
    <t>Growth Summary</t>
  </si>
  <si>
    <t>Average Revenue Growth</t>
  </si>
  <si>
    <t>Revenue CAGR</t>
  </si>
  <si>
    <t>Growth in EBIT</t>
  </si>
  <si>
    <t>Ratios</t>
  </si>
  <si>
    <t>Trend</t>
  </si>
  <si>
    <t>Mean</t>
  </si>
  <si>
    <t>Median</t>
  </si>
  <si>
    <t>Growth Ratios</t>
  </si>
  <si>
    <t>Sales Growth</t>
  </si>
  <si>
    <t>EBITDA Growth</t>
  </si>
  <si>
    <t>EBIT Growth</t>
  </si>
  <si>
    <t>Net Profit Growth</t>
  </si>
  <si>
    <t>Margin Ratios</t>
  </si>
  <si>
    <t>Return Ratios</t>
  </si>
  <si>
    <t>Pre-Tax ROIC</t>
  </si>
  <si>
    <t>Post-Tax ROIC</t>
  </si>
  <si>
    <t>Other Ratios</t>
  </si>
  <si>
    <t>Dividend Growth</t>
  </si>
  <si>
    <t>EPS Growth</t>
  </si>
  <si>
    <t>Beginning Balance (Net Fixed Assets)</t>
  </si>
  <si>
    <t>Add: Net Purchases (Capex)</t>
  </si>
  <si>
    <t>Total Fixed Assets (Gross)</t>
  </si>
  <si>
    <t>Less: Depreciation &amp; Amortisation</t>
  </si>
  <si>
    <t>Closing Balance (Net Fixed Assets)</t>
  </si>
  <si>
    <t>Net Capital Expenditure</t>
  </si>
  <si>
    <t>Net Capex / Sales (%)</t>
  </si>
  <si>
    <t xml:space="preserve">Median Capital expenditure /Sales percentage </t>
  </si>
  <si>
    <t xml:space="preserve">Average  Capital expenditure /Sales percentage </t>
  </si>
  <si>
    <t>Less: Tax on EBIT (25%)</t>
  </si>
  <si>
    <t>NOPAT  [EBIT × (1 − Tax)]</t>
  </si>
  <si>
    <t>Less: Net Capital Expenditure</t>
  </si>
  <si>
    <t>Less: Change in Working Capital</t>
  </si>
  <si>
    <t>Reinvestment (Capex + ΔWCL)</t>
  </si>
  <si>
    <t>Free Cash Flow to Firm (FCFF)</t>
  </si>
  <si>
    <t xml:space="preserve">Reinvestment Rate </t>
  </si>
  <si>
    <t xml:space="preserve">Median Reinvestment rate   /Sales percentage </t>
  </si>
  <si>
    <t xml:space="preserve">Average Reinvestment rate   /Sales percentage </t>
  </si>
  <si>
    <t>Trade Receivables</t>
  </si>
  <si>
    <t>Non-Cash Working Capital</t>
  </si>
  <si>
    <t>Change in Working Capital</t>
  </si>
  <si>
    <t>Change in WC / Sales (%)</t>
  </si>
  <si>
    <t>Median Non-Cash WC / Sales (%)</t>
  </si>
  <si>
    <t>Average Change in  working capital / % of sales</t>
  </si>
  <si>
    <t>National Aluminium Corporation. — Weighted Average Cost of Capital (WACC)</t>
  </si>
  <si>
    <t>Capital Structure  (FY2025 Balance Sheet — Market Value Weights)</t>
  </si>
  <si>
    <t>Book Value (₹ Cr)</t>
  </si>
  <si>
    <t>Market Value (₹ Cr)</t>
  </si>
  <si>
    <t>Weight</t>
  </si>
  <si>
    <t>Equity (Market Cap)</t>
  </si>
  <si>
    <t>Debt (Book Value of Borrowings)</t>
  </si>
  <si>
    <t>Total Capital</t>
  </si>
  <si>
    <t xml:space="preserve"> </t>
  </si>
  <si>
    <t>Cost of Equity  (Capital Asset Pricing Model — CAPM)</t>
  </si>
  <si>
    <t>Risk-Free Rate (Rf)</t>
  </si>
  <si>
    <t>Equity Risk Premium (ERP)</t>
  </si>
  <si>
    <t>Beta  Regressed (5-yr daily vs Nifty 50)</t>
  </si>
  <si>
    <t>Debt/Equity ratio (D/E)</t>
  </si>
  <si>
    <t xml:space="preserve"> Beta × ERP</t>
  </si>
  <si>
    <t>Cost of Equity  [Ke = Rf + Beta × ERP]</t>
  </si>
  <si>
    <t>Cost of Debt  (Post-Tax)</t>
  </si>
  <si>
    <t>Total Interest Expense (FY2025)</t>
  </si>
  <si>
    <t>Average Total Borrowings (FY2024-FY2025)</t>
  </si>
  <si>
    <t>Pre-Tax Cost of Debt  [Kd = Interest / Avg Debt]</t>
  </si>
  <si>
    <t>Post-Tax Cost of Debt  [Kd(1-t)]</t>
  </si>
  <si>
    <t>WACC Calculation   [WACC = Ke × We + Kd(1-t) × Wd]</t>
  </si>
  <si>
    <t>Component</t>
  </si>
  <si>
    <t>Cost (%)</t>
  </si>
  <si>
    <t>Weight (%)</t>
  </si>
  <si>
    <t>Contribution (%)</t>
  </si>
  <si>
    <t>Equity</t>
  </si>
  <si>
    <t>Debt</t>
  </si>
  <si>
    <t>WACC</t>
  </si>
  <si>
    <t>Sno.</t>
  </si>
  <si>
    <t>CMP Rs.</t>
  </si>
  <si>
    <t>P/E</t>
  </si>
  <si>
    <t>Mar Cap Rs.Cr.</t>
  </si>
  <si>
    <t>Div Yld %</t>
  </si>
  <si>
    <t>NP Qtr Rs.Cr.</t>
  </si>
  <si>
    <t>Qtr Profit Var %</t>
  </si>
  <si>
    <t>ROCE %</t>
  </si>
  <si>
    <t>Debt Rs.Cr.</t>
  </si>
  <si>
    <t>EV / EBITDA</t>
  </si>
  <si>
    <t>No. Eq. Shares Cr.</t>
  </si>
  <si>
    <t>EBIT 12M Rs.Cr.</t>
  </si>
  <si>
    <t>NP Ann Rs.Cr.</t>
  </si>
  <si>
    <t>Sales Rs.Cr.</t>
  </si>
  <si>
    <t>Cash End Rs.Cr.</t>
  </si>
  <si>
    <t>Hindalco Inds.</t>
  </si>
  <si>
    <t>Natl. Aluminium</t>
  </si>
  <si>
    <t>Arfin India</t>
  </si>
  <si>
    <t>Maan Aluminium</t>
  </si>
  <si>
    <t>MMP Industries</t>
  </si>
  <si>
    <t>Msafe Equipments</t>
  </si>
  <si>
    <t>Median: 10 Co.</t>
  </si>
  <si>
    <t>Relative Valuation - National Aluminium Company Ltd</t>
  </si>
  <si>
    <t>Figures in Crore</t>
  </si>
  <si>
    <t>Comparable Company Valuation</t>
  </si>
  <si>
    <t>Company Name</t>
  </si>
  <si>
    <t>Market Data</t>
  </si>
  <si>
    <t>Financials</t>
  </si>
  <si>
    <t>Valuation</t>
  </si>
  <si>
    <t>No. of shares</t>
  </si>
  <si>
    <t>Share Price</t>
  </si>
  <si>
    <t>Equity value</t>
  </si>
  <si>
    <t>cash</t>
  </si>
  <si>
    <t>Enterprises value</t>
  </si>
  <si>
    <t>Revenue</t>
  </si>
  <si>
    <t>Net Profit</t>
  </si>
  <si>
    <t>EPS</t>
  </si>
  <si>
    <t>EV/Revenue</t>
  </si>
  <si>
    <t>EV/EBITDA</t>
  </si>
  <si>
    <t>P/E Ratio</t>
  </si>
  <si>
    <t>Implied Enterprise Value</t>
  </si>
  <si>
    <t>Max</t>
  </si>
  <si>
    <t>Net Debt</t>
  </si>
  <si>
    <t>75th Percentile</t>
  </si>
  <si>
    <t>Implied Market Value</t>
  </si>
  <si>
    <t>Average</t>
  </si>
  <si>
    <t>Share Outstanding</t>
  </si>
  <si>
    <t>Implied Value per Share</t>
  </si>
  <si>
    <t>25th Percentile</t>
  </si>
  <si>
    <t>Min.</t>
  </si>
  <si>
    <t>National Aluminium Company Ltd - "Growth Scenarios"</t>
  </si>
  <si>
    <t>Scenario 1: High Growth</t>
  </si>
  <si>
    <t>Average Of Revenue Growth</t>
  </si>
  <si>
    <t>INR Cr.</t>
  </si>
  <si>
    <t>LTM</t>
  </si>
  <si>
    <t>Y1E</t>
  </si>
  <si>
    <t>Y2E</t>
  </si>
  <si>
    <t>Y3E</t>
  </si>
  <si>
    <t>Y4W</t>
  </si>
  <si>
    <t>Y5E</t>
  </si>
  <si>
    <t>Y6E</t>
  </si>
  <si>
    <t>Y7E</t>
  </si>
  <si>
    <t>Y8E</t>
  </si>
  <si>
    <t>Y9E</t>
  </si>
  <si>
    <t>Y10E</t>
  </si>
  <si>
    <t>Risk free rate</t>
  </si>
  <si>
    <t>Sales</t>
  </si>
  <si>
    <t>Per Year</t>
  </si>
  <si>
    <t>Scenario 2: Average Growth</t>
  </si>
  <si>
    <t>Scenario 3: EBIT Growth</t>
  </si>
  <si>
    <t>Live Scenario</t>
  </si>
  <si>
    <t>National Aluminium Company Ltd - "VALUATION"</t>
  </si>
  <si>
    <t>INR Cr</t>
  </si>
  <si>
    <t>Terminal Yr</t>
  </si>
  <si>
    <t>Terminal growth rate %</t>
  </si>
  <si>
    <t xml:space="preserve">Sales </t>
  </si>
  <si>
    <t>Cost of Capital %</t>
  </si>
  <si>
    <t>Terminal reinvestment rate %</t>
  </si>
  <si>
    <t>EBIT Margin %</t>
  </si>
  <si>
    <t>Less: Tax on EBIT</t>
  </si>
  <si>
    <t>EBIT(1-T)</t>
  </si>
  <si>
    <t>Non Cash Working Capital</t>
  </si>
  <si>
    <t>Reinvestment</t>
  </si>
  <si>
    <t>Free Cash Flow To Firm (FCFF)</t>
  </si>
  <si>
    <t>Implied Reinvestment rate %</t>
  </si>
  <si>
    <t>Terminal Value</t>
  </si>
  <si>
    <t>Present Value Interest Factor(PVIF)</t>
  </si>
  <si>
    <t>Present value of FCFF</t>
  </si>
  <si>
    <t>Present value of Terminal value</t>
  </si>
  <si>
    <t>Value of operating assets</t>
  </si>
  <si>
    <t>Add: Cash</t>
  </si>
  <si>
    <t>Less: Debt</t>
  </si>
  <si>
    <t>Less: Minority Interest</t>
  </si>
  <si>
    <t>Equity Value</t>
  </si>
  <si>
    <t>No. of Shares outstanding (Cr)</t>
  </si>
  <si>
    <t xml:space="preserve">intrinsic value per share </t>
  </si>
  <si>
    <t>Current   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</si>
</sst>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mmm\-yy"/>
    <numFmt numFmtId="165" formatCode="0.0"/>
    <numFmt numFmtId="166" formatCode="m/d/yyyy"/>
    <numFmt numFmtId="167" formatCode="0.000%"/>
    <numFmt numFmtId="168" formatCode="0.0000"/>
    <numFmt numFmtId="169" formatCode="#,##0.000"/>
    <numFmt numFmtId="170" formatCode="0.0%"/>
    <numFmt numFmtId="171" formatCode="0.000"/>
    <numFmt numFmtId="172" formatCode="0.\X"/>
    <numFmt numFmtId="173" formatCode="_ * #,##0.00_ ;_ * \-#,##0.00_ ;_ * \-??_ ;_ @_ "/>
    <numFmt numFmtId="174" formatCode="0.00000"/>
    <numFmt numFmtId="175" formatCode="_ * #,##0.0000_ ;_ * \-#,##0.0000_ ;_ * \-??_ ;_ @_ "/>
  </numFmts>
  <fonts count="29" x14ac:knownFonts="1">
    <font>
      <sz val="11"/>
      <color theme="1"/>
      <name val="Aptos Narrow"/>
      <family val="2"/>
      <charset val="1"/>
    </font>
    <font>
      <sz val="10"/>
      <color theme="1"/>
      <name val="Times New Roman"/>
      <family val="1"/>
      <charset val="1"/>
    </font>
    <font>
      <b/>
      <sz val="11"/>
      <color theme="0"/>
      <name val="Times New Roman"/>
      <family val="1"/>
      <charset val="1"/>
    </font>
    <font>
      <b/>
      <sz val="10"/>
      <color theme="0"/>
      <name val="Times New Roman"/>
      <family val="1"/>
      <charset val="1"/>
    </font>
    <font>
      <b/>
      <sz val="10"/>
      <color rgb="FF000000"/>
      <name val="Arial"/>
      <family val="2"/>
      <charset val="1"/>
    </font>
    <font>
      <b/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u/>
      <sz val="10"/>
      <color theme="10"/>
      <name val="Times New Roman"/>
      <family val="1"/>
      <charset val="1"/>
    </font>
    <font>
      <sz val="10"/>
      <color rgb="FF606F7B"/>
      <name val="Times New Roman"/>
      <family val="1"/>
      <charset val="1"/>
    </font>
    <font>
      <b/>
      <sz val="9"/>
      <color rgb="FF000000"/>
      <name val="Times New Roman"/>
      <family val="1"/>
      <charset val="1"/>
    </font>
    <font>
      <u/>
      <sz val="9"/>
      <color theme="10"/>
      <name val="Times New Roman"/>
      <family val="1"/>
      <charset val="1"/>
    </font>
    <font>
      <b/>
      <sz val="10"/>
      <color theme="1"/>
      <name val="Times New Roman"/>
      <family val="1"/>
      <charset val="1"/>
    </font>
    <font>
      <sz val="11"/>
      <color rgb="FF22222F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rgb="FF606F7B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b/>
      <sz val="11"/>
      <color theme="1" tint="4.9897762993255407E-2"/>
      <name val="Times New Roman"/>
      <family val="1"/>
      <charset val="1"/>
    </font>
    <font>
      <b/>
      <sz val="11"/>
      <color rgb="FF606F7B"/>
      <name val="Times New Roman"/>
      <family val="1"/>
      <charset val="1"/>
    </font>
    <font>
      <sz val="10"/>
      <color rgb="FF22222F"/>
      <name val="Times New Roman"/>
      <family val="1"/>
      <charset val="1"/>
    </font>
    <font>
      <b/>
      <sz val="10"/>
      <name val="Times New Roman"/>
      <family val="1"/>
      <charset val="1"/>
    </font>
    <font>
      <b/>
      <i/>
      <sz val="10"/>
      <color theme="0"/>
      <name val="Times New Roman"/>
      <family val="1"/>
      <charset val="1"/>
    </font>
    <font>
      <i/>
      <sz val="10"/>
      <color theme="2" tint="-0.499984740745262"/>
      <name val="Times New Roman"/>
      <family val="1"/>
      <charset val="1"/>
    </font>
    <font>
      <sz val="10"/>
      <name val="Times New Roman"/>
      <family val="1"/>
      <charset val="1"/>
    </font>
    <font>
      <b/>
      <sz val="13"/>
      <color theme="1"/>
      <name val="Times New Roman"/>
      <family val="1"/>
      <charset val="1"/>
    </font>
    <font>
      <b/>
      <sz val="11"/>
      <color rgb="FFFFFFFF"/>
      <name val="Times New Roman"/>
      <family val="1"/>
      <charset val="1"/>
    </font>
    <font>
      <b/>
      <sz val="10"/>
      <color rgb="FFFFFFFF"/>
      <name val="Times New Roman"/>
      <family val="1"/>
      <charset val="1"/>
    </font>
    <font>
      <b/>
      <sz val="12"/>
      <color rgb="FFFFFFFF"/>
      <name val="Times New Roman"/>
      <family val="1"/>
      <charset val="1"/>
    </font>
    <font>
      <sz val="11"/>
      <color theme="0"/>
      <name val="Times New Roman"/>
      <family val="1"/>
      <charset val="1"/>
    </font>
    <font>
      <sz val="10"/>
      <color theme="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5" tint="-0.249977111117893"/>
        <bgColor rgb="FFFF6600"/>
      </patternFill>
    </fill>
    <fill>
      <patternFill patternType="solid">
        <fgColor theme="5" tint="0.59987182226020086"/>
        <bgColor rgb="FFFF99CC"/>
      </patternFill>
    </fill>
    <fill>
      <patternFill patternType="solid">
        <fgColor theme="4"/>
        <bgColor rgb="FF1F4E79"/>
      </patternFill>
    </fill>
    <fill>
      <patternFill patternType="solid">
        <fgColor rgb="FFF8F8FC"/>
        <bgColor rgb="FFFFFFFF"/>
      </patternFill>
    </fill>
    <fill>
      <patternFill patternType="solid">
        <fgColor rgb="FFFFFFFF"/>
        <bgColor rgb="FFF8F8FC"/>
      </patternFill>
    </fill>
    <fill>
      <patternFill patternType="solid">
        <fgColor theme="4" tint="0.79979857783745845"/>
        <bgColor rgb="FFCAEEFB"/>
      </patternFill>
    </fill>
    <fill>
      <patternFill patternType="solid">
        <fgColor theme="7" tint="0.79979857783745845"/>
        <bgColor rgb="FFC1E5F5"/>
      </patternFill>
    </fill>
    <fill>
      <patternFill patternType="solid">
        <fgColor theme="4" tint="-0.249977111117893"/>
        <bgColor rgb="FF084F6B"/>
      </patternFill>
    </fill>
    <fill>
      <patternFill patternType="solid">
        <fgColor theme="7" tint="-0.249977111117893"/>
        <bgColor rgb="FF156082"/>
      </patternFill>
    </fill>
    <fill>
      <patternFill patternType="solid">
        <fgColor theme="3" tint="0.89989928891872917"/>
        <bgColor rgb="FFD6E4F0"/>
      </patternFill>
    </fill>
    <fill>
      <patternFill patternType="solid">
        <fgColor rgb="FFD6E4F0"/>
        <bgColor rgb="FFDCEAF7"/>
      </patternFill>
    </fill>
    <fill>
      <patternFill patternType="solid">
        <fgColor theme="3" tint="0.74959562974944305"/>
        <bgColor rgb="FF96DCF8"/>
      </patternFill>
    </fill>
    <fill>
      <patternFill patternType="solid">
        <fgColor rgb="FF1F4E79"/>
        <bgColor rgb="FF104862"/>
      </patternFill>
    </fill>
    <fill>
      <patternFill patternType="solid">
        <fgColor rgb="FF1F3864"/>
        <bgColor rgb="FF104862"/>
      </patternFill>
    </fill>
    <fill>
      <patternFill patternType="solid">
        <fgColor rgb="FFE2EFDA"/>
        <bgColor rgb="FFDCEAF7"/>
      </patternFill>
    </fill>
    <fill>
      <patternFill patternType="solid">
        <fgColor theme="7" tint="0.59959715567491678"/>
        <bgColor rgb="FFA6CAEC"/>
      </patternFill>
    </fill>
    <fill>
      <patternFill patternType="solid">
        <fgColor theme="7" tint="-0.499984740745262"/>
        <bgColor rgb="FF104862"/>
      </patternFill>
    </fill>
    <fill>
      <patternFill patternType="solid">
        <fgColor theme="4" tint="0.59959715567491678"/>
        <bgColor rgb="FF96DCF8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double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double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5">
    <xf numFmtId="0" fontId="0" fillId="0" borderId="0" xfId="0"/>
    <xf numFmtId="0" fontId="15" fillId="11" borderId="3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3" fillId="4" borderId="6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 indent="2"/>
    </xf>
    <xf numFmtId="0" fontId="1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 indent="2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 indent="2"/>
    </xf>
    <xf numFmtId="0" fontId="1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horizontal="left" vertical="center" wrapText="1" indent="2"/>
    </xf>
    <xf numFmtId="10" fontId="12" fillId="5" borderId="1" xfId="0" applyNumberFormat="1" applyFont="1" applyFill="1" applyBorder="1" applyAlignment="1">
      <alignment horizontal="right" vertical="center" wrapText="1"/>
    </xf>
    <xf numFmtId="0" fontId="13" fillId="0" borderId="1" xfId="0" applyFont="1" applyBorder="1"/>
    <xf numFmtId="0" fontId="12" fillId="5" borderId="1" xfId="0" applyFont="1" applyFill="1" applyBorder="1" applyAlignment="1">
      <alignment horizontal="right" vertical="center" wrapText="1"/>
    </xf>
    <xf numFmtId="0" fontId="12" fillId="6" borderId="1" xfId="0" applyFont="1" applyFill="1" applyBorder="1" applyAlignment="1">
      <alignment horizontal="left" vertical="center" wrapText="1" indent="2"/>
    </xf>
    <xf numFmtId="10" fontId="12" fillId="6" borderId="1" xfId="0" applyNumberFormat="1" applyFont="1" applyFill="1" applyBorder="1" applyAlignment="1">
      <alignment horizontal="right" vertical="center" wrapText="1"/>
    </xf>
    <xf numFmtId="0" fontId="12" fillId="6" borderId="1" xfId="0" applyFont="1" applyFill="1" applyBorder="1" applyAlignment="1">
      <alignment horizontal="right" vertical="center" wrapText="1"/>
    </xf>
    <xf numFmtId="0" fontId="14" fillId="6" borderId="1" xfId="0" applyFont="1" applyFill="1" applyBorder="1" applyAlignment="1">
      <alignment horizontal="left" vertical="center" wrapText="1" indent="2"/>
    </xf>
    <xf numFmtId="3" fontId="14" fillId="6" borderId="1" xfId="0" applyNumberFormat="1" applyFont="1" applyFill="1" applyBorder="1" applyAlignment="1">
      <alignment horizontal="right" vertical="center" wrapText="1"/>
    </xf>
    <xf numFmtId="0" fontId="13" fillId="0" borderId="0" xfId="0" applyFont="1"/>
    <xf numFmtId="0" fontId="2" fillId="0" borderId="0" xfId="0" applyFont="1" applyAlignment="1">
      <alignment horizontal="center"/>
    </xf>
    <xf numFmtId="0" fontId="16" fillId="8" borderId="2" xfId="0" applyFont="1" applyFill="1" applyBorder="1" applyAlignment="1">
      <alignment horizontal="left" vertical="center" indent="2"/>
    </xf>
    <xf numFmtId="164" fontId="16" fillId="8" borderId="2" xfId="0" applyNumberFormat="1" applyFont="1" applyFill="1" applyBorder="1" applyAlignment="1">
      <alignment horizontal="right" vertical="center" wrapText="1"/>
    </xf>
    <xf numFmtId="164" fontId="17" fillId="0" borderId="0" xfId="0" applyNumberFormat="1" applyFont="1" applyAlignment="1">
      <alignment horizontal="right" vertical="center" wrapText="1"/>
    </xf>
    <xf numFmtId="164" fontId="16" fillId="8" borderId="1" xfId="0" applyNumberFormat="1" applyFont="1" applyFill="1" applyBorder="1" applyAlignment="1">
      <alignment horizontal="right" vertical="center" wrapText="1"/>
    </xf>
    <xf numFmtId="0" fontId="16" fillId="8" borderId="1" xfId="0" applyFont="1" applyFill="1" applyBorder="1" applyAlignment="1">
      <alignment horizontal="left" vertical="center" indent="2"/>
    </xf>
    <xf numFmtId="0" fontId="18" fillId="0" borderId="1" xfId="0" applyFont="1" applyBorder="1" applyAlignment="1">
      <alignment horizontal="left" vertical="center" indent="2"/>
    </xf>
    <xf numFmtId="3" fontId="12" fillId="5" borderId="1" xfId="0" applyNumberFormat="1" applyFont="1" applyFill="1" applyBorder="1" applyAlignment="1">
      <alignment horizontal="right" vertical="center" wrapText="1"/>
    </xf>
    <xf numFmtId="10" fontId="1" fillId="0" borderId="1" xfId="0" applyNumberFormat="1" applyFont="1" applyBorder="1"/>
    <xf numFmtId="0" fontId="12" fillId="0" borderId="1" xfId="0" applyFont="1" applyBorder="1" applyAlignment="1">
      <alignment horizontal="right" vertical="center" wrapText="1"/>
    </xf>
    <xf numFmtId="0" fontId="18" fillId="0" borderId="1" xfId="0" applyFont="1" applyBorder="1" applyAlignment="1">
      <alignment horizontal="left" vertical="center"/>
    </xf>
    <xf numFmtId="3" fontId="12" fillId="0" borderId="1" xfId="0" applyNumberFormat="1" applyFont="1" applyBorder="1" applyAlignment="1">
      <alignment horizontal="right" vertical="center" wrapText="1"/>
    </xf>
    <xf numFmtId="3" fontId="12" fillId="6" borderId="1" xfId="0" applyNumberFormat="1" applyFont="1" applyFill="1" applyBorder="1" applyAlignment="1">
      <alignment horizontal="right" vertical="center" wrapText="1"/>
    </xf>
    <xf numFmtId="9" fontId="12" fillId="6" borderId="1" xfId="0" applyNumberFormat="1" applyFont="1" applyFill="1" applyBorder="1" applyAlignment="1">
      <alignment horizontal="right" vertical="center" wrapText="1"/>
    </xf>
    <xf numFmtId="9" fontId="12" fillId="5" borderId="1" xfId="0" applyNumberFormat="1" applyFont="1" applyFill="1" applyBorder="1" applyAlignment="1">
      <alignment horizontal="right" vertical="center" wrapText="1"/>
    </xf>
    <xf numFmtId="0" fontId="19" fillId="7" borderId="1" xfId="0" applyFont="1" applyFill="1" applyBorder="1" applyAlignment="1">
      <alignment horizontal="center" vertical="top"/>
    </xf>
    <xf numFmtId="165" fontId="19" fillId="7" borderId="1" xfId="0" applyNumberFormat="1" applyFont="1" applyFill="1" applyBorder="1" applyAlignment="1">
      <alignment horizontal="center" vertical="top"/>
    </xf>
    <xf numFmtId="166" fontId="19" fillId="0" borderId="1" xfId="0" applyNumberFormat="1" applyFont="1" applyBorder="1" applyAlignment="1">
      <alignment horizontal="center" vertical="top"/>
    </xf>
    <xf numFmtId="0" fontId="1" fillId="0" borderId="1" xfId="0" applyFont="1" applyBorder="1"/>
    <xf numFmtId="165" fontId="1" fillId="0" borderId="1" xfId="0" applyNumberFormat="1" applyFont="1" applyBorder="1"/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center"/>
    </xf>
    <xf numFmtId="0" fontId="11" fillId="0" borderId="8" xfId="0" applyFont="1" applyBorder="1"/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1" fillId="11" borderId="4" xfId="0" applyFont="1" applyFill="1" applyBorder="1" applyAlignment="1">
      <alignment horizontal="center"/>
    </xf>
    <xf numFmtId="0" fontId="11" fillId="0" borderId="5" xfId="0" applyFont="1" applyBorder="1"/>
    <xf numFmtId="0" fontId="1" fillId="0" borderId="5" xfId="0" applyFont="1" applyBorder="1" applyAlignment="1">
      <alignment horizontal="left"/>
    </xf>
    <xf numFmtId="0" fontId="11" fillId="11" borderId="3" xfId="0" applyFont="1" applyFill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3" fillId="0" borderId="10" xfId="0" applyFont="1" applyBorder="1"/>
    <xf numFmtId="0" fontId="13" fillId="0" borderId="11" xfId="0" applyFont="1" applyBorder="1"/>
    <xf numFmtId="0" fontId="13" fillId="0" borderId="9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0" borderId="14" xfId="0" applyFont="1" applyBorder="1"/>
    <xf numFmtId="0" fontId="1" fillId="4" borderId="15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8" xfId="0" applyFont="1" applyBorder="1"/>
    <xf numFmtId="0" fontId="1" fillId="0" borderId="12" xfId="0" applyFont="1" applyBorder="1"/>
    <xf numFmtId="0" fontId="1" fillId="0" borderId="19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20" xfId="0" applyFont="1" applyBorder="1"/>
    <xf numFmtId="0" fontId="20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left" vertical="center"/>
    </xf>
    <xf numFmtId="0" fontId="3" fillId="9" borderId="0" xfId="0" applyFont="1" applyFill="1" applyAlignment="1">
      <alignment horizontal="center" vertical="center"/>
    </xf>
    <xf numFmtId="4" fontId="1" fillId="0" borderId="1" xfId="0" applyNumberFormat="1" applyFont="1" applyBorder="1"/>
    <xf numFmtId="0" fontId="21" fillId="0" borderId="1" xfId="0" applyFont="1" applyBorder="1"/>
    <xf numFmtId="10" fontId="22" fillId="0" borderId="1" xfId="0" applyNumberFormat="1" applyFont="1" applyBorder="1"/>
    <xf numFmtId="10" fontId="1" fillId="0" borderId="0" xfId="0" applyNumberFormat="1" applyFont="1"/>
    <xf numFmtId="0" fontId="11" fillId="0" borderId="1" xfId="0" applyFont="1" applyBorder="1"/>
    <xf numFmtId="3" fontId="1" fillId="0" borderId="1" xfId="0" applyNumberFormat="1" applyFont="1" applyBorder="1"/>
    <xf numFmtId="9" fontId="1" fillId="0" borderId="0" xfId="0" applyNumberFormat="1" applyFont="1"/>
    <xf numFmtId="4" fontId="11" fillId="0" borderId="1" xfId="0" applyNumberFormat="1" applyFont="1" applyBorder="1"/>
    <xf numFmtId="0" fontId="3" fillId="4" borderId="1" xfId="0" applyFont="1" applyFill="1" applyBorder="1" applyAlignment="1">
      <alignment horizontal="center" vertical="center"/>
    </xf>
    <xf numFmtId="0" fontId="19" fillId="12" borderId="0" xfId="0" applyFont="1" applyFill="1"/>
    <xf numFmtId="0" fontId="22" fillId="0" borderId="1" xfId="0" applyFont="1" applyBorder="1"/>
    <xf numFmtId="10" fontId="6" fillId="0" borderId="1" xfId="0" applyNumberFormat="1" applyFont="1" applyBorder="1"/>
    <xf numFmtId="0" fontId="22" fillId="0" borderId="2" xfId="0" applyFont="1" applyBorder="1"/>
    <xf numFmtId="10" fontId="22" fillId="0" borderId="0" xfId="0" applyNumberFormat="1" applyFont="1"/>
    <xf numFmtId="0" fontId="19" fillId="12" borderId="1" xfId="0" applyFont="1" applyFill="1" applyBorder="1"/>
    <xf numFmtId="0" fontId="22" fillId="0" borderId="0" xfId="0" applyFont="1"/>
    <xf numFmtId="4" fontId="1" fillId="0" borderId="0" xfId="0" applyNumberFormat="1" applyFont="1"/>
    <xf numFmtId="0" fontId="6" fillId="0" borderId="0" xfId="0" applyFont="1"/>
    <xf numFmtId="10" fontId="6" fillId="0" borderId="0" xfId="0" applyNumberFormat="1" applyFont="1"/>
    <xf numFmtId="167" fontId="1" fillId="0" borderId="0" xfId="0" applyNumberFormat="1" applyFont="1"/>
    <xf numFmtId="0" fontId="24" fillId="14" borderId="1" xfId="0" applyFont="1" applyFill="1" applyBorder="1" applyAlignment="1">
      <alignment horizontal="center" vertical="center" wrapText="1"/>
    </xf>
    <xf numFmtId="1" fontId="24" fillId="14" borderId="1" xfId="0" applyNumberFormat="1" applyFont="1" applyFill="1" applyBorder="1" applyAlignment="1">
      <alignment horizontal="center" vertical="center" wrapText="1"/>
    </xf>
    <xf numFmtId="168" fontId="1" fillId="0" borderId="1" xfId="0" applyNumberFormat="1" applyFont="1" applyBorder="1"/>
    <xf numFmtId="168" fontId="6" fillId="0" borderId="1" xfId="0" applyNumberFormat="1" applyFont="1" applyBorder="1"/>
    <xf numFmtId="168" fontId="13" fillId="0" borderId="0" xfId="0" applyNumberFormat="1" applyFont="1"/>
    <xf numFmtId="169" fontId="1" fillId="0" borderId="1" xfId="0" applyNumberFormat="1" applyFont="1" applyBorder="1"/>
    <xf numFmtId="0" fontId="25" fillId="14" borderId="1" xfId="0" applyFont="1" applyFill="1" applyBorder="1" applyAlignment="1">
      <alignment horizontal="center" vertical="center" wrapText="1"/>
    </xf>
    <xf numFmtId="1" fontId="25" fillId="14" borderId="1" xfId="0" applyNumberFormat="1" applyFont="1" applyFill="1" applyBorder="1" applyAlignment="1">
      <alignment horizontal="center" vertical="center" wrapText="1"/>
    </xf>
    <xf numFmtId="0" fontId="11" fillId="7" borderId="24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left" vertical="center" indent="1"/>
    </xf>
    <xf numFmtId="3" fontId="1" fillId="0" borderId="1" xfId="0" applyNumberFormat="1" applyFont="1" applyBorder="1" applyAlignment="1">
      <alignment horizontal="center" vertical="center"/>
    </xf>
    <xf numFmtId="170" fontId="1" fillId="0" borderId="25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center" indent="1"/>
    </xf>
    <xf numFmtId="3" fontId="1" fillId="0" borderId="27" xfId="0" applyNumberFormat="1" applyFont="1" applyBorder="1" applyAlignment="1">
      <alignment horizontal="center" vertical="center"/>
    </xf>
    <xf numFmtId="170" fontId="1" fillId="0" borderId="28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indent="1"/>
    </xf>
    <xf numFmtId="10" fontId="1" fillId="0" borderId="25" xfId="0" applyNumberFormat="1" applyFont="1" applyBorder="1" applyAlignment="1">
      <alignment horizontal="center" vertical="center"/>
    </xf>
    <xf numFmtId="171" fontId="1" fillId="0" borderId="25" xfId="0" applyNumberFormat="1" applyFont="1" applyBorder="1" applyAlignment="1">
      <alignment horizontal="center" vertical="center"/>
    </xf>
    <xf numFmtId="0" fontId="5" fillId="16" borderId="26" xfId="0" applyFont="1" applyFill="1" applyBorder="1" applyAlignment="1">
      <alignment horizontal="left" vertical="center" indent="1"/>
    </xf>
    <xf numFmtId="10" fontId="5" fillId="16" borderId="28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10" fontId="1" fillId="0" borderId="1" xfId="0" applyNumberFormat="1" applyFont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 indent="1"/>
    </xf>
    <xf numFmtId="10" fontId="5" fillId="16" borderId="1" xfId="0" applyNumberFormat="1" applyFont="1" applyFill="1" applyBorder="1" applyAlignment="1">
      <alignment horizontal="center" vertical="center"/>
    </xf>
    <xf numFmtId="10" fontId="15" fillId="0" borderId="1" xfId="0" applyNumberFormat="1" applyFont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right" vertical="center" wrapText="1"/>
    </xf>
    <xf numFmtId="0" fontId="18" fillId="0" borderId="1" xfId="0" applyFont="1" applyBorder="1" applyAlignment="1">
      <alignment horizontal="right" vertical="center" wrapText="1" indent="2"/>
    </xf>
    <xf numFmtId="0" fontId="11" fillId="0" borderId="0" xfId="0" applyFont="1"/>
    <xf numFmtId="0" fontId="11" fillId="17" borderId="1" xfId="0" applyFont="1" applyFill="1" applyBorder="1" applyAlignment="1">
      <alignment horizontal="left" vertical="center" wrapText="1"/>
    </xf>
    <xf numFmtId="0" fontId="11" fillId="17" borderId="25" xfId="0" applyFont="1" applyFill="1" applyBorder="1" applyAlignment="1">
      <alignment horizontal="left" vertical="center" wrapText="1"/>
    </xf>
    <xf numFmtId="0" fontId="11" fillId="17" borderId="24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7" borderId="25" xfId="0" applyFont="1" applyFill="1" applyBorder="1" applyAlignment="1">
      <alignment horizontal="center" vertical="center" wrapText="1"/>
    </xf>
    <xf numFmtId="165" fontId="18" fillId="0" borderId="1" xfId="0" applyNumberFormat="1" applyFont="1" applyBorder="1"/>
    <xf numFmtId="0" fontId="18" fillId="0" borderId="1" xfId="0" applyFont="1" applyBorder="1"/>
    <xf numFmtId="0" fontId="18" fillId="0" borderId="25" xfId="0" applyFont="1" applyBorder="1"/>
    <xf numFmtId="0" fontId="18" fillId="0" borderId="24" xfId="0" applyFont="1" applyBorder="1"/>
    <xf numFmtId="171" fontId="18" fillId="0" borderId="1" xfId="0" applyNumberFormat="1" applyFont="1" applyBorder="1"/>
    <xf numFmtId="168" fontId="18" fillId="0" borderId="25" xfId="0" applyNumberFormat="1" applyFont="1" applyBorder="1"/>
    <xf numFmtId="172" fontId="1" fillId="0" borderId="24" xfId="0" applyNumberFormat="1" applyFont="1" applyBorder="1"/>
    <xf numFmtId="172" fontId="1" fillId="0" borderId="1" xfId="0" applyNumberFormat="1" applyFont="1" applyBorder="1"/>
    <xf numFmtId="172" fontId="18" fillId="0" borderId="25" xfId="0" applyNumberFormat="1" applyFont="1" applyBorder="1"/>
    <xf numFmtId="0" fontId="1" fillId="7" borderId="1" xfId="0" applyFont="1" applyFill="1" applyBorder="1"/>
    <xf numFmtId="165" fontId="18" fillId="7" borderId="1" xfId="0" applyNumberFormat="1" applyFont="1" applyFill="1" applyBorder="1"/>
    <xf numFmtId="0" fontId="18" fillId="7" borderId="1" xfId="0" applyFont="1" applyFill="1" applyBorder="1"/>
    <xf numFmtId="0" fontId="18" fillId="7" borderId="25" xfId="0" applyFont="1" applyFill="1" applyBorder="1"/>
    <xf numFmtId="0" fontId="18" fillId="7" borderId="24" xfId="0" applyFont="1" applyFill="1" applyBorder="1"/>
    <xf numFmtId="171" fontId="18" fillId="7" borderId="1" xfId="0" applyNumberFormat="1" applyFont="1" applyFill="1" applyBorder="1"/>
    <xf numFmtId="168" fontId="18" fillId="7" borderId="25" xfId="0" applyNumberFormat="1" applyFont="1" applyFill="1" applyBorder="1"/>
    <xf numFmtId="172" fontId="1" fillId="7" borderId="24" xfId="0" applyNumberFormat="1" applyFont="1" applyFill="1" applyBorder="1"/>
    <xf numFmtId="172" fontId="1" fillId="7" borderId="1" xfId="0" applyNumberFormat="1" applyFont="1" applyFill="1" applyBorder="1"/>
    <xf numFmtId="172" fontId="18" fillId="7" borderId="25" xfId="0" applyNumberFormat="1" applyFont="1" applyFill="1" applyBorder="1"/>
    <xf numFmtId="0" fontId="7" fillId="0" borderId="0" xfId="0" applyFont="1" applyAlignment="1">
      <alignment horizontal="left" vertical="center"/>
    </xf>
    <xf numFmtId="165" fontId="18" fillId="0" borderId="0" xfId="0" applyNumberFormat="1" applyFont="1"/>
    <xf numFmtId="0" fontId="18" fillId="0" borderId="0" xfId="0" applyFont="1"/>
    <xf numFmtId="168" fontId="18" fillId="0" borderId="0" xfId="0" applyNumberFormat="1" applyFont="1"/>
    <xf numFmtId="172" fontId="1" fillId="0" borderId="0" xfId="0" applyNumberFormat="1" applyFont="1"/>
    <xf numFmtId="172" fontId="18" fillId="0" borderId="0" xfId="0" applyNumberFormat="1" applyFont="1"/>
    <xf numFmtId="0" fontId="3" fillId="4" borderId="31" xfId="0" applyFont="1" applyFill="1" applyBorder="1" applyAlignment="1">
      <alignment horizontal="center" vertical="center" wrapText="1"/>
    </xf>
    <xf numFmtId="2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2" fontId="1" fillId="0" borderId="2" xfId="0" applyNumberFormat="1" applyFont="1" applyBorder="1"/>
    <xf numFmtId="2" fontId="11" fillId="0" borderId="5" xfId="0" applyNumberFormat="1" applyFont="1" applyBorder="1"/>
    <xf numFmtId="2" fontId="11" fillId="0" borderId="6" xfId="0" applyNumberFormat="1" applyFont="1" applyBorder="1"/>
    <xf numFmtId="0" fontId="11" fillId="0" borderId="29" xfId="0" applyFont="1" applyBorder="1"/>
    <xf numFmtId="9" fontId="11" fillId="0" borderId="33" xfId="0" applyNumberFormat="1" applyFont="1" applyBorder="1"/>
    <xf numFmtId="9" fontId="1" fillId="0" borderId="24" xfId="0" applyNumberFormat="1" applyFont="1" applyBorder="1"/>
    <xf numFmtId="10" fontId="1" fillId="0" borderId="25" xfId="0" applyNumberFormat="1" applyFont="1" applyBorder="1"/>
    <xf numFmtId="173" fontId="1" fillId="0" borderId="1" xfId="0" applyNumberFormat="1" applyFont="1" applyBorder="1" applyAlignment="1">
      <alignment horizontal="right"/>
    </xf>
    <xf numFmtId="0" fontId="1" fillId="0" borderId="34" xfId="0" applyFont="1" applyBorder="1"/>
    <xf numFmtId="167" fontId="1" fillId="11" borderId="35" xfId="0" applyNumberFormat="1" applyFont="1" applyFill="1" applyBorder="1"/>
    <xf numFmtId="0" fontId="1" fillId="0" borderId="1" xfId="0" applyFont="1" applyBorder="1" applyAlignment="1">
      <alignment horizontal="right"/>
    </xf>
    <xf numFmtId="170" fontId="1" fillId="0" borderId="1" xfId="0" applyNumberFormat="1" applyFont="1" applyBorder="1" applyAlignment="1">
      <alignment horizontal="right"/>
    </xf>
    <xf numFmtId="10" fontId="1" fillId="0" borderId="36" xfId="0" applyNumberFormat="1" applyFont="1" applyBorder="1"/>
    <xf numFmtId="0" fontId="1" fillId="0" borderId="0" xfId="0" applyFont="1" applyAlignment="1">
      <alignment horizontal="right"/>
    </xf>
    <xf numFmtId="170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0" fontId="11" fillId="0" borderId="10" xfId="0" applyFont="1" applyBorder="1"/>
    <xf numFmtId="10" fontId="11" fillId="0" borderId="37" xfId="0" applyNumberFormat="1" applyFont="1" applyBorder="1"/>
    <xf numFmtId="9" fontId="1" fillId="0" borderId="12" xfId="0" applyNumberFormat="1" applyFont="1" applyBorder="1"/>
    <xf numFmtId="10" fontId="1" fillId="0" borderId="38" xfId="0" applyNumberFormat="1" applyFont="1" applyBorder="1"/>
    <xf numFmtId="10" fontId="1" fillId="11" borderId="35" xfId="0" applyNumberFormat="1" applyFont="1" applyFill="1" applyBorder="1"/>
    <xf numFmtId="9" fontId="1" fillId="0" borderId="1" xfId="0" applyNumberFormat="1" applyFont="1" applyBorder="1" applyAlignment="1">
      <alignment horizontal="right"/>
    </xf>
    <xf numFmtId="10" fontId="1" fillId="0" borderId="1" xfId="0" applyNumberFormat="1" applyFont="1" applyBorder="1" applyAlignment="1">
      <alignment horizontal="right"/>
    </xf>
    <xf numFmtId="174" fontId="1" fillId="0" borderId="36" xfId="0" applyNumberFormat="1" applyFont="1" applyBorder="1"/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174" fontId="1" fillId="0" borderId="0" xfId="0" applyNumberFormat="1" applyFont="1"/>
    <xf numFmtId="10" fontId="22" fillId="0" borderId="37" xfId="0" applyNumberFormat="1" applyFont="1" applyBorder="1"/>
    <xf numFmtId="9" fontId="11" fillId="0" borderId="12" xfId="0" applyNumberFormat="1" applyFont="1" applyBorder="1"/>
    <xf numFmtId="10" fontId="1" fillId="0" borderId="13" xfId="0" applyNumberFormat="1" applyFont="1" applyBorder="1"/>
    <xf numFmtId="0" fontId="1" fillId="0" borderId="36" xfId="0" applyFont="1" applyBorder="1"/>
    <xf numFmtId="0" fontId="11" fillId="11" borderId="0" xfId="0" applyFont="1" applyFill="1"/>
    <xf numFmtId="0" fontId="11" fillId="19" borderId="0" xfId="0" applyFont="1" applyFill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173" fontId="1" fillId="0" borderId="1" xfId="0" applyNumberFormat="1" applyFont="1" applyBorder="1"/>
    <xf numFmtId="173" fontId="1" fillId="0" borderId="0" xfId="0" applyNumberFormat="1" applyFont="1"/>
    <xf numFmtId="175" fontId="1" fillId="0" borderId="1" xfId="0" applyNumberFormat="1" applyFont="1" applyBorder="1"/>
    <xf numFmtId="2" fontId="1" fillId="0" borderId="0" xfId="0" applyNumberFormat="1" applyFont="1"/>
    <xf numFmtId="0" fontId="1" fillId="0" borderId="0" xfId="0" applyFont="1" applyAlignment="1">
      <alignment horizontal="left"/>
    </xf>
    <xf numFmtId="173" fontId="11" fillId="0" borderId="1" xfId="0" applyNumberFormat="1" applyFont="1" applyBorder="1"/>
    <xf numFmtId="2" fontId="11" fillId="0" borderId="1" xfId="0" applyNumberFormat="1" applyFont="1" applyBorder="1"/>
    <xf numFmtId="2" fontId="11" fillId="0" borderId="0" xfId="0" applyNumberFormat="1" applyFont="1"/>
    <xf numFmtId="9" fontId="1" fillId="0" borderId="1" xfId="0" applyNumberFormat="1" applyFont="1" applyBorder="1"/>
    <xf numFmtId="0" fontId="1" fillId="0" borderId="2" xfId="0" applyFont="1" applyBorder="1"/>
    <xf numFmtId="173" fontId="11" fillId="0" borderId="6" xfId="0" applyNumberFormat="1" applyFont="1" applyBorder="1"/>
    <xf numFmtId="2" fontId="11" fillId="0" borderId="39" xfId="0" applyNumberFormat="1" applyFont="1" applyBorder="1"/>
    <xf numFmtId="0" fontId="11" fillId="0" borderId="40" xfId="0" applyFont="1" applyBorder="1"/>
    <xf numFmtId="0" fontId="2" fillId="4" borderId="3" xfId="0" applyFont="1" applyFill="1" applyBorder="1" applyAlignment="1">
      <alignment horizontal="center"/>
    </xf>
    <xf numFmtId="0" fontId="11" fillId="11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23" fillId="13" borderId="21" xfId="0" applyFont="1" applyFill="1" applyBorder="1" applyAlignment="1">
      <alignment horizontal="center"/>
    </xf>
    <xf numFmtId="0" fontId="19" fillId="11" borderId="1" xfId="0" applyFont="1" applyFill="1" applyBorder="1" applyAlignment="1">
      <alignment horizontal="center"/>
    </xf>
    <xf numFmtId="0" fontId="19" fillId="12" borderId="1" xfId="0" applyFont="1" applyFill="1" applyBorder="1" applyAlignment="1">
      <alignment horizontal="center"/>
    </xf>
    <xf numFmtId="0" fontId="26" fillId="15" borderId="22" xfId="0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0" fontId="11" fillId="7" borderId="29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11" fillId="17" borderId="29" xfId="0" applyFont="1" applyFill="1" applyBorder="1" applyAlignment="1">
      <alignment horizontal="center" vertical="center" wrapText="1"/>
    </xf>
    <xf numFmtId="0" fontId="11" fillId="17" borderId="3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168" fontId="18" fillId="0" borderId="2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7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3" fillId="18" borderId="0" xfId="0" applyFont="1" applyFill="1" applyAlignment="1">
      <alignment horizontal="center"/>
    </xf>
    <xf numFmtId="0" fontId="11" fillId="11" borderId="32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39" xfId="0" applyFont="1" applyBorder="1" applyAlignment="1">
      <alignment horizontal="left"/>
    </xf>
    <xf numFmtId="0" fontId="28" fillId="0" borderId="1" xfId="0" applyFont="1" applyBorder="1"/>
    <xf numFmtId="4" fontId="28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6A0"/>
      <rgbColor rgb="FFC1E5F5"/>
      <rgbColor rgb="FF747474"/>
      <rgbColor rgb="FF83CBEB"/>
      <rgbColor rgb="FF993366"/>
      <rgbColor rgb="FFF8F8FC"/>
      <rgbColor rgb="FFCAEEFB"/>
      <rgbColor rgb="FF660066"/>
      <rgbColor rgb="FFFF8080"/>
      <rgbColor rgb="FF084F6B"/>
      <rgbColor rgb="FFD6E4F0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DCEAF7"/>
      <rgbColor rgb="FFE2EFDA"/>
      <rgbColor rgb="FFFFFF99"/>
      <rgbColor rgb="FFA6CAEC"/>
      <rgbColor rgb="FFFF99CC"/>
      <rgbColor rgb="FFCC99FF"/>
      <rgbColor rgb="FFF6C6AD"/>
      <rgbColor rgb="FF3366FF"/>
      <rgbColor rgb="FF96DCF8"/>
      <rgbColor rgb="FF99CC00"/>
      <rgbColor rgb="FFFFCC00"/>
      <rgbColor rgb="FFFF9900"/>
      <rgbColor rgb="FFFF6600"/>
      <rgbColor rgb="FF606F7B"/>
      <rgbColor rgb="FF969696"/>
      <rgbColor rgb="FF1F3864"/>
      <rgbColor rgb="FF467886"/>
      <rgbColor rgb="FF0D0D0D"/>
      <rgbColor rgb="FF104862"/>
      <rgbColor rgb="FFC04F15"/>
      <rgbColor rgb="FF993366"/>
      <rgbColor rgb="FF1F4E79"/>
      <rgbColor rgb="FF2222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1295280</xdr:colOff>
      <xdr:row>0</xdr:row>
      <xdr:rowOff>0</xdr:rowOff>
    </xdr:from>
    <xdr:to>
      <xdr:col>3</xdr:col>
      <xdr:colOff>1994760</xdr:colOff>
      <xdr:row>6</xdr:row>
      <xdr:rowOff>70560</xdr:rowOff>
    </xdr:to>
    <xdr:pic>
      <xdr:nvPicPr>
        <xdr:cNvPr id="2" name="Picture 3" descr="NATIONALUM Stock Price and Chart — NSE:NATIONALUM — TradingView — Ind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47240" y="0"/>
          <a:ext cx="2744280" cy="1384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nalcoindia.com/" TargetMode="External"/><Relationship Id="rId1" Type="http://schemas.openxmlformats.org/officeDocument/2006/relationships/hyperlink" Target="mailto:company_secretary@nalcoindia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6"/>
  <sheetViews>
    <sheetView showGridLines="0" zoomScale="85" zoomScaleNormal="85" workbookViewId="0">
      <selection activeCell="F3" sqref="F3"/>
    </sheetView>
  </sheetViews>
  <sheetFormatPr defaultColWidth="8.7265625" defaultRowHeight="13" x14ac:dyDescent="0.3"/>
  <cols>
    <col min="1" max="2" width="8.7265625" style="13"/>
    <col min="3" max="3" width="23" style="13" customWidth="1"/>
    <col min="4" max="4" width="35" style="13" customWidth="1"/>
    <col min="5" max="13" width="8.7265625" style="13"/>
    <col min="14" max="14" width="16.81640625" style="13" customWidth="1"/>
    <col min="15" max="15" width="24.81640625" style="13" customWidth="1"/>
    <col min="16" max="16384" width="8.7265625" style="13"/>
  </cols>
  <sheetData>
    <row r="1" spans="2:7" ht="17.25" customHeight="1" x14ac:dyDescent="0.3"/>
    <row r="2" spans="2:7" ht="17.25" customHeight="1" x14ac:dyDescent="0.3"/>
    <row r="3" spans="2:7" ht="17.25" customHeight="1" x14ac:dyDescent="0.3"/>
    <row r="4" spans="2:7" ht="17.25" customHeight="1" x14ac:dyDescent="0.3"/>
    <row r="5" spans="2:7" ht="17.25" customHeight="1" x14ac:dyDescent="0.3"/>
    <row r="6" spans="2:7" ht="17.25" customHeight="1" x14ac:dyDescent="0.3"/>
    <row r="7" spans="2:7" ht="17.25" customHeight="1" x14ac:dyDescent="0.3"/>
    <row r="8" spans="2:7" ht="17.25" customHeight="1" x14ac:dyDescent="0.3">
      <c r="B8" s="12" t="s">
        <v>0</v>
      </c>
      <c r="C8" s="12"/>
      <c r="D8" s="12"/>
      <c r="E8" s="12"/>
      <c r="F8" s="12"/>
      <c r="G8" s="12"/>
    </row>
    <row r="9" spans="2:7" ht="17.25" customHeight="1" x14ac:dyDescent="0.3">
      <c r="B9" s="11" t="s">
        <v>1</v>
      </c>
      <c r="C9" s="11"/>
      <c r="D9" s="11"/>
      <c r="E9" s="11"/>
      <c r="F9" s="11"/>
      <c r="G9" s="11"/>
    </row>
    <row r="10" spans="2:7" ht="17.25" customHeight="1" x14ac:dyDescent="0.3">
      <c r="B10" s="11"/>
      <c r="C10" s="11"/>
      <c r="D10" s="11"/>
      <c r="E10" s="11"/>
      <c r="F10" s="11"/>
      <c r="G10" s="11"/>
    </row>
    <row r="11" spans="2:7" ht="17.25" customHeight="1" x14ac:dyDescent="0.3">
      <c r="B11" s="11"/>
      <c r="C11" s="11"/>
      <c r="D11" s="11"/>
      <c r="E11" s="11"/>
      <c r="F11" s="11"/>
      <c r="G11" s="11"/>
    </row>
    <row r="12" spans="2:7" ht="17.25" customHeight="1" x14ac:dyDescent="0.3">
      <c r="B12" s="11"/>
      <c r="C12" s="11"/>
      <c r="D12" s="11"/>
      <c r="E12" s="11"/>
      <c r="F12" s="11"/>
      <c r="G12" s="11"/>
    </row>
    <row r="13" spans="2:7" ht="17.25" customHeight="1" x14ac:dyDescent="0.3"/>
    <row r="14" spans="2:7" ht="17.25" customHeight="1" x14ac:dyDescent="0.3">
      <c r="C14" s="10" t="s">
        <v>2</v>
      </c>
      <c r="D14" s="10"/>
    </row>
    <row r="15" spans="2:7" ht="17.25" customHeight="1" x14ac:dyDescent="0.3">
      <c r="C15" s="9" t="s">
        <v>3</v>
      </c>
      <c r="D15" s="9"/>
    </row>
    <row r="16" spans="2:7" ht="17.25" customHeight="1" x14ac:dyDescent="0.3">
      <c r="C16" s="14" t="s">
        <v>4</v>
      </c>
      <c r="D16" s="15" t="s">
        <v>5</v>
      </c>
    </row>
    <row r="17" spans="3:11" ht="17.25" customHeight="1" x14ac:dyDescent="0.3">
      <c r="C17" s="14" t="s">
        <v>6</v>
      </c>
      <c r="D17" s="15" t="s">
        <v>7</v>
      </c>
    </row>
    <row r="18" spans="3:11" ht="17.25" customHeight="1" x14ac:dyDescent="0.3">
      <c r="C18" s="14" t="s">
        <v>8</v>
      </c>
      <c r="D18" s="15" t="s">
        <v>9</v>
      </c>
    </row>
    <row r="19" spans="3:11" ht="17.25" customHeight="1" x14ac:dyDescent="0.3">
      <c r="C19" s="14" t="s">
        <v>10</v>
      </c>
      <c r="D19" s="15">
        <v>751013</v>
      </c>
    </row>
    <row r="20" spans="3:11" ht="17.25" customHeight="1" x14ac:dyDescent="0.3">
      <c r="C20" s="14" t="s">
        <v>11</v>
      </c>
      <c r="D20" s="15" t="s">
        <v>12</v>
      </c>
    </row>
    <row r="21" spans="3:11" ht="17.25" customHeight="1" x14ac:dyDescent="0.3">
      <c r="C21" s="14" t="s">
        <v>13</v>
      </c>
      <c r="D21" s="15" t="s">
        <v>14</v>
      </c>
      <c r="E21" s="16"/>
      <c r="F21" s="16"/>
      <c r="G21" s="16"/>
      <c r="H21" s="16"/>
      <c r="I21" s="16"/>
      <c r="J21" s="16"/>
      <c r="K21" s="16"/>
    </row>
    <row r="22" spans="3:11" ht="17.25" customHeight="1" x14ac:dyDescent="0.3">
      <c r="C22" s="14" t="s">
        <v>15</v>
      </c>
      <c r="D22" s="17" t="s">
        <v>16</v>
      </c>
      <c r="E22" s="16"/>
      <c r="F22" s="16"/>
      <c r="G22" s="16"/>
      <c r="H22" s="16"/>
      <c r="I22" s="16"/>
      <c r="J22" s="16"/>
      <c r="K22" s="16"/>
    </row>
    <row r="23" spans="3:11" ht="17.25" customHeight="1" x14ac:dyDescent="0.3">
      <c r="C23" s="14" t="s">
        <v>17</v>
      </c>
      <c r="D23" s="17" t="s">
        <v>18</v>
      </c>
      <c r="E23" s="18"/>
      <c r="F23" s="18"/>
      <c r="G23" s="18"/>
      <c r="H23" s="18"/>
      <c r="I23" s="18"/>
      <c r="J23" s="18"/>
      <c r="K23" s="18"/>
    </row>
    <row r="24" spans="3:11" ht="17.25" customHeight="1" x14ac:dyDescent="0.3">
      <c r="C24" s="19"/>
      <c r="D24" s="20"/>
      <c r="E24" s="18"/>
      <c r="F24" s="18"/>
      <c r="G24" s="18"/>
      <c r="H24" s="18"/>
      <c r="I24" s="18"/>
      <c r="J24" s="18"/>
      <c r="K24" s="18"/>
    </row>
    <row r="25" spans="3:11" ht="17.25" customHeight="1" x14ac:dyDescent="0.3">
      <c r="C25" s="10" t="s">
        <v>19</v>
      </c>
      <c r="D25" s="10"/>
    </row>
    <row r="26" spans="3:11" ht="18.75" customHeight="1" x14ac:dyDescent="0.3">
      <c r="C26" s="21" t="s">
        <v>20</v>
      </c>
      <c r="D26" s="21" t="s">
        <v>21</v>
      </c>
    </row>
    <row r="27" spans="3:11" ht="18.75" customHeight="1" x14ac:dyDescent="0.3">
      <c r="C27" s="22" t="s">
        <v>22</v>
      </c>
      <c r="D27" s="22" t="s">
        <v>23</v>
      </c>
    </row>
    <row r="28" spans="3:11" ht="18.75" customHeight="1" x14ac:dyDescent="0.3">
      <c r="C28" s="22" t="s">
        <v>24</v>
      </c>
      <c r="D28" s="22" t="s">
        <v>25</v>
      </c>
    </row>
    <row r="29" spans="3:11" ht="18.75" customHeight="1" x14ac:dyDescent="0.3">
      <c r="C29" s="22" t="s">
        <v>26</v>
      </c>
      <c r="D29" s="22" t="s">
        <v>27</v>
      </c>
    </row>
    <row r="30" spans="3:11" ht="18.75" customHeight="1" x14ac:dyDescent="0.3">
      <c r="C30" s="22" t="s">
        <v>28</v>
      </c>
      <c r="D30" s="22" t="s">
        <v>29</v>
      </c>
    </row>
    <row r="31" spans="3:11" ht="18.75" customHeight="1" x14ac:dyDescent="0.3">
      <c r="C31" s="22" t="s">
        <v>30</v>
      </c>
      <c r="D31" s="22" t="s">
        <v>31</v>
      </c>
    </row>
    <row r="32" spans="3:11" ht="18.75" customHeight="1" x14ac:dyDescent="0.3">
      <c r="C32" s="22" t="s">
        <v>32</v>
      </c>
      <c r="D32" s="22" t="s">
        <v>33</v>
      </c>
    </row>
    <row r="33" spans="3:4" ht="18.75" customHeight="1" x14ac:dyDescent="0.3">
      <c r="C33" s="22" t="s">
        <v>34</v>
      </c>
      <c r="D33" s="22" t="s">
        <v>35</v>
      </c>
    </row>
    <row r="34" spans="3:4" ht="18.75" customHeight="1" x14ac:dyDescent="0.3">
      <c r="C34" s="22" t="s">
        <v>36</v>
      </c>
      <c r="D34" s="22" t="s">
        <v>29</v>
      </c>
    </row>
    <row r="35" spans="3:4" ht="18.75" customHeight="1" x14ac:dyDescent="0.3">
      <c r="C35" s="22" t="s">
        <v>37</v>
      </c>
      <c r="D35" s="22" t="s">
        <v>31</v>
      </c>
    </row>
    <row r="36" spans="3:4" ht="18.75" customHeight="1" x14ac:dyDescent="0.3">
      <c r="C36" s="22" t="s">
        <v>38</v>
      </c>
      <c r="D36" s="22" t="s">
        <v>31</v>
      </c>
    </row>
    <row r="37" spans="3:4" ht="12.75" customHeight="1" x14ac:dyDescent="0.3"/>
    <row r="38" spans="3:4" ht="12.75" customHeight="1" x14ac:dyDescent="0.3"/>
    <row r="39" spans="3:4" ht="12.75" customHeight="1" x14ac:dyDescent="0.3"/>
    <row r="40" spans="3:4" ht="12.75" customHeight="1" x14ac:dyDescent="0.3"/>
    <row r="41" spans="3:4" ht="12.75" customHeight="1" x14ac:dyDescent="0.3"/>
    <row r="42" spans="3:4" ht="12.75" customHeight="1" x14ac:dyDescent="0.3"/>
    <row r="43" spans="3:4" ht="14.25" customHeight="1" x14ac:dyDescent="0.3"/>
    <row r="44" spans="3:4" ht="12.75" customHeight="1" x14ac:dyDescent="0.3"/>
    <row r="45" spans="3:4" ht="12.75" customHeight="1" x14ac:dyDescent="0.3"/>
    <row r="46" spans="3:4" ht="12.75" customHeight="1" x14ac:dyDescent="0.3"/>
    <row r="47" spans="3:4" ht="14.25" customHeight="1" x14ac:dyDescent="0.3"/>
    <row r="48" spans="3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</sheetData>
  <mergeCells count="5">
    <mergeCell ref="B8:G8"/>
    <mergeCell ref="B9:G12"/>
    <mergeCell ref="C14:D14"/>
    <mergeCell ref="C15:D15"/>
    <mergeCell ref="C25:D25"/>
  </mergeCells>
  <hyperlinks>
    <hyperlink ref="D22" r:id="rId1" xr:uid="{00000000-0004-0000-0000-000000000000}"/>
    <hyperlink ref="D23" r:id="rId2" xr:uid="{00000000-0004-0000-0000-000001000000}"/>
  </hyperlinks>
  <pageMargins left="0.7" right="0.7" top="0.75" bottom="0.75" header="0.511811023622047" footer="0.511811023622047"/>
  <pageSetup paperSize="9" orientation="portrait" horizontalDpi="300" verticalDpi="30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2"/>
  <sheetViews>
    <sheetView showGridLines="0" zoomScale="86" zoomScaleNormal="86" workbookViewId="0">
      <selection activeCell="B16" sqref="B16"/>
    </sheetView>
  </sheetViews>
  <sheetFormatPr defaultColWidth="10.81640625" defaultRowHeight="13" x14ac:dyDescent="0.3"/>
  <cols>
    <col min="1" max="1" width="3.1796875" style="13" customWidth="1"/>
    <col min="2" max="2" width="54.6328125" style="13" customWidth="1"/>
    <col min="3" max="14" width="9.90625" style="13" customWidth="1"/>
    <col min="15" max="16384" width="10.81640625" style="13"/>
  </cols>
  <sheetData>
    <row r="2" spans="2:14" ht="29.25" customHeight="1" x14ac:dyDescent="0.3">
      <c r="B2" s="23" t="s">
        <v>39</v>
      </c>
      <c r="C2" s="24">
        <v>45078</v>
      </c>
      <c r="D2" s="24">
        <v>45170</v>
      </c>
      <c r="E2" s="24">
        <v>45261</v>
      </c>
      <c r="F2" s="24">
        <v>45352</v>
      </c>
      <c r="G2" s="24">
        <v>45444</v>
      </c>
      <c r="H2" s="24">
        <v>45536</v>
      </c>
      <c r="I2" s="24">
        <v>45627</v>
      </c>
      <c r="J2" s="24">
        <v>45717</v>
      </c>
      <c r="K2" s="24">
        <v>45809</v>
      </c>
      <c r="L2" s="24">
        <v>45901</v>
      </c>
      <c r="M2" s="24">
        <v>45992</v>
      </c>
      <c r="N2" s="24">
        <v>46082</v>
      </c>
    </row>
    <row r="3" spans="2:14" ht="16.5" customHeight="1" x14ac:dyDescent="0.3">
      <c r="B3" s="25" t="s">
        <v>40</v>
      </c>
      <c r="C3" s="26">
        <v>0.51280000000000003</v>
      </c>
      <c r="D3" s="26">
        <v>0.51280000000000003</v>
      </c>
      <c r="E3" s="26">
        <v>0.51280000000000003</v>
      </c>
      <c r="F3" s="26">
        <v>0.51280000000000003</v>
      </c>
      <c r="G3" s="26">
        <v>0.51280000000000003</v>
      </c>
      <c r="H3" s="26">
        <v>0.51280000000000003</v>
      </c>
      <c r="I3" s="26">
        <v>0.51280000000000003</v>
      </c>
      <c r="J3" s="26">
        <v>0.51280000000000003</v>
      </c>
      <c r="K3" s="26">
        <v>0.51280000000000003</v>
      </c>
      <c r="L3" s="26">
        <v>0.51280000000000003</v>
      </c>
      <c r="M3" s="26">
        <v>0.51280000000000003</v>
      </c>
      <c r="N3" s="26">
        <v>0.51280000000000003</v>
      </c>
    </row>
    <row r="4" spans="2:14" ht="16.5" customHeight="1" x14ac:dyDescent="0.3">
      <c r="B4" s="27" t="s">
        <v>41</v>
      </c>
      <c r="C4" s="28">
        <v>51.28</v>
      </c>
      <c r="D4" s="28">
        <v>51.28</v>
      </c>
      <c r="E4" s="28">
        <v>51.28</v>
      </c>
      <c r="F4" s="28">
        <v>51.28</v>
      </c>
      <c r="G4" s="28">
        <v>51.28</v>
      </c>
      <c r="H4" s="28">
        <v>51.28</v>
      </c>
      <c r="I4" s="28">
        <v>51.28</v>
      </c>
      <c r="J4" s="28">
        <v>51.28</v>
      </c>
      <c r="K4" s="28">
        <v>51.28</v>
      </c>
      <c r="L4" s="28">
        <v>51.28</v>
      </c>
      <c r="M4" s="28">
        <v>51.28</v>
      </c>
      <c r="N4" s="28">
        <v>51.28</v>
      </c>
    </row>
    <row r="5" spans="2:14" ht="16.5" customHeight="1" x14ac:dyDescent="0.3">
      <c r="B5" s="29" t="s">
        <v>42</v>
      </c>
      <c r="C5" s="30">
        <v>0.14949999999999999</v>
      </c>
      <c r="D5" s="30">
        <v>0.1368</v>
      </c>
      <c r="E5" s="30">
        <v>0.11559999999999999</v>
      </c>
      <c r="F5" s="30">
        <v>8.9899999999999994E-2</v>
      </c>
      <c r="G5" s="30">
        <v>0.1043</v>
      </c>
      <c r="H5" s="30">
        <v>0.1208</v>
      </c>
      <c r="I5" s="30">
        <v>0.14130000000000001</v>
      </c>
      <c r="J5" s="30">
        <v>0.15809999999999999</v>
      </c>
      <c r="K5" s="30">
        <v>0.15060000000000001</v>
      </c>
      <c r="L5" s="30">
        <v>0.16220000000000001</v>
      </c>
      <c r="M5" s="30">
        <v>0.19670000000000001</v>
      </c>
      <c r="N5" s="30">
        <v>0.22270000000000001</v>
      </c>
    </row>
    <row r="6" spans="2:14" ht="16.5" customHeight="1" x14ac:dyDescent="0.3">
      <c r="B6" s="27" t="s">
        <v>43</v>
      </c>
      <c r="C6" s="31"/>
      <c r="D6" s="31"/>
      <c r="E6" s="31"/>
      <c r="F6" s="31"/>
      <c r="G6" s="31"/>
      <c r="H6" s="31"/>
      <c r="I6" s="31">
        <v>1.01</v>
      </c>
      <c r="J6" s="31"/>
      <c r="K6" s="31"/>
      <c r="L6" s="31"/>
      <c r="M6" s="31"/>
      <c r="N6" s="31"/>
    </row>
    <row r="7" spans="2:14" ht="16.5" customHeight="1" x14ac:dyDescent="0.3">
      <c r="B7" s="25" t="s">
        <v>44</v>
      </c>
      <c r="C7" s="26">
        <v>0.15379999999999999</v>
      </c>
      <c r="D7" s="26">
        <v>0.17469999999999999</v>
      </c>
      <c r="E7" s="26">
        <v>0.188</v>
      </c>
      <c r="F7" s="26">
        <v>0.18820000000000001</v>
      </c>
      <c r="G7" s="26">
        <v>0.19120000000000001</v>
      </c>
      <c r="H7" s="26">
        <v>0.19289999999999999</v>
      </c>
      <c r="I7" s="26">
        <v>0.1799</v>
      </c>
      <c r="J7" s="26">
        <v>0.157</v>
      </c>
      <c r="K7" s="26">
        <v>0.15759999999999999</v>
      </c>
      <c r="L7" s="26">
        <v>0.1545</v>
      </c>
      <c r="M7" s="26">
        <v>0.1235</v>
      </c>
      <c r="N7" s="26">
        <v>0.1075</v>
      </c>
    </row>
    <row r="8" spans="2:14" ht="16.5" customHeight="1" x14ac:dyDescent="0.3">
      <c r="B8" s="27" t="s">
        <v>45</v>
      </c>
      <c r="C8" s="28">
        <v>4.28</v>
      </c>
      <c r="D8" s="28">
        <v>4.1900000000000004</v>
      </c>
      <c r="E8" s="28">
        <v>3.29</v>
      </c>
      <c r="F8" s="28"/>
      <c r="G8" s="28"/>
      <c r="H8" s="28"/>
      <c r="I8" s="28"/>
      <c r="J8" s="28"/>
      <c r="K8" s="28"/>
      <c r="L8" s="28"/>
      <c r="M8" s="28"/>
      <c r="N8" s="28"/>
    </row>
    <row r="9" spans="2:14" ht="16.5" customHeight="1" x14ac:dyDescent="0.3">
      <c r="B9" s="27" t="s">
        <v>46</v>
      </c>
      <c r="C9" s="28">
        <v>3.86</v>
      </c>
      <c r="D9" s="28">
        <v>3.58</v>
      </c>
      <c r="E9" s="28"/>
      <c r="F9" s="28"/>
      <c r="G9" s="28"/>
      <c r="H9" s="28"/>
      <c r="I9" s="28"/>
      <c r="J9" s="28"/>
      <c r="K9" s="28"/>
      <c r="L9" s="28"/>
      <c r="M9" s="28"/>
      <c r="N9" s="28"/>
    </row>
    <row r="10" spans="2:14" ht="16.5" customHeight="1" x14ac:dyDescent="0.3">
      <c r="B10" s="27" t="s">
        <v>47</v>
      </c>
      <c r="C10" s="28"/>
      <c r="D10" s="28"/>
      <c r="E10" s="28"/>
      <c r="F10" s="28">
        <v>3.25</v>
      </c>
      <c r="G10" s="28">
        <v>3.34</v>
      </c>
      <c r="H10" s="28">
        <v>3.68</v>
      </c>
      <c r="I10" s="28">
        <v>3.67</v>
      </c>
      <c r="J10" s="28"/>
      <c r="K10" s="28"/>
      <c r="L10" s="28"/>
      <c r="M10" s="28"/>
      <c r="N10" s="28"/>
    </row>
    <row r="11" spans="2:14" ht="16.5" customHeight="1" x14ac:dyDescent="0.3">
      <c r="B11" s="27" t="s">
        <v>48</v>
      </c>
      <c r="C11" s="28"/>
      <c r="D11" s="28"/>
      <c r="E11" s="28"/>
      <c r="F11" s="28">
        <v>3.29</v>
      </c>
      <c r="G11" s="28">
        <v>3.51</v>
      </c>
      <c r="H11" s="28">
        <v>4.22</v>
      </c>
      <c r="I11" s="28">
        <v>4.0199999999999996</v>
      </c>
      <c r="J11" s="28">
        <v>4.0199999999999996</v>
      </c>
      <c r="K11" s="28">
        <v>4.0199999999999996</v>
      </c>
      <c r="L11" s="28">
        <v>3.7</v>
      </c>
      <c r="M11" s="28">
        <v>2.6</v>
      </c>
      <c r="N11" s="28">
        <v>1.94</v>
      </c>
    </row>
    <row r="12" spans="2:14" ht="16.5" customHeight="1" x14ac:dyDescent="0.3">
      <c r="B12" s="27" t="s">
        <v>49</v>
      </c>
      <c r="C12" s="28"/>
      <c r="D12" s="28"/>
      <c r="E12" s="28">
        <v>3.48</v>
      </c>
      <c r="F12" s="28"/>
      <c r="G12" s="28"/>
      <c r="H12" s="28"/>
      <c r="I12" s="28"/>
      <c r="J12" s="28"/>
      <c r="K12" s="28"/>
      <c r="L12" s="28"/>
      <c r="M12" s="28"/>
      <c r="N12" s="28"/>
    </row>
    <row r="13" spans="2:14" ht="16.5" customHeight="1" x14ac:dyDescent="0.3">
      <c r="B13" s="27" t="s">
        <v>50</v>
      </c>
      <c r="C13" s="28">
        <v>1.19</v>
      </c>
      <c r="D13" s="28">
        <v>3.02</v>
      </c>
      <c r="E13" s="28">
        <v>3.65</v>
      </c>
      <c r="F13" s="28"/>
      <c r="G13" s="28"/>
      <c r="H13" s="28"/>
      <c r="I13" s="28"/>
      <c r="J13" s="28"/>
      <c r="K13" s="28"/>
      <c r="L13" s="28"/>
      <c r="M13" s="28"/>
      <c r="N13" s="28"/>
    </row>
    <row r="14" spans="2:14" ht="16.5" customHeight="1" x14ac:dyDescent="0.3">
      <c r="B14" s="27" t="s">
        <v>51</v>
      </c>
      <c r="C14" s="28"/>
      <c r="D14" s="28"/>
      <c r="E14" s="28"/>
      <c r="F14" s="28"/>
      <c r="G14" s="28"/>
      <c r="H14" s="28"/>
      <c r="I14" s="28"/>
      <c r="J14" s="28">
        <v>2.91</v>
      </c>
      <c r="K14" s="28">
        <v>3.08</v>
      </c>
      <c r="L14" s="28">
        <v>2.95</v>
      </c>
      <c r="M14" s="28">
        <v>2.17</v>
      </c>
      <c r="N14" s="28">
        <v>1.17</v>
      </c>
    </row>
    <row r="15" spans="2:14" ht="16.5" customHeight="1" x14ac:dyDescent="0.3">
      <c r="B15" s="27" t="s">
        <v>52</v>
      </c>
      <c r="C15" s="28"/>
      <c r="D15" s="28"/>
      <c r="E15" s="28"/>
      <c r="F15" s="28">
        <v>3.57</v>
      </c>
      <c r="G15" s="28">
        <v>3.62</v>
      </c>
      <c r="H15" s="28">
        <v>3.64</v>
      </c>
      <c r="I15" s="28">
        <v>2.21</v>
      </c>
      <c r="J15" s="28">
        <v>1.84</v>
      </c>
      <c r="K15" s="28">
        <v>1.71</v>
      </c>
      <c r="L15" s="28">
        <v>1.62</v>
      </c>
      <c r="M15" s="28">
        <v>1.39</v>
      </c>
      <c r="N15" s="28"/>
    </row>
    <row r="16" spans="2:14" ht="16.5" customHeight="1" x14ac:dyDescent="0.3">
      <c r="B16" s="27" t="s">
        <v>53</v>
      </c>
      <c r="C16" s="28"/>
      <c r="D16" s="28"/>
      <c r="E16" s="28">
        <v>1.79</v>
      </c>
      <c r="F16" s="28">
        <v>2.6</v>
      </c>
      <c r="G16" s="28">
        <v>2.33</v>
      </c>
      <c r="H16" s="28"/>
      <c r="I16" s="28"/>
      <c r="J16" s="28"/>
      <c r="K16" s="28"/>
      <c r="L16" s="28"/>
      <c r="M16" s="28"/>
      <c r="N16" s="28"/>
    </row>
    <row r="17" spans="2:14" ht="16.5" customHeight="1" x14ac:dyDescent="0.3">
      <c r="B17" s="27" t="s">
        <v>54</v>
      </c>
      <c r="C17" s="28">
        <v>2.37</v>
      </c>
      <c r="D17" s="28">
        <v>2.0499999999999998</v>
      </c>
      <c r="E17" s="28">
        <v>2.15</v>
      </c>
      <c r="F17" s="28"/>
      <c r="G17" s="28"/>
      <c r="H17" s="28"/>
      <c r="I17" s="28"/>
      <c r="J17" s="28"/>
      <c r="K17" s="28"/>
      <c r="L17" s="28"/>
      <c r="M17" s="28"/>
      <c r="N17" s="28"/>
    </row>
    <row r="18" spans="2:14" ht="16.5" customHeight="1" x14ac:dyDescent="0.3">
      <c r="B18" s="27" t="s">
        <v>55</v>
      </c>
      <c r="C18" s="28"/>
      <c r="D18" s="28"/>
      <c r="E18" s="28"/>
      <c r="F18" s="28"/>
      <c r="G18" s="28"/>
      <c r="H18" s="28"/>
      <c r="I18" s="28">
        <v>1.63</v>
      </c>
      <c r="J18" s="28"/>
      <c r="K18" s="28"/>
      <c r="L18" s="28"/>
      <c r="M18" s="28"/>
      <c r="N18" s="28"/>
    </row>
    <row r="19" spans="2:14" ht="16.5" customHeight="1" x14ac:dyDescent="0.3">
      <c r="B19" s="27" t="s">
        <v>56</v>
      </c>
      <c r="C19" s="28"/>
      <c r="D19" s="28"/>
      <c r="E19" s="28"/>
      <c r="F19" s="28"/>
      <c r="G19" s="28"/>
      <c r="H19" s="28"/>
      <c r="I19" s="28"/>
      <c r="J19" s="28">
        <v>1.31</v>
      </c>
      <c r="K19" s="28"/>
      <c r="L19" s="28"/>
      <c r="M19" s="28"/>
      <c r="N19" s="28"/>
    </row>
    <row r="20" spans="2:14" ht="16.5" customHeight="1" x14ac:dyDescent="0.3">
      <c r="B20" s="27" t="s">
        <v>57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>
        <v>1.06</v>
      </c>
      <c r="N20" s="28"/>
    </row>
    <row r="21" spans="2:14" ht="16.5" customHeight="1" x14ac:dyDescent="0.3">
      <c r="B21" s="29" t="s">
        <v>58</v>
      </c>
      <c r="C21" s="30">
        <v>0.184</v>
      </c>
      <c r="D21" s="30">
        <v>0.1757</v>
      </c>
      <c r="E21" s="30">
        <v>0.18379999999999999</v>
      </c>
      <c r="F21" s="30">
        <v>0.20930000000000001</v>
      </c>
      <c r="G21" s="30">
        <v>0.19159999999999999</v>
      </c>
      <c r="H21" s="30">
        <v>0.1734</v>
      </c>
      <c r="I21" s="30">
        <v>0.16600000000000001</v>
      </c>
      <c r="J21" s="30">
        <v>0.1721</v>
      </c>
      <c r="K21" s="30">
        <v>0.17899999999999999</v>
      </c>
      <c r="L21" s="30">
        <v>0.17050000000000001</v>
      </c>
      <c r="M21" s="30">
        <v>0.16700000000000001</v>
      </c>
      <c r="N21" s="30">
        <v>0.15690000000000001</v>
      </c>
    </row>
    <row r="22" spans="2:14" ht="16.5" customHeight="1" x14ac:dyDescent="0.3">
      <c r="B22" s="32" t="s">
        <v>59</v>
      </c>
      <c r="C22" s="33">
        <v>644039</v>
      </c>
      <c r="D22" s="33">
        <v>636856</v>
      </c>
      <c r="E22" s="33">
        <v>692122</v>
      </c>
      <c r="F22" s="33">
        <v>876645</v>
      </c>
      <c r="G22" s="33">
        <v>912729</v>
      </c>
      <c r="H22" s="33">
        <v>868800</v>
      </c>
      <c r="I22" s="33">
        <v>912049</v>
      </c>
      <c r="J22" s="33">
        <v>927096</v>
      </c>
      <c r="K22" s="33">
        <v>956168</v>
      </c>
      <c r="L22" s="33">
        <v>924942</v>
      </c>
      <c r="M22" s="33">
        <v>907497</v>
      </c>
      <c r="N22" s="33">
        <v>969058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B40"/>
  <sheetViews>
    <sheetView zoomScale="75" zoomScaleNormal="75" workbookViewId="0">
      <selection activeCell="O10" sqref="O10"/>
    </sheetView>
  </sheetViews>
  <sheetFormatPr defaultColWidth="8.7265625" defaultRowHeight="13" x14ac:dyDescent="0.3"/>
  <cols>
    <col min="1" max="1" width="2.36328125" style="13" customWidth="1"/>
    <col min="2" max="2" width="21" style="13" customWidth="1"/>
    <col min="3" max="8" width="8.81640625" style="13" customWidth="1"/>
    <col min="9" max="9" width="4.453125" style="13" customWidth="1"/>
    <col min="10" max="14" width="10.453125" style="13" customWidth="1"/>
    <col min="15" max="15" width="8.7265625" style="13"/>
    <col min="16" max="16" width="20.90625" style="13" customWidth="1"/>
    <col min="17" max="22" width="8.81640625" style="13" customWidth="1"/>
    <col min="23" max="23" width="5.453125" style="13" customWidth="1"/>
    <col min="24" max="28" width="10.453125" style="13" customWidth="1"/>
    <col min="29" max="16384" width="8.7265625" style="13"/>
  </cols>
  <sheetData>
    <row r="1" spans="2:28" s="34" customFormat="1" ht="16.5" customHeight="1" x14ac:dyDescent="0.3">
      <c r="B1" s="8" t="s">
        <v>60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P1" s="8" t="s">
        <v>61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2:28" s="34" customFormat="1" ht="16.5" customHeight="1" x14ac:dyDescent="0.3">
      <c r="B2" s="7" t="s">
        <v>62</v>
      </c>
      <c r="C2" s="7"/>
      <c r="D2" s="7"/>
      <c r="E2" s="7"/>
      <c r="F2" s="7"/>
      <c r="G2" s="7"/>
      <c r="H2" s="7"/>
      <c r="I2" s="35"/>
      <c r="J2" s="7" t="s">
        <v>63</v>
      </c>
      <c r="K2" s="7"/>
      <c r="L2" s="7"/>
      <c r="M2" s="7"/>
      <c r="N2" s="7"/>
      <c r="P2" s="7" t="s">
        <v>64</v>
      </c>
      <c r="Q2" s="7"/>
      <c r="R2" s="7"/>
      <c r="S2" s="7"/>
      <c r="T2" s="7"/>
      <c r="U2" s="7"/>
      <c r="V2" s="7"/>
      <c r="W2" s="35"/>
      <c r="X2" s="7" t="s">
        <v>63</v>
      </c>
      <c r="Y2" s="7"/>
      <c r="Z2" s="7"/>
      <c r="AA2" s="7"/>
      <c r="AB2" s="7"/>
    </row>
    <row r="3" spans="2:28" s="34" customFormat="1" ht="16.5" customHeight="1" x14ac:dyDescent="0.3">
      <c r="B3" s="36" t="s">
        <v>39</v>
      </c>
      <c r="C3" s="37">
        <v>43891</v>
      </c>
      <c r="D3" s="37">
        <v>44256</v>
      </c>
      <c r="E3" s="37">
        <v>44621</v>
      </c>
      <c r="F3" s="37">
        <v>44986</v>
      </c>
      <c r="G3" s="37">
        <v>45352</v>
      </c>
      <c r="H3" s="37">
        <v>45717</v>
      </c>
      <c r="I3" s="38"/>
      <c r="J3" s="39">
        <v>44256</v>
      </c>
      <c r="K3" s="39">
        <v>44621</v>
      </c>
      <c r="L3" s="39">
        <v>44986</v>
      </c>
      <c r="M3" s="39">
        <v>45352</v>
      </c>
      <c r="N3" s="39">
        <v>45717</v>
      </c>
      <c r="P3" s="40" t="s">
        <v>39</v>
      </c>
      <c r="Q3" s="39">
        <v>43891</v>
      </c>
      <c r="R3" s="39">
        <v>44256</v>
      </c>
      <c r="S3" s="39">
        <v>44621</v>
      </c>
      <c r="T3" s="39">
        <v>44986</v>
      </c>
      <c r="U3" s="39">
        <v>45352</v>
      </c>
      <c r="V3" s="39">
        <v>45717</v>
      </c>
      <c r="W3" s="38"/>
      <c r="X3" s="39">
        <v>44256</v>
      </c>
      <c r="Y3" s="39">
        <v>44621</v>
      </c>
      <c r="Z3" s="39">
        <v>44986</v>
      </c>
      <c r="AA3" s="39">
        <v>45352</v>
      </c>
      <c r="AB3" s="39">
        <v>45717</v>
      </c>
    </row>
    <row r="4" spans="2:28" ht="15" customHeight="1" x14ac:dyDescent="0.3">
      <c r="B4" s="41" t="s">
        <v>65</v>
      </c>
      <c r="C4" s="42">
        <v>8472</v>
      </c>
      <c r="D4" s="42">
        <v>8956</v>
      </c>
      <c r="E4" s="42">
        <v>14181</v>
      </c>
      <c r="F4" s="42">
        <v>14257</v>
      </c>
      <c r="G4" s="42">
        <v>13149</v>
      </c>
      <c r="H4" s="42">
        <v>16788</v>
      </c>
      <c r="J4" s="43">
        <f t="shared" ref="J4:N6" si="0">(D4-C4)/C4</f>
        <v>5.7129367327667609E-2</v>
      </c>
      <c r="K4" s="43">
        <f t="shared" si="0"/>
        <v>0.58340777132648503</v>
      </c>
      <c r="L4" s="43">
        <f t="shared" si="0"/>
        <v>5.3592835484098439E-3</v>
      </c>
      <c r="M4" s="43">
        <f t="shared" si="0"/>
        <v>-7.7716209581258328E-2</v>
      </c>
      <c r="N4" s="43">
        <f t="shared" si="0"/>
        <v>0.27675108373260326</v>
      </c>
      <c r="P4" s="41" t="s">
        <v>66</v>
      </c>
      <c r="Q4" s="44">
        <v>933</v>
      </c>
      <c r="R4" s="44">
        <v>918</v>
      </c>
      <c r="S4" s="44">
        <v>918</v>
      </c>
      <c r="T4" s="44">
        <v>918</v>
      </c>
      <c r="U4" s="44">
        <v>918</v>
      </c>
      <c r="V4" s="44">
        <v>918</v>
      </c>
      <c r="X4" s="43">
        <f t="shared" ref="X4:AB6" si="1">(R4-Q4)/Q4</f>
        <v>-1.607717041800643E-2</v>
      </c>
      <c r="Y4" s="43">
        <f t="shared" si="1"/>
        <v>0</v>
      </c>
      <c r="Z4" s="43">
        <f t="shared" si="1"/>
        <v>0</v>
      </c>
      <c r="AA4" s="43">
        <f t="shared" si="1"/>
        <v>0</v>
      </c>
      <c r="AB4" s="43">
        <f t="shared" si="1"/>
        <v>0</v>
      </c>
    </row>
    <row r="5" spans="2:28" ht="15" customHeight="1" x14ac:dyDescent="0.3">
      <c r="B5" s="45" t="s">
        <v>67</v>
      </c>
      <c r="C5" s="26">
        <v>-0.26329999999999998</v>
      </c>
      <c r="D5" s="26">
        <v>5.7099999999999998E-2</v>
      </c>
      <c r="E5" s="26">
        <v>0.58340000000000003</v>
      </c>
      <c r="F5" s="26">
        <v>5.4000000000000003E-3</v>
      </c>
      <c r="G5" s="26">
        <v>-7.7700000000000005E-2</v>
      </c>
      <c r="H5" s="26">
        <v>0.2767</v>
      </c>
      <c r="J5" s="43">
        <f t="shared" si="0"/>
        <v>-1.2168628940372199</v>
      </c>
      <c r="K5" s="43">
        <f t="shared" si="0"/>
        <v>9.2171628721541161</v>
      </c>
      <c r="L5" s="43">
        <f t="shared" si="0"/>
        <v>-0.99074391498114511</v>
      </c>
      <c r="M5" s="43">
        <f t="shared" si="0"/>
        <v>-15.388888888888889</v>
      </c>
      <c r="N5" s="43">
        <f t="shared" si="0"/>
        <v>-4.5611325611325606</v>
      </c>
      <c r="P5" s="41" t="s">
        <v>68</v>
      </c>
      <c r="Q5" s="46">
        <v>9054</v>
      </c>
      <c r="R5" s="46">
        <v>9761</v>
      </c>
      <c r="S5" s="46">
        <v>11634</v>
      </c>
      <c r="T5" s="46">
        <v>12208</v>
      </c>
      <c r="U5" s="46">
        <v>13470</v>
      </c>
      <c r="V5" s="46">
        <v>16887</v>
      </c>
      <c r="X5" s="43">
        <f t="shared" si="1"/>
        <v>7.8087033355423011E-2</v>
      </c>
      <c r="Y5" s="43">
        <f t="shared" si="1"/>
        <v>0.19188607724618378</v>
      </c>
      <c r="Z5" s="43">
        <f t="shared" si="1"/>
        <v>4.9338146811071001E-2</v>
      </c>
      <c r="AA5" s="43">
        <f t="shared" si="1"/>
        <v>0.10337483617300131</v>
      </c>
      <c r="AB5" s="43">
        <f t="shared" si="1"/>
        <v>0.25367483296213811</v>
      </c>
    </row>
    <row r="6" spans="2:28" ht="15" customHeight="1" x14ac:dyDescent="0.3">
      <c r="B6" s="41" t="s">
        <v>69</v>
      </c>
      <c r="C6" s="47">
        <v>7985</v>
      </c>
      <c r="D6" s="47">
        <v>7174</v>
      </c>
      <c r="E6" s="47">
        <v>9665</v>
      </c>
      <c r="F6" s="47">
        <v>11917</v>
      </c>
      <c r="G6" s="47">
        <v>10348</v>
      </c>
      <c r="H6" s="47">
        <v>9280</v>
      </c>
      <c r="J6" s="43">
        <f t="shared" si="0"/>
        <v>-0.1015654351909831</v>
      </c>
      <c r="K6" s="43">
        <f t="shared" si="0"/>
        <v>0.34722609422916084</v>
      </c>
      <c r="L6" s="43">
        <f t="shared" si="0"/>
        <v>0.2330056906363166</v>
      </c>
      <c r="M6" s="43">
        <f t="shared" si="0"/>
        <v>-0.13166065284887135</v>
      </c>
      <c r="N6" s="43">
        <f t="shared" si="0"/>
        <v>-0.10320834943950521</v>
      </c>
      <c r="P6" s="41" t="s">
        <v>70</v>
      </c>
      <c r="Q6" s="44">
        <v>12</v>
      </c>
      <c r="R6" s="44">
        <v>102</v>
      </c>
      <c r="S6" s="44">
        <v>77</v>
      </c>
      <c r="T6" s="44">
        <v>105</v>
      </c>
      <c r="U6" s="44">
        <v>96</v>
      </c>
      <c r="V6" s="44">
        <v>182</v>
      </c>
      <c r="X6" s="43">
        <f t="shared" si="1"/>
        <v>7.5</v>
      </c>
      <c r="Y6" s="43">
        <f t="shared" si="1"/>
        <v>-0.24509803921568626</v>
      </c>
      <c r="Z6" s="43">
        <f t="shared" si="1"/>
        <v>0.36363636363636365</v>
      </c>
      <c r="AA6" s="43">
        <f t="shared" si="1"/>
        <v>-8.5714285714285715E-2</v>
      </c>
      <c r="AB6" s="43">
        <f t="shared" si="1"/>
        <v>0.89583333333333337</v>
      </c>
    </row>
    <row r="7" spans="2:28" ht="15" customHeight="1" x14ac:dyDescent="0.3">
      <c r="B7" s="45" t="s">
        <v>71</v>
      </c>
      <c r="C7" s="30">
        <v>0.1578</v>
      </c>
      <c r="D7" s="30">
        <v>0.1462</v>
      </c>
      <c r="E7" s="30">
        <v>0.1308</v>
      </c>
      <c r="F7" s="30">
        <v>0.2213</v>
      </c>
      <c r="G7" s="30">
        <v>0.20119999999999999</v>
      </c>
      <c r="H7" s="30">
        <v>0.11749999999999999</v>
      </c>
      <c r="J7" s="43">
        <f t="shared" ref="J7:J15" si="2">(D7-C7)/C7</f>
        <v>-7.3510773130544993E-2</v>
      </c>
      <c r="K7" s="43">
        <f t="shared" ref="K7:K15" si="3">(E7-D7)/D7</f>
        <v>-0.10533515731874143</v>
      </c>
      <c r="L7" s="43">
        <f t="shared" ref="L7:L15" si="4">(F7-E7)/E7</f>
        <v>0.69189602446483178</v>
      </c>
      <c r="M7" s="43">
        <f t="shared" ref="M7:M15" si="5">(G7-F7)/F7</f>
        <v>-9.0826931766832389E-2</v>
      </c>
      <c r="N7" s="43"/>
      <c r="P7" s="45" t="s">
        <v>72</v>
      </c>
      <c r="Q7" s="27">
        <v>9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X7" s="43"/>
      <c r="Y7" s="43"/>
      <c r="Z7" s="43"/>
      <c r="AA7" s="43"/>
      <c r="AB7" s="43"/>
    </row>
    <row r="8" spans="2:28" ht="15" customHeight="1" x14ac:dyDescent="0.3">
      <c r="B8" s="45" t="s">
        <v>73</v>
      </c>
      <c r="C8" s="47">
        <v>1702</v>
      </c>
      <c r="D8" s="47">
        <v>1315</v>
      </c>
      <c r="E8" s="47">
        <v>1971</v>
      </c>
      <c r="F8" s="47">
        <v>3172</v>
      </c>
      <c r="G8" s="47">
        <v>2792</v>
      </c>
      <c r="H8" s="47">
        <v>2063</v>
      </c>
      <c r="J8" s="43">
        <f t="shared" si="2"/>
        <v>-0.22737955346650998</v>
      </c>
      <c r="K8" s="43">
        <f t="shared" si="3"/>
        <v>0.49885931558935359</v>
      </c>
      <c r="L8" s="43">
        <f t="shared" si="4"/>
        <v>0.60933536276002032</v>
      </c>
      <c r="M8" s="43">
        <f t="shared" si="5"/>
        <v>-0.11979823455233292</v>
      </c>
      <c r="N8" s="43"/>
      <c r="P8" s="45" t="s">
        <v>74</v>
      </c>
      <c r="Q8" s="44">
        <v>12</v>
      </c>
      <c r="R8" s="44">
        <v>46</v>
      </c>
      <c r="S8" s="44">
        <v>21</v>
      </c>
      <c r="T8" s="44">
        <v>48</v>
      </c>
      <c r="U8" s="44">
        <v>39</v>
      </c>
      <c r="V8" s="44">
        <v>124</v>
      </c>
      <c r="X8" s="43">
        <f>(R8-Q8)/Q8</f>
        <v>2.8333333333333335</v>
      </c>
      <c r="Y8" s="43">
        <f>(S8-R8)/R8</f>
        <v>-0.54347826086956519</v>
      </c>
      <c r="Z8" s="43">
        <f>(T8-S8)/S8</f>
        <v>1.2857142857142858</v>
      </c>
      <c r="AA8" s="43">
        <f>(U8-T8)/T8</f>
        <v>-0.1875</v>
      </c>
      <c r="AB8" s="43">
        <f>(V8-U8)/U8</f>
        <v>2.1794871794871793</v>
      </c>
    </row>
    <row r="9" spans="2:28" ht="15" customHeight="1" x14ac:dyDescent="0.3">
      <c r="B9" s="45" t="s">
        <v>75</v>
      </c>
      <c r="C9" s="31">
        <v>-365</v>
      </c>
      <c r="D9" s="31">
        <v>-6</v>
      </c>
      <c r="E9" s="31">
        <v>-117</v>
      </c>
      <c r="F9" s="31">
        <v>-17</v>
      </c>
      <c r="G9" s="31">
        <v>-146</v>
      </c>
      <c r="H9" s="31">
        <v>-90</v>
      </c>
      <c r="J9" s="43">
        <f t="shared" si="2"/>
        <v>-0.98356164383561639</v>
      </c>
      <c r="K9" s="43">
        <f t="shared" si="3"/>
        <v>18.5</v>
      </c>
      <c r="L9" s="43">
        <f t="shared" si="4"/>
        <v>-0.85470085470085466</v>
      </c>
      <c r="M9" s="43">
        <f t="shared" si="5"/>
        <v>7.5882352941176467</v>
      </c>
      <c r="N9" s="43">
        <f t="shared" ref="N9:N15" si="6">(H9-G9)/G9</f>
        <v>-0.38356164383561642</v>
      </c>
      <c r="P9" s="45" t="s">
        <v>76</v>
      </c>
      <c r="Q9" s="44">
        <v>0</v>
      </c>
      <c r="R9" s="44">
        <v>56</v>
      </c>
      <c r="S9" s="44">
        <v>56</v>
      </c>
      <c r="T9" s="44">
        <v>57</v>
      </c>
      <c r="U9" s="44">
        <v>57</v>
      </c>
      <c r="V9" s="44">
        <v>58</v>
      </c>
      <c r="X9" s="43"/>
      <c r="Y9" s="43"/>
      <c r="Z9" s="43"/>
      <c r="AA9" s="43"/>
      <c r="AB9" s="43"/>
    </row>
    <row r="10" spans="2:28" ht="15" customHeight="1" x14ac:dyDescent="0.3">
      <c r="B10" s="41" t="s">
        <v>77</v>
      </c>
      <c r="C10" s="30">
        <v>0.45639999999999997</v>
      </c>
      <c r="D10" s="30">
        <v>0.3931</v>
      </c>
      <c r="E10" s="30">
        <v>0.3291</v>
      </c>
      <c r="F10" s="30">
        <v>0.42670000000000002</v>
      </c>
      <c r="G10" s="30">
        <v>0.37359999999999999</v>
      </c>
      <c r="H10" s="30">
        <v>0.27850000000000003</v>
      </c>
      <c r="J10" s="43">
        <f t="shared" si="2"/>
        <v>-0.13869412795793157</v>
      </c>
      <c r="K10" s="43">
        <f t="shared" si="3"/>
        <v>-0.16280844568812008</v>
      </c>
      <c r="L10" s="43">
        <f t="shared" si="4"/>
        <v>0.29656639319355826</v>
      </c>
      <c r="M10" s="43">
        <f t="shared" si="5"/>
        <v>-0.1244434028591517</v>
      </c>
      <c r="N10" s="43">
        <f t="shared" si="6"/>
        <v>-0.25455032119914339</v>
      </c>
      <c r="P10" s="45" t="s">
        <v>78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X10" s="43"/>
      <c r="Y10" s="43"/>
      <c r="Z10" s="43"/>
      <c r="AA10" s="43"/>
      <c r="AB10" s="43"/>
    </row>
    <row r="11" spans="2:28" ht="15" customHeight="1" x14ac:dyDescent="0.3">
      <c r="B11" s="41" t="s">
        <v>79</v>
      </c>
      <c r="C11" s="30">
        <v>0.2354</v>
      </c>
      <c r="D11" s="30">
        <v>0.2155</v>
      </c>
      <c r="E11" s="30">
        <v>0.1661</v>
      </c>
      <c r="F11" s="30">
        <v>0.12920000000000001</v>
      </c>
      <c r="G11" s="30">
        <v>0.15529999999999999</v>
      </c>
      <c r="H11" s="30">
        <v>0.1071</v>
      </c>
      <c r="J11" s="43">
        <f t="shared" si="2"/>
        <v>-8.453695836873408E-2</v>
      </c>
      <c r="K11" s="43">
        <f t="shared" si="3"/>
        <v>-0.22923433874709978</v>
      </c>
      <c r="L11" s="43">
        <f t="shared" si="4"/>
        <v>-0.22215532811559294</v>
      </c>
      <c r="M11" s="43">
        <f t="shared" si="5"/>
        <v>0.20201238390092865</v>
      </c>
      <c r="N11" s="43">
        <f t="shared" si="6"/>
        <v>-0.31036703155183515</v>
      </c>
      <c r="P11" s="45" t="s">
        <v>80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X11" s="43"/>
      <c r="Y11" s="43"/>
      <c r="Z11" s="43"/>
      <c r="AA11" s="43"/>
      <c r="AB11" s="43"/>
    </row>
    <row r="12" spans="2:28" ht="15" customHeight="1" x14ac:dyDescent="0.3">
      <c r="B12" s="41" t="s">
        <v>81</v>
      </c>
      <c r="C12" s="30">
        <v>9.2899999999999996E-2</v>
      </c>
      <c r="D12" s="30">
        <v>4.6199999999999998E-2</v>
      </c>
      <c r="E12" s="30">
        <v>5.5599999999999997E-2</v>
      </c>
      <c r="F12" s="30">
        <v>5.8700000000000002E-2</v>
      </c>
      <c r="G12" s="30">
        <v>5.6899999999999999E-2</v>
      </c>
      <c r="H12" s="30">
        <v>4.9599999999999998E-2</v>
      </c>
      <c r="J12" s="43">
        <f t="shared" si="2"/>
        <v>-0.50269106566200217</v>
      </c>
      <c r="K12" s="43">
        <f t="shared" si="3"/>
        <v>0.20346320346320343</v>
      </c>
      <c r="L12" s="43">
        <f t="shared" si="4"/>
        <v>5.5755395683453342E-2</v>
      </c>
      <c r="M12" s="43">
        <f t="shared" si="5"/>
        <v>-3.0664395229983012E-2</v>
      </c>
      <c r="N12" s="43">
        <f t="shared" si="6"/>
        <v>-0.12829525483304044</v>
      </c>
      <c r="P12" s="45" t="s">
        <v>82</v>
      </c>
      <c r="Q12" s="46">
        <v>4549</v>
      </c>
      <c r="R12" s="46">
        <v>3928</v>
      </c>
      <c r="S12" s="46">
        <v>4646</v>
      </c>
      <c r="T12" s="46">
        <v>4396</v>
      </c>
      <c r="U12" s="46">
        <v>4751</v>
      </c>
      <c r="V12" s="46">
        <v>4895</v>
      </c>
      <c r="X12" s="43">
        <f t="shared" ref="X12:AB13" si="7">(R12-Q12)/Q12</f>
        <v>-0.13651351945482523</v>
      </c>
      <c r="Y12" s="43">
        <f t="shared" si="7"/>
        <v>0.18279022403258655</v>
      </c>
      <c r="Z12" s="43">
        <f t="shared" si="7"/>
        <v>-5.3809728798966852E-2</v>
      </c>
      <c r="AA12" s="43">
        <f t="shared" si="7"/>
        <v>8.0755232029117385E-2</v>
      </c>
      <c r="AB12" s="43">
        <f t="shared" si="7"/>
        <v>3.0309408545569353E-2</v>
      </c>
    </row>
    <row r="13" spans="2:28" ht="15" customHeight="1" x14ac:dyDescent="0.3">
      <c r="B13" s="45" t="s">
        <v>83</v>
      </c>
      <c r="C13" s="28">
        <v>487</v>
      </c>
      <c r="D13" s="42">
        <v>1782</v>
      </c>
      <c r="E13" s="42">
        <v>4516</v>
      </c>
      <c r="F13" s="42">
        <v>2340</v>
      </c>
      <c r="G13" s="42">
        <v>2801</v>
      </c>
      <c r="H13" s="42">
        <v>7508</v>
      </c>
      <c r="J13" s="43">
        <f t="shared" si="2"/>
        <v>2.6591375770020536</v>
      </c>
      <c r="K13" s="43">
        <f t="shared" si="3"/>
        <v>1.5342312008978676</v>
      </c>
      <c r="L13" s="43">
        <f t="shared" si="4"/>
        <v>-0.48184233835252438</v>
      </c>
      <c r="M13" s="43">
        <f t="shared" si="5"/>
        <v>0.197008547008547</v>
      </c>
      <c r="N13" s="43">
        <f t="shared" si="6"/>
        <v>1.6804712602641914</v>
      </c>
      <c r="P13" s="45" t="s">
        <v>84</v>
      </c>
      <c r="Q13" s="44">
        <v>773</v>
      </c>
      <c r="R13" s="44">
        <v>940</v>
      </c>
      <c r="S13" s="46">
        <v>1457</v>
      </c>
      <c r="T13" s="46">
        <v>1263</v>
      </c>
      <c r="U13" s="46">
        <v>1496</v>
      </c>
      <c r="V13" s="44">
        <v>738</v>
      </c>
      <c r="X13" s="43">
        <f t="shared" si="7"/>
        <v>0.21604139715394566</v>
      </c>
      <c r="Y13" s="43">
        <f t="shared" si="7"/>
        <v>0.55000000000000004</v>
      </c>
      <c r="Z13" s="43">
        <f t="shared" si="7"/>
        <v>-0.13315030885380919</v>
      </c>
      <c r="AA13" s="43">
        <f t="shared" si="7"/>
        <v>0.18448139350752177</v>
      </c>
      <c r="AB13" s="43">
        <f t="shared" si="7"/>
        <v>-0.50668449197860965</v>
      </c>
    </row>
    <row r="14" spans="2:28" ht="15" customHeight="1" x14ac:dyDescent="0.3">
      <c r="B14" s="45" t="s">
        <v>85</v>
      </c>
      <c r="C14" s="48">
        <v>0.06</v>
      </c>
      <c r="D14" s="48">
        <v>0.2</v>
      </c>
      <c r="E14" s="48">
        <v>0.32</v>
      </c>
      <c r="F14" s="48">
        <v>0.16</v>
      </c>
      <c r="G14" s="48">
        <v>0.21</v>
      </c>
      <c r="H14" s="48">
        <v>0.45</v>
      </c>
      <c r="J14" s="43">
        <f t="shared" si="2"/>
        <v>2.3333333333333335</v>
      </c>
      <c r="K14" s="43">
        <f t="shared" si="3"/>
        <v>0.6</v>
      </c>
      <c r="L14" s="43">
        <f t="shared" si="4"/>
        <v>-0.5</v>
      </c>
      <c r="M14" s="43">
        <f t="shared" si="5"/>
        <v>0.31249999999999994</v>
      </c>
      <c r="N14" s="43">
        <f t="shared" si="6"/>
        <v>1.142857142857143</v>
      </c>
      <c r="P14" s="45" t="s">
        <v>86</v>
      </c>
      <c r="Q14" s="44">
        <v>0</v>
      </c>
      <c r="R14" s="44">
        <v>0</v>
      </c>
      <c r="S14" s="44">
        <v>0</v>
      </c>
      <c r="T14" s="44">
        <v>0</v>
      </c>
      <c r="U14" s="44">
        <v>0</v>
      </c>
      <c r="V14" s="44">
        <v>0</v>
      </c>
      <c r="X14" s="43"/>
      <c r="Y14" s="43"/>
      <c r="Z14" s="43"/>
      <c r="AA14" s="43"/>
      <c r="AB14" s="43"/>
    </row>
    <row r="15" spans="2:28" ht="15" customHeight="1" x14ac:dyDescent="0.3">
      <c r="B15" s="41" t="s">
        <v>87</v>
      </c>
      <c r="C15" s="28">
        <v>273</v>
      </c>
      <c r="D15" s="28">
        <v>147</v>
      </c>
      <c r="E15" s="28">
        <v>298</v>
      </c>
      <c r="F15" s="28">
        <v>234</v>
      </c>
      <c r="G15" s="28">
        <v>678</v>
      </c>
      <c r="H15" s="28">
        <v>357</v>
      </c>
      <c r="J15" s="43">
        <f t="shared" si="2"/>
        <v>-0.46153846153846156</v>
      </c>
      <c r="K15" s="43">
        <f t="shared" si="3"/>
        <v>1.0272108843537415</v>
      </c>
      <c r="L15" s="43">
        <f t="shared" si="4"/>
        <v>-0.21476510067114093</v>
      </c>
      <c r="M15" s="43">
        <f t="shared" si="5"/>
        <v>1.8974358974358974</v>
      </c>
      <c r="N15" s="43">
        <f t="shared" si="6"/>
        <v>-0.47345132743362833</v>
      </c>
      <c r="P15" s="41" t="s">
        <v>88</v>
      </c>
      <c r="Q15" s="46">
        <v>3776</v>
      </c>
      <c r="R15" s="46">
        <v>2988</v>
      </c>
      <c r="S15" s="46">
        <v>3188</v>
      </c>
      <c r="T15" s="46">
        <v>3132</v>
      </c>
      <c r="U15" s="46">
        <v>3254</v>
      </c>
      <c r="V15" s="46">
        <v>4157</v>
      </c>
      <c r="X15" s="43">
        <f t="shared" ref="X15:X23" si="8">(R15-Q15)/Q15</f>
        <v>-0.2086864406779661</v>
      </c>
      <c r="Y15" s="43">
        <f t="shared" ref="Y15:Y23" si="9">(S15-R15)/R15</f>
        <v>6.6934404283801874E-2</v>
      </c>
      <c r="Z15" s="43">
        <f t="shared" ref="Z15:Z23" si="10">(T15-S15)/S15</f>
        <v>-1.7565872020075281E-2</v>
      </c>
      <c r="AA15" s="43">
        <f t="shared" ref="AA15:AA23" si="11">(U15-T15)/T15</f>
        <v>3.8952745849297574E-2</v>
      </c>
      <c r="AB15" s="43">
        <f t="shared" ref="AB15:AB23" si="12">(V15-U15)/U15</f>
        <v>0.27750460971112478</v>
      </c>
    </row>
    <row r="16" spans="2:28" ht="15" customHeight="1" x14ac:dyDescent="0.3">
      <c r="B16" s="41" t="s">
        <v>89</v>
      </c>
      <c r="C16" s="28">
        <v>1</v>
      </c>
      <c r="D16" s="28">
        <v>1</v>
      </c>
      <c r="E16" s="28">
        <v>0</v>
      </c>
      <c r="F16" s="28">
        <v>3</v>
      </c>
      <c r="G16" s="28">
        <v>427</v>
      </c>
      <c r="H16" s="28">
        <v>1</v>
      </c>
      <c r="J16" s="43">
        <f t="shared" ref="J16:K22" si="13">(D16-C16)/C16</f>
        <v>0</v>
      </c>
      <c r="K16" s="43">
        <f t="shared" si="13"/>
        <v>-1</v>
      </c>
      <c r="L16" s="43"/>
      <c r="M16" s="43">
        <f t="shared" ref="M16:M22" si="14">(G16-F16)/F16</f>
        <v>141.33333333333334</v>
      </c>
      <c r="N16" s="43"/>
      <c r="P16" s="45" t="s">
        <v>90</v>
      </c>
      <c r="Q16" s="46">
        <v>14548</v>
      </c>
      <c r="R16" s="46">
        <v>14709</v>
      </c>
      <c r="S16" s="46">
        <v>17276</v>
      </c>
      <c r="T16" s="46">
        <v>17627</v>
      </c>
      <c r="U16" s="46">
        <v>19235</v>
      </c>
      <c r="V16" s="46">
        <v>22882</v>
      </c>
      <c r="X16" s="43">
        <f t="shared" si="8"/>
        <v>1.1066813307671158E-2</v>
      </c>
      <c r="Y16" s="43">
        <f t="shared" si="9"/>
        <v>0.17451900197158202</v>
      </c>
      <c r="Z16" s="43">
        <f t="shared" si="10"/>
        <v>2.0317203056263024E-2</v>
      </c>
      <c r="AA16" s="43">
        <f t="shared" si="11"/>
        <v>9.1223690928688941E-2</v>
      </c>
      <c r="AB16" s="43">
        <f t="shared" si="12"/>
        <v>0.1896022874967507</v>
      </c>
    </row>
    <row r="17" spans="2:28" ht="15" customHeight="1" x14ac:dyDescent="0.3">
      <c r="B17" s="41" t="s">
        <v>91</v>
      </c>
      <c r="C17" s="28">
        <v>271</v>
      </c>
      <c r="D17" s="28">
        <v>147</v>
      </c>
      <c r="E17" s="28">
        <v>297</v>
      </c>
      <c r="F17" s="28">
        <v>231</v>
      </c>
      <c r="G17" s="28">
        <v>250</v>
      </c>
      <c r="H17" s="28">
        <v>356</v>
      </c>
      <c r="J17" s="43">
        <f t="shared" si="13"/>
        <v>-0.45756457564575648</v>
      </c>
      <c r="K17" s="43">
        <f t="shared" si="13"/>
        <v>1.0204081632653061</v>
      </c>
      <c r="L17" s="43">
        <f t="shared" ref="L17:L22" si="15">(F17-E17)/E17</f>
        <v>-0.22222222222222221</v>
      </c>
      <c r="M17" s="43">
        <f t="shared" si="14"/>
        <v>8.2251082251082255E-2</v>
      </c>
      <c r="N17" s="43">
        <f t="shared" ref="N17:N22" si="16">(H17-G17)/G17</f>
        <v>0.42399999999999999</v>
      </c>
      <c r="P17" s="45" t="s">
        <v>92</v>
      </c>
      <c r="Q17" s="46">
        <v>7485</v>
      </c>
      <c r="R17" s="46">
        <v>7660</v>
      </c>
      <c r="S17" s="46">
        <v>7343</v>
      </c>
      <c r="T17" s="46">
        <v>7303</v>
      </c>
      <c r="U17" s="46">
        <v>7383</v>
      </c>
      <c r="V17" s="46">
        <v>7748</v>
      </c>
      <c r="X17" s="43">
        <f t="shared" si="8"/>
        <v>2.3380093520374082E-2</v>
      </c>
      <c r="Y17" s="43">
        <f t="shared" si="9"/>
        <v>-4.1383812010443867E-2</v>
      </c>
      <c r="Z17" s="43">
        <f t="shared" si="10"/>
        <v>-5.4473648372599754E-3</v>
      </c>
      <c r="AA17" s="43">
        <f t="shared" si="11"/>
        <v>1.0954402300424482E-2</v>
      </c>
      <c r="AB17" s="43">
        <f t="shared" si="12"/>
        <v>4.9437897873493161E-2</v>
      </c>
    </row>
    <row r="18" spans="2:28" ht="15" customHeight="1" x14ac:dyDescent="0.3">
      <c r="B18" s="41" t="s">
        <v>93</v>
      </c>
      <c r="C18" s="31">
        <v>6</v>
      </c>
      <c r="D18" s="31">
        <v>7</v>
      </c>
      <c r="E18" s="31">
        <v>23</v>
      </c>
      <c r="F18" s="31">
        <v>13</v>
      </c>
      <c r="G18" s="31">
        <v>17</v>
      </c>
      <c r="H18" s="31">
        <v>59</v>
      </c>
      <c r="J18" s="43">
        <f t="shared" si="13"/>
        <v>0.16666666666666666</v>
      </c>
      <c r="K18" s="43">
        <f t="shared" si="13"/>
        <v>2.2857142857142856</v>
      </c>
      <c r="L18" s="43">
        <f t="shared" si="15"/>
        <v>-0.43478260869565216</v>
      </c>
      <c r="M18" s="43">
        <f t="shared" si="14"/>
        <v>0.30769230769230771</v>
      </c>
      <c r="N18" s="43">
        <f t="shared" si="16"/>
        <v>2.4705882352941178</v>
      </c>
      <c r="P18" s="45" t="s">
        <v>94</v>
      </c>
      <c r="Q18" s="44">
        <v>168</v>
      </c>
      <c r="R18" s="44">
        <v>267</v>
      </c>
      <c r="S18" s="44">
        <v>283</v>
      </c>
      <c r="T18" s="44">
        <v>425</v>
      </c>
      <c r="U18" s="44">
        <v>797</v>
      </c>
      <c r="V18" s="44">
        <v>841</v>
      </c>
      <c r="X18" s="43">
        <f t="shared" si="8"/>
        <v>0.5892857142857143</v>
      </c>
      <c r="Y18" s="43">
        <f t="shared" si="9"/>
        <v>5.9925093632958802E-2</v>
      </c>
      <c r="Z18" s="43">
        <f t="shared" si="10"/>
        <v>0.50176678445229683</v>
      </c>
      <c r="AA18" s="43">
        <f t="shared" si="11"/>
        <v>0.87529411764705878</v>
      </c>
      <c r="AB18" s="43">
        <f t="shared" si="12"/>
        <v>5.520702634880803E-2</v>
      </c>
    </row>
    <row r="19" spans="2:28" ht="15" customHeight="1" x14ac:dyDescent="0.3">
      <c r="B19" s="41" t="s">
        <v>95</v>
      </c>
      <c r="C19" s="28">
        <v>530</v>
      </c>
      <c r="D19" s="28">
        <v>606</v>
      </c>
      <c r="E19" s="28">
        <v>837</v>
      </c>
      <c r="F19" s="28">
        <v>716</v>
      </c>
      <c r="G19" s="28">
        <v>750</v>
      </c>
      <c r="H19" s="28">
        <v>728</v>
      </c>
      <c r="J19" s="43">
        <f t="shared" si="13"/>
        <v>0.14339622641509434</v>
      </c>
      <c r="K19" s="43">
        <f t="shared" si="13"/>
        <v>0.38118811881188119</v>
      </c>
      <c r="L19" s="43">
        <f t="shared" si="15"/>
        <v>-0.14456391875746716</v>
      </c>
      <c r="M19" s="43">
        <f t="shared" si="14"/>
        <v>4.7486033519553071E-2</v>
      </c>
      <c r="N19" s="43">
        <f t="shared" si="16"/>
        <v>-2.9333333333333333E-2</v>
      </c>
      <c r="P19" s="41" t="s">
        <v>96</v>
      </c>
      <c r="Q19" s="44">
        <v>756</v>
      </c>
      <c r="R19" s="44">
        <v>813</v>
      </c>
      <c r="S19" s="44">
        <v>842</v>
      </c>
      <c r="T19" s="44">
        <v>863</v>
      </c>
      <c r="U19" s="44">
        <v>917</v>
      </c>
      <c r="V19" s="44">
        <v>931</v>
      </c>
      <c r="X19" s="43">
        <f t="shared" si="8"/>
        <v>7.5396825396825393E-2</v>
      </c>
      <c r="Y19" s="43">
        <f t="shared" si="9"/>
        <v>3.5670356703567038E-2</v>
      </c>
      <c r="Z19" s="43">
        <f t="shared" si="10"/>
        <v>2.4940617577197149E-2</v>
      </c>
      <c r="AA19" s="43">
        <f t="shared" si="11"/>
        <v>6.2572421784472768E-2</v>
      </c>
      <c r="AB19" s="43">
        <f t="shared" si="12"/>
        <v>1.5267175572519083E-2</v>
      </c>
    </row>
    <row r="20" spans="2:28" ht="15" customHeight="1" x14ac:dyDescent="0.3">
      <c r="B20" s="45" t="s">
        <v>97</v>
      </c>
      <c r="C20" s="31">
        <v>224</v>
      </c>
      <c r="D20" s="47">
        <v>1316</v>
      </c>
      <c r="E20" s="47">
        <v>3954</v>
      </c>
      <c r="F20" s="47">
        <v>1845</v>
      </c>
      <c r="G20" s="47">
        <v>2712</v>
      </c>
      <c r="H20" s="47">
        <v>7078</v>
      </c>
      <c r="J20" s="43">
        <f t="shared" si="13"/>
        <v>4.875</v>
      </c>
      <c r="K20" s="43">
        <f t="shared" si="13"/>
        <v>2.0045592705167175</v>
      </c>
      <c r="L20" s="43">
        <f t="shared" si="15"/>
        <v>-0.53338391502276172</v>
      </c>
      <c r="M20" s="43">
        <f t="shared" si="14"/>
        <v>0.46991869918699186</v>
      </c>
      <c r="N20" s="43">
        <f t="shared" si="16"/>
        <v>1.609882005899705</v>
      </c>
      <c r="P20" s="41" t="s">
        <v>98</v>
      </c>
      <c r="Q20" s="46">
        <v>8331</v>
      </c>
      <c r="R20" s="46">
        <v>8808</v>
      </c>
      <c r="S20" s="46">
        <v>9210</v>
      </c>
      <c r="T20" s="46">
        <v>9570</v>
      </c>
      <c r="U20" s="46">
        <v>9924</v>
      </c>
      <c r="V20" s="46">
        <v>10261</v>
      </c>
      <c r="X20" s="43">
        <f t="shared" si="8"/>
        <v>5.7256031688872881E-2</v>
      </c>
      <c r="Y20" s="43">
        <f t="shared" si="9"/>
        <v>4.564032697547684E-2</v>
      </c>
      <c r="Z20" s="43">
        <f t="shared" si="10"/>
        <v>3.9087947882736153E-2</v>
      </c>
      <c r="AA20" s="43">
        <f t="shared" si="11"/>
        <v>3.6990595611285267E-2</v>
      </c>
      <c r="AB20" s="43">
        <f t="shared" si="12"/>
        <v>3.3958081418782746E-2</v>
      </c>
    </row>
    <row r="21" spans="2:28" ht="15" customHeight="1" x14ac:dyDescent="0.3">
      <c r="B21" s="45" t="s">
        <v>99</v>
      </c>
      <c r="C21" s="49">
        <v>0.39</v>
      </c>
      <c r="D21" s="49">
        <v>0.01</v>
      </c>
      <c r="E21" s="49">
        <v>0.25</v>
      </c>
      <c r="F21" s="49">
        <v>0.22</v>
      </c>
      <c r="G21" s="49">
        <v>0.27</v>
      </c>
      <c r="H21" s="49">
        <v>0.26</v>
      </c>
      <c r="J21" s="43">
        <f t="shared" si="13"/>
        <v>-0.97435897435897434</v>
      </c>
      <c r="K21" s="43">
        <f t="shared" si="13"/>
        <v>24</v>
      </c>
      <c r="L21" s="43">
        <f t="shared" si="15"/>
        <v>-0.12</v>
      </c>
      <c r="M21" s="43">
        <f t="shared" si="14"/>
        <v>0.22727272727272735</v>
      </c>
      <c r="N21" s="43">
        <f t="shared" si="16"/>
        <v>-3.703703703703707E-2</v>
      </c>
      <c r="P21" s="45" t="s">
        <v>100</v>
      </c>
      <c r="Q21" s="44">
        <v>52</v>
      </c>
      <c r="R21" s="44">
        <v>52</v>
      </c>
      <c r="S21" s="44">
        <v>68</v>
      </c>
      <c r="T21" s="44">
        <v>86</v>
      </c>
      <c r="U21" s="44">
        <v>99</v>
      </c>
      <c r="V21" s="44">
        <v>106</v>
      </c>
      <c r="X21" s="43">
        <f t="shared" si="8"/>
        <v>0</v>
      </c>
      <c r="Y21" s="43">
        <f t="shared" si="9"/>
        <v>0.30769230769230771</v>
      </c>
      <c r="Z21" s="43">
        <f t="shared" si="10"/>
        <v>0.26470588235294118</v>
      </c>
      <c r="AA21" s="43">
        <f t="shared" si="11"/>
        <v>0.15116279069767441</v>
      </c>
      <c r="AB21" s="43">
        <f t="shared" si="12"/>
        <v>7.0707070707070704E-2</v>
      </c>
    </row>
    <row r="22" spans="2:28" ht="15" customHeight="1" x14ac:dyDescent="0.3">
      <c r="B22" s="45" t="s">
        <v>101</v>
      </c>
      <c r="C22" s="31">
        <v>136</v>
      </c>
      <c r="D22" s="47">
        <v>1299</v>
      </c>
      <c r="E22" s="47">
        <v>2951</v>
      </c>
      <c r="F22" s="47">
        <v>1435</v>
      </c>
      <c r="G22" s="47">
        <v>1988</v>
      </c>
      <c r="H22" s="47">
        <v>5268</v>
      </c>
      <c r="J22" s="43">
        <f t="shared" si="13"/>
        <v>8.5514705882352935</v>
      </c>
      <c r="K22" s="43">
        <f t="shared" si="13"/>
        <v>1.2717474980754426</v>
      </c>
      <c r="L22" s="43">
        <f t="shared" si="15"/>
        <v>-0.51372416130125387</v>
      </c>
      <c r="M22" s="43">
        <f t="shared" si="14"/>
        <v>0.38536585365853659</v>
      </c>
      <c r="N22" s="43">
        <f t="shared" si="16"/>
        <v>1.6498993963782695</v>
      </c>
      <c r="P22" s="45" t="s">
        <v>102</v>
      </c>
      <c r="Q22" s="44">
        <v>64</v>
      </c>
      <c r="R22" s="44">
        <v>69</v>
      </c>
      <c r="S22" s="44">
        <v>69</v>
      </c>
      <c r="T22" s="44">
        <v>85</v>
      </c>
      <c r="U22" s="44">
        <v>85</v>
      </c>
      <c r="V22" s="44">
        <v>89</v>
      </c>
      <c r="X22" s="43">
        <f t="shared" si="8"/>
        <v>7.8125E-2</v>
      </c>
      <c r="Y22" s="43">
        <f t="shared" si="9"/>
        <v>0</v>
      </c>
      <c r="Z22" s="43">
        <f t="shared" si="10"/>
        <v>0.2318840579710145</v>
      </c>
      <c r="AA22" s="43">
        <f t="shared" si="11"/>
        <v>0</v>
      </c>
      <c r="AB22" s="43">
        <f t="shared" si="12"/>
        <v>4.7058823529411764E-2</v>
      </c>
    </row>
    <row r="23" spans="2:28" ht="15" customHeight="1" x14ac:dyDescent="0.3">
      <c r="B23" s="45" t="s">
        <v>103</v>
      </c>
      <c r="C23" s="31">
        <v>0</v>
      </c>
      <c r="D23" s="31">
        <v>1</v>
      </c>
      <c r="E23" s="31">
        <v>0</v>
      </c>
      <c r="F23" s="31">
        <v>2</v>
      </c>
      <c r="G23" s="31">
        <v>307</v>
      </c>
      <c r="H23" s="31">
        <v>0</v>
      </c>
      <c r="J23" s="43"/>
      <c r="K23" s="43"/>
      <c r="L23" s="43"/>
      <c r="M23" s="43"/>
      <c r="N23" s="43"/>
      <c r="P23" s="45" t="s">
        <v>104</v>
      </c>
      <c r="Q23" s="44">
        <v>22</v>
      </c>
      <c r="R23" s="44">
        <v>24</v>
      </c>
      <c r="S23" s="44">
        <v>26</v>
      </c>
      <c r="T23" s="44">
        <v>28</v>
      </c>
      <c r="U23" s="44">
        <v>29</v>
      </c>
      <c r="V23" s="44">
        <v>30</v>
      </c>
      <c r="X23" s="43">
        <f t="shared" si="8"/>
        <v>9.0909090909090912E-2</v>
      </c>
      <c r="Y23" s="43">
        <f t="shared" si="9"/>
        <v>8.3333333333333329E-2</v>
      </c>
      <c r="Z23" s="43">
        <f t="shared" si="10"/>
        <v>7.6923076923076927E-2</v>
      </c>
      <c r="AA23" s="43">
        <f t="shared" si="11"/>
        <v>3.5714285714285712E-2</v>
      </c>
      <c r="AB23" s="43">
        <f t="shared" si="12"/>
        <v>3.4482758620689655E-2</v>
      </c>
    </row>
    <row r="24" spans="2:28" ht="15" customHeight="1" x14ac:dyDescent="0.3">
      <c r="B24" s="45" t="s">
        <v>103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J24" s="43"/>
      <c r="K24" s="43"/>
      <c r="L24" s="43"/>
      <c r="M24" s="43"/>
      <c r="N24" s="43"/>
      <c r="P24" s="45" t="s">
        <v>105</v>
      </c>
      <c r="Q24" s="44">
        <v>32</v>
      </c>
      <c r="R24" s="44">
        <v>35</v>
      </c>
      <c r="S24" s="44">
        <v>39</v>
      </c>
      <c r="T24" s="44">
        <v>46</v>
      </c>
      <c r="U24" s="44">
        <v>49</v>
      </c>
      <c r="V24" s="44">
        <v>51</v>
      </c>
      <c r="X24" s="43"/>
      <c r="Y24" s="43"/>
      <c r="Z24" s="43"/>
      <c r="AA24" s="43"/>
      <c r="AB24" s="43"/>
    </row>
    <row r="25" spans="2:28" ht="15" customHeight="1" x14ac:dyDescent="0.3">
      <c r="B25" s="45" t="s">
        <v>106</v>
      </c>
      <c r="C25" s="31">
        <v>136</v>
      </c>
      <c r="D25" s="47">
        <v>1299</v>
      </c>
      <c r="E25" s="47">
        <v>2951</v>
      </c>
      <c r="F25" s="47">
        <v>1433</v>
      </c>
      <c r="G25" s="47">
        <v>1681</v>
      </c>
      <c r="H25" s="47">
        <v>5267</v>
      </c>
      <c r="J25" s="43">
        <f t="shared" ref="J25:N30" si="17">(D25-C25)/C25</f>
        <v>8.5514705882352935</v>
      </c>
      <c r="K25" s="43">
        <f t="shared" si="17"/>
        <v>1.2717474980754426</v>
      </c>
      <c r="L25" s="43">
        <f t="shared" si="17"/>
        <v>-0.51440189766180955</v>
      </c>
      <c r="M25" s="43">
        <f t="shared" si="17"/>
        <v>0.17306350314026517</v>
      </c>
      <c r="N25" s="43">
        <f t="shared" si="17"/>
        <v>2.1332540154669841</v>
      </c>
      <c r="P25" s="45" t="s">
        <v>107</v>
      </c>
      <c r="Q25" s="44">
        <v>90</v>
      </c>
      <c r="R25" s="44">
        <v>91</v>
      </c>
      <c r="S25" s="44">
        <v>92</v>
      </c>
      <c r="T25" s="44">
        <v>92</v>
      </c>
      <c r="U25" s="44">
        <v>92</v>
      </c>
      <c r="V25" s="44">
        <v>92</v>
      </c>
      <c r="X25" s="43">
        <f t="shared" ref="X25:X33" si="18">(R25-Q25)/Q25</f>
        <v>1.1111111111111112E-2</v>
      </c>
      <c r="Y25" s="43">
        <f t="shared" ref="Y25:Y33" si="19">(S25-R25)/R25</f>
        <v>1.098901098901099E-2</v>
      </c>
      <c r="Z25" s="43">
        <f t="shared" ref="Z25:Z33" si="20">(T25-S25)/S25</f>
        <v>0</v>
      </c>
      <c r="AA25" s="43">
        <f t="shared" ref="AA25:AA33" si="21">(U25-T25)/T25</f>
        <v>0</v>
      </c>
      <c r="AB25" s="43">
        <f t="shared" ref="AB25:AB33" si="22">(V25-U25)/U25</f>
        <v>0</v>
      </c>
    </row>
    <row r="26" spans="2:28" ht="15" customHeight="1" x14ac:dyDescent="0.3">
      <c r="B26" s="45" t="s">
        <v>108</v>
      </c>
      <c r="C26" s="31">
        <v>136</v>
      </c>
      <c r="D26" s="47">
        <v>1299</v>
      </c>
      <c r="E26" s="47">
        <v>2951</v>
      </c>
      <c r="F26" s="47">
        <v>1433</v>
      </c>
      <c r="G26" s="47">
        <v>1681</v>
      </c>
      <c r="H26" s="47">
        <v>5267</v>
      </c>
      <c r="J26" s="43">
        <f t="shared" si="17"/>
        <v>8.5514705882352935</v>
      </c>
      <c r="K26" s="43">
        <f t="shared" si="17"/>
        <v>1.2717474980754426</v>
      </c>
      <c r="L26" s="43">
        <f t="shared" si="17"/>
        <v>-0.51440189766180955</v>
      </c>
      <c r="M26" s="43">
        <f t="shared" si="17"/>
        <v>0.17306350314026517</v>
      </c>
      <c r="N26" s="43">
        <f t="shared" si="17"/>
        <v>2.1332540154669841</v>
      </c>
      <c r="P26" s="45" t="s">
        <v>109</v>
      </c>
      <c r="Q26" s="44">
        <v>300</v>
      </c>
      <c r="R26" s="44">
        <v>391</v>
      </c>
      <c r="S26" s="44">
        <v>420</v>
      </c>
      <c r="T26" s="44">
        <v>496</v>
      </c>
      <c r="U26" s="44">
        <v>505</v>
      </c>
      <c r="V26" s="46">
        <v>1141</v>
      </c>
      <c r="X26" s="43">
        <f t="shared" si="18"/>
        <v>0.30333333333333334</v>
      </c>
      <c r="Y26" s="43">
        <f t="shared" si="19"/>
        <v>7.4168797953964194E-2</v>
      </c>
      <c r="Z26" s="43">
        <f t="shared" si="20"/>
        <v>0.18095238095238095</v>
      </c>
      <c r="AA26" s="43">
        <f t="shared" si="21"/>
        <v>1.8145161290322582E-2</v>
      </c>
      <c r="AB26" s="43">
        <f t="shared" si="22"/>
        <v>1.2594059405940594</v>
      </c>
    </row>
    <row r="27" spans="2:28" ht="15" customHeight="1" x14ac:dyDescent="0.3">
      <c r="B27" s="45" t="s">
        <v>110</v>
      </c>
      <c r="C27" s="31">
        <v>136</v>
      </c>
      <c r="D27" s="47">
        <v>1299</v>
      </c>
      <c r="E27" s="47">
        <v>2951</v>
      </c>
      <c r="F27" s="47">
        <v>1435</v>
      </c>
      <c r="G27" s="47">
        <v>1988</v>
      </c>
      <c r="H27" s="47">
        <v>5268</v>
      </c>
      <c r="J27" s="43">
        <f t="shared" si="17"/>
        <v>8.5514705882352935</v>
      </c>
      <c r="K27" s="43">
        <f t="shared" si="17"/>
        <v>1.2717474980754426</v>
      </c>
      <c r="L27" s="43">
        <f t="shared" si="17"/>
        <v>-0.51372416130125387</v>
      </c>
      <c r="M27" s="43">
        <f t="shared" si="17"/>
        <v>0.38536585365853659</v>
      </c>
      <c r="N27" s="43">
        <f t="shared" si="17"/>
        <v>1.6498993963782695</v>
      </c>
      <c r="P27" s="45" t="s">
        <v>111</v>
      </c>
      <c r="Q27" s="46">
        <v>9816</v>
      </c>
      <c r="R27" s="46">
        <v>10551</v>
      </c>
      <c r="S27" s="46">
        <v>11049</v>
      </c>
      <c r="T27" s="46">
        <v>11692</v>
      </c>
      <c r="U27" s="46">
        <v>12496</v>
      </c>
      <c r="V27" s="46">
        <v>13541</v>
      </c>
      <c r="X27" s="43">
        <f t="shared" si="18"/>
        <v>7.4877750611246949E-2</v>
      </c>
      <c r="Y27" s="43">
        <f t="shared" si="19"/>
        <v>4.7199317600227469E-2</v>
      </c>
      <c r="Z27" s="43">
        <f t="shared" si="20"/>
        <v>5.8195311792922436E-2</v>
      </c>
      <c r="AA27" s="43">
        <f t="shared" si="21"/>
        <v>6.8764967499144708E-2</v>
      </c>
      <c r="AB27" s="43">
        <f t="shared" si="22"/>
        <v>8.3626760563380281E-2</v>
      </c>
    </row>
    <row r="28" spans="2:28" ht="15" customHeight="1" x14ac:dyDescent="0.3">
      <c r="B28" s="41" t="s">
        <v>112</v>
      </c>
      <c r="C28" s="48">
        <v>-0.92</v>
      </c>
      <c r="D28" s="48">
        <v>8.56</v>
      </c>
      <c r="E28" s="48">
        <v>1.27</v>
      </c>
      <c r="F28" s="48">
        <v>-0.51</v>
      </c>
      <c r="G28" s="48">
        <v>0.17</v>
      </c>
      <c r="H28" s="48">
        <v>2.13</v>
      </c>
      <c r="J28" s="43">
        <f t="shared" si="17"/>
        <v>-10.304347826086957</v>
      </c>
      <c r="K28" s="43">
        <f t="shared" si="17"/>
        <v>-0.85163551401869164</v>
      </c>
      <c r="L28" s="43">
        <f t="shared" si="17"/>
        <v>-1.4015748031496063</v>
      </c>
      <c r="M28" s="43">
        <f t="shared" si="17"/>
        <v>-1.3333333333333335</v>
      </c>
      <c r="N28" s="43">
        <f t="shared" si="17"/>
        <v>11.52941176470588</v>
      </c>
      <c r="P28" s="45" t="s">
        <v>113</v>
      </c>
      <c r="Q28" s="46">
        <v>2331</v>
      </c>
      <c r="R28" s="46">
        <v>2890</v>
      </c>
      <c r="S28" s="46">
        <v>3705</v>
      </c>
      <c r="T28" s="46">
        <v>4389</v>
      </c>
      <c r="U28" s="46">
        <v>5114</v>
      </c>
      <c r="V28" s="46">
        <v>5793</v>
      </c>
      <c r="X28" s="43">
        <f t="shared" si="18"/>
        <v>0.23981123981123981</v>
      </c>
      <c r="Y28" s="43">
        <f t="shared" si="19"/>
        <v>0.2820069204152249</v>
      </c>
      <c r="Z28" s="43">
        <f t="shared" si="20"/>
        <v>0.18461538461538463</v>
      </c>
      <c r="AA28" s="43">
        <f t="shared" si="21"/>
        <v>0.16518569150148096</v>
      </c>
      <c r="AB28" s="43">
        <f t="shared" si="22"/>
        <v>0.13277278060226827</v>
      </c>
    </row>
    <row r="29" spans="2:28" ht="15" customHeight="1" x14ac:dyDescent="0.3">
      <c r="B29" s="41" t="s">
        <v>114</v>
      </c>
      <c r="C29" s="28">
        <v>0.73</v>
      </c>
      <c r="D29" s="28">
        <v>7.07</v>
      </c>
      <c r="E29" s="28">
        <v>16.07</v>
      </c>
      <c r="F29" s="28">
        <v>7.81</v>
      </c>
      <c r="G29" s="28">
        <v>10.83</v>
      </c>
      <c r="H29" s="28">
        <v>28.68</v>
      </c>
      <c r="J29" s="43">
        <f t="shared" si="17"/>
        <v>8.6849315068493151</v>
      </c>
      <c r="K29" s="43">
        <f t="shared" si="17"/>
        <v>1.272984441301273</v>
      </c>
      <c r="L29" s="43">
        <f t="shared" si="17"/>
        <v>-0.51400124455507168</v>
      </c>
      <c r="M29" s="43">
        <f t="shared" si="17"/>
        <v>0.38668373879641493</v>
      </c>
      <c r="N29" s="43">
        <f t="shared" si="17"/>
        <v>1.6481994459833795</v>
      </c>
      <c r="P29" s="45" t="s">
        <v>115</v>
      </c>
      <c r="Q29" s="46">
        <v>1427</v>
      </c>
      <c r="R29" s="46">
        <v>1575</v>
      </c>
      <c r="S29" s="46">
        <v>2235</v>
      </c>
      <c r="T29" s="46">
        <v>3269</v>
      </c>
      <c r="U29" s="46">
        <v>4573</v>
      </c>
      <c r="V29" s="46">
        <v>4936</v>
      </c>
      <c r="X29" s="43">
        <f t="shared" si="18"/>
        <v>0.10371408549404344</v>
      </c>
      <c r="Y29" s="43">
        <f t="shared" si="19"/>
        <v>0.41904761904761906</v>
      </c>
      <c r="Z29" s="43">
        <f t="shared" si="20"/>
        <v>0.4626398210290828</v>
      </c>
      <c r="AA29" s="43">
        <f t="shared" si="21"/>
        <v>0.39889874579382073</v>
      </c>
      <c r="AB29" s="43">
        <f t="shared" si="22"/>
        <v>7.93789634813033E-2</v>
      </c>
    </row>
    <row r="30" spans="2:28" ht="15" customHeight="1" x14ac:dyDescent="0.3">
      <c r="B30" s="41" t="s">
        <v>116</v>
      </c>
      <c r="C30" s="48">
        <v>2.0499999999999998</v>
      </c>
      <c r="D30" s="48">
        <v>0.49</v>
      </c>
      <c r="E30" s="48">
        <v>0.4</v>
      </c>
      <c r="F30" s="48">
        <v>0.57999999999999996</v>
      </c>
      <c r="G30" s="48">
        <v>0.46</v>
      </c>
      <c r="H30" s="48">
        <v>0.37</v>
      </c>
      <c r="J30" s="43">
        <f t="shared" si="17"/>
        <v>-0.76097560975609757</v>
      </c>
      <c r="K30" s="43">
        <f t="shared" si="17"/>
        <v>-0.18367346938775503</v>
      </c>
      <c r="L30" s="43">
        <f t="shared" si="17"/>
        <v>0.44999999999999984</v>
      </c>
      <c r="M30" s="43">
        <f t="shared" si="17"/>
        <v>-0.20689655172413784</v>
      </c>
      <c r="N30" s="43">
        <f t="shared" si="17"/>
        <v>-0.19565217391304351</v>
      </c>
      <c r="P30" s="45" t="s">
        <v>117</v>
      </c>
      <c r="Q30" s="44">
        <v>331</v>
      </c>
      <c r="R30" s="44">
        <v>560</v>
      </c>
      <c r="S30" s="44">
        <v>375</v>
      </c>
      <c r="T30" s="44">
        <v>359</v>
      </c>
      <c r="U30" s="44">
        <v>342</v>
      </c>
      <c r="V30" s="44">
        <v>774</v>
      </c>
      <c r="X30" s="43">
        <f t="shared" si="18"/>
        <v>0.69184290030211482</v>
      </c>
      <c r="Y30" s="43">
        <f t="shared" si="19"/>
        <v>-0.33035714285714285</v>
      </c>
      <c r="Z30" s="43">
        <f t="shared" si="20"/>
        <v>-4.2666666666666665E-2</v>
      </c>
      <c r="AA30" s="43">
        <f t="shared" si="21"/>
        <v>-4.7353760445682451E-2</v>
      </c>
      <c r="AB30" s="43">
        <f t="shared" si="22"/>
        <v>1.263157894736842</v>
      </c>
    </row>
    <row r="31" spans="2:28" ht="15" customHeight="1" x14ac:dyDescent="0.3">
      <c r="P31" s="41" t="s">
        <v>118</v>
      </c>
      <c r="Q31" s="46">
        <v>5306</v>
      </c>
      <c r="R31" s="46">
        <v>4913</v>
      </c>
      <c r="S31" s="46">
        <v>7322</v>
      </c>
      <c r="T31" s="46">
        <v>6696</v>
      </c>
      <c r="U31" s="46">
        <v>6938</v>
      </c>
      <c r="V31" s="46">
        <v>9424</v>
      </c>
      <c r="X31" s="43">
        <f t="shared" si="18"/>
        <v>-7.4067093856012067E-2</v>
      </c>
      <c r="Y31" s="43">
        <f t="shared" si="19"/>
        <v>0.49033177284754731</v>
      </c>
      <c r="Z31" s="43">
        <f t="shared" si="20"/>
        <v>-8.5495766184102706E-2</v>
      </c>
      <c r="AA31" s="43">
        <f t="shared" si="21"/>
        <v>3.614097968936679E-2</v>
      </c>
      <c r="AB31" s="43">
        <f t="shared" si="22"/>
        <v>0.35831651772845202</v>
      </c>
    </row>
    <row r="32" spans="2:28" ht="15" customHeight="1" x14ac:dyDescent="0.3">
      <c r="P32" s="41" t="s">
        <v>119</v>
      </c>
      <c r="Q32" s="46">
        <v>1697</v>
      </c>
      <c r="R32" s="46">
        <v>1476</v>
      </c>
      <c r="S32" s="46">
        <v>1646</v>
      </c>
      <c r="T32" s="46">
        <v>1840</v>
      </c>
      <c r="U32" s="46">
        <v>1830</v>
      </c>
      <c r="V32" s="46">
        <v>1909</v>
      </c>
      <c r="X32" s="43">
        <f t="shared" si="18"/>
        <v>-0.13022981732469063</v>
      </c>
      <c r="Y32" s="43">
        <f t="shared" si="19"/>
        <v>0.11517615176151762</v>
      </c>
      <c r="Z32" s="43">
        <f t="shared" si="20"/>
        <v>0.11786148238153099</v>
      </c>
      <c r="AA32" s="43">
        <f t="shared" si="21"/>
        <v>-5.434782608695652E-3</v>
      </c>
      <c r="AB32" s="43">
        <f t="shared" si="22"/>
        <v>4.3169398907103827E-2</v>
      </c>
    </row>
    <row r="33" spans="16:28" ht="15" customHeight="1" x14ac:dyDescent="0.3">
      <c r="P33" s="41" t="s">
        <v>120</v>
      </c>
      <c r="Q33" s="44">
        <v>140</v>
      </c>
      <c r="R33" s="44">
        <v>147</v>
      </c>
      <c r="S33" s="44">
        <v>75</v>
      </c>
      <c r="T33" s="44">
        <v>91</v>
      </c>
      <c r="U33" s="44">
        <v>154</v>
      </c>
      <c r="V33" s="44">
        <v>186</v>
      </c>
      <c r="X33" s="43">
        <f t="shared" si="18"/>
        <v>0.05</v>
      </c>
      <c r="Y33" s="43">
        <f t="shared" si="19"/>
        <v>-0.48979591836734693</v>
      </c>
      <c r="Z33" s="43">
        <f t="shared" si="20"/>
        <v>0.21333333333333335</v>
      </c>
      <c r="AA33" s="43">
        <f t="shared" si="21"/>
        <v>0.69230769230769229</v>
      </c>
      <c r="AB33" s="43">
        <f t="shared" si="22"/>
        <v>0.20779220779220781</v>
      </c>
    </row>
    <row r="34" spans="16:28" ht="15" customHeight="1" x14ac:dyDescent="0.3">
      <c r="P34" s="45" t="s">
        <v>121</v>
      </c>
      <c r="Q34" s="44">
        <v>0</v>
      </c>
      <c r="R34" s="44">
        <v>32</v>
      </c>
      <c r="S34" s="44">
        <v>50</v>
      </c>
      <c r="T34" s="44">
        <v>51</v>
      </c>
      <c r="U34" s="44">
        <v>38</v>
      </c>
      <c r="V34" s="44">
        <v>18</v>
      </c>
      <c r="X34" s="43"/>
      <c r="Y34" s="43"/>
      <c r="Z34" s="43"/>
      <c r="AA34" s="43"/>
      <c r="AB34" s="43">
        <f t="shared" ref="AB34:AB40" si="23">(V34-U34)/U34</f>
        <v>-0.52631578947368418</v>
      </c>
    </row>
    <row r="35" spans="16:28" ht="15" customHeight="1" x14ac:dyDescent="0.3">
      <c r="P35" s="45" t="s">
        <v>122</v>
      </c>
      <c r="Q35" s="44">
        <v>140</v>
      </c>
      <c r="R35" s="44">
        <v>136</v>
      </c>
      <c r="S35" s="44">
        <v>46</v>
      </c>
      <c r="T35" s="44">
        <v>54</v>
      </c>
      <c r="U35" s="44">
        <v>137</v>
      </c>
      <c r="V35" s="44">
        <v>169</v>
      </c>
      <c r="X35" s="43">
        <f>(R35-Q35)/Q35</f>
        <v>-2.8571428571428571E-2</v>
      </c>
      <c r="Y35" s="43">
        <f>(S35-R35)/R35</f>
        <v>-0.66176470588235292</v>
      </c>
      <c r="Z35" s="43">
        <f>(T35-S35)/S35</f>
        <v>0.17391304347826086</v>
      </c>
      <c r="AA35" s="43">
        <f>(U35-T35)/T35</f>
        <v>1.537037037037037</v>
      </c>
      <c r="AB35" s="43">
        <f t="shared" si="23"/>
        <v>0.23357664233576642</v>
      </c>
    </row>
    <row r="36" spans="16:28" ht="15" customHeight="1" x14ac:dyDescent="0.3">
      <c r="P36" s="45" t="s">
        <v>123</v>
      </c>
      <c r="Q36" s="44">
        <v>0</v>
      </c>
      <c r="R36" s="44">
        <v>-20</v>
      </c>
      <c r="S36" s="44">
        <v>-20</v>
      </c>
      <c r="T36" s="44">
        <v>-14</v>
      </c>
      <c r="U36" s="44">
        <v>-21</v>
      </c>
      <c r="V36" s="44">
        <v>0</v>
      </c>
      <c r="X36" s="43"/>
      <c r="Y36" s="43">
        <f>IF(R36=0,0,(S36-R36)/ABS(R36))</f>
        <v>0</v>
      </c>
      <c r="Z36" s="43">
        <f t="shared" ref="Z36:AA40" si="24">(T36-S36)/S36</f>
        <v>-0.3</v>
      </c>
      <c r="AA36" s="43">
        <f t="shared" si="24"/>
        <v>0.5</v>
      </c>
      <c r="AB36" s="43">
        <f t="shared" si="23"/>
        <v>-1</v>
      </c>
    </row>
    <row r="37" spans="16:28" ht="15" customHeight="1" x14ac:dyDescent="0.3">
      <c r="P37" s="45" t="s">
        <v>124</v>
      </c>
      <c r="Q37" s="46">
        <v>1981</v>
      </c>
      <c r="R37" s="46">
        <v>1750</v>
      </c>
      <c r="S37" s="46">
        <v>3706</v>
      </c>
      <c r="T37" s="46">
        <v>2118</v>
      </c>
      <c r="U37" s="46">
        <v>2575</v>
      </c>
      <c r="V37" s="46">
        <v>5427</v>
      </c>
      <c r="X37" s="43">
        <f t="shared" ref="X37:Y40" si="25">(R37-Q37)/Q37</f>
        <v>-0.1166077738515901</v>
      </c>
      <c r="Y37" s="43">
        <f t="shared" si="25"/>
        <v>1.1177142857142857</v>
      </c>
      <c r="Z37" s="43">
        <f t="shared" si="24"/>
        <v>-0.4284943335132218</v>
      </c>
      <c r="AA37" s="43">
        <f t="shared" si="24"/>
        <v>0.21576959395656278</v>
      </c>
      <c r="AB37" s="43">
        <f t="shared" si="23"/>
        <v>1.1075728155339806</v>
      </c>
    </row>
    <row r="38" spans="16:28" ht="15" customHeight="1" x14ac:dyDescent="0.3">
      <c r="P38" s="45" t="s">
        <v>125</v>
      </c>
      <c r="Q38" s="44">
        <v>310</v>
      </c>
      <c r="R38" s="44">
        <v>307</v>
      </c>
      <c r="S38" s="44">
        <v>609</v>
      </c>
      <c r="T38" s="44">
        <v>732</v>
      </c>
      <c r="U38" s="44">
        <v>680</v>
      </c>
      <c r="V38" s="44">
        <v>546</v>
      </c>
      <c r="X38" s="43">
        <f t="shared" si="25"/>
        <v>-9.6774193548387101E-3</v>
      </c>
      <c r="Y38" s="43">
        <f t="shared" si="25"/>
        <v>0.98371335504885993</v>
      </c>
      <c r="Z38" s="43">
        <f t="shared" si="24"/>
        <v>0.2019704433497537</v>
      </c>
      <c r="AA38" s="43">
        <f t="shared" si="24"/>
        <v>-7.1038251366120214E-2</v>
      </c>
      <c r="AB38" s="43">
        <f t="shared" si="23"/>
        <v>-0.19705882352941176</v>
      </c>
    </row>
    <row r="39" spans="16:28" ht="15" customHeight="1" x14ac:dyDescent="0.3">
      <c r="P39" s="45" t="s">
        <v>126</v>
      </c>
      <c r="Q39" s="46">
        <v>1179</v>
      </c>
      <c r="R39" s="46">
        <v>1233</v>
      </c>
      <c r="S39" s="46">
        <v>1286</v>
      </c>
      <c r="T39" s="46">
        <v>1915</v>
      </c>
      <c r="U39" s="46">
        <v>1699</v>
      </c>
      <c r="V39" s="46">
        <v>1355</v>
      </c>
      <c r="X39" s="43">
        <f t="shared" si="25"/>
        <v>4.5801526717557252E-2</v>
      </c>
      <c r="Y39" s="43">
        <f t="shared" si="25"/>
        <v>4.2984590429845905E-2</v>
      </c>
      <c r="Z39" s="43">
        <f t="shared" si="24"/>
        <v>0.4891135303265941</v>
      </c>
      <c r="AA39" s="43">
        <f t="shared" si="24"/>
        <v>-0.11279373368146214</v>
      </c>
      <c r="AB39" s="43">
        <f t="shared" si="23"/>
        <v>-0.20247204237786934</v>
      </c>
    </row>
    <row r="40" spans="16:28" ht="15" customHeight="1" x14ac:dyDescent="0.3">
      <c r="P40" s="45" t="s">
        <v>127</v>
      </c>
      <c r="Q40" s="46">
        <v>14548</v>
      </c>
      <c r="R40" s="46">
        <v>14709</v>
      </c>
      <c r="S40" s="46">
        <v>17276</v>
      </c>
      <c r="T40" s="46">
        <v>17627</v>
      </c>
      <c r="U40" s="46">
        <v>19235</v>
      </c>
      <c r="V40" s="46">
        <v>22882</v>
      </c>
      <c r="X40" s="43">
        <f t="shared" si="25"/>
        <v>1.1066813307671158E-2</v>
      </c>
      <c r="Y40" s="43">
        <f t="shared" si="25"/>
        <v>0.17451900197158202</v>
      </c>
      <c r="Z40" s="43">
        <f t="shared" si="24"/>
        <v>2.0317203056263024E-2</v>
      </c>
      <c r="AA40" s="43">
        <f t="shared" si="24"/>
        <v>9.1223690928688941E-2</v>
      </c>
      <c r="AB40" s="43">
        <f t="shared" si="23"/>
        <v>0.1896022874967507</v>
      </c>
    </row>
  </sheetData>
  <mergeCells count="6">
    <mergeCell ref="B1:N1"/>
    <mergeCell ref="P1:AB1"/>
    <mergeCell ref="B2:H2"/>
    <mergeCell ref="J2:N2"/>
    <mergeCell ref="P2:V2"/>
    <mergeCell ref="X2:AB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485"/>
  <sheetViews>
    <sheetView zoomScale="87" zoomScaleNormal="87" workbookViewId="0">
      <selection activeCell="P13" sqref="P13"/>
    </sheetView>
  </sheetViews>
  <sheetFormatPr defaultColWidth="8.7265625" defaultRowHeight="13" x14ac:dyDescent="0.3"/>
  <cols>
    <col min="1" max="1" width="9.7265625" style="13" customWidth="1"/>
    <col min="2" max="2" width="7.1796875" style="13" customWidth="1"/>
    <col min="3" max="3" width="8.81640625" style="13" customWidth="1"/>
    <col min="4" max="4" width="8.7265625" style="13"/>
    <col min="5" max="5" width="9.36328125" style="13" customWidth="1"/>
    <col min="6" max="7" width="8.81640625" style="13" customWidth="1"/>
    <col min="8" max="8" width="4.81640625" style="13" customWidth="1"/>
    <col min="9" max="9" width="8.7265625" style="13"/>
    <col min="10" max="10" width="16.90625" style="13" customWidth="1"/>
    <col min="11" max="11" width="13.1796875" style="13" customWidth="1"/>
    <col min="12" max="12" width="13.81640625" style="13" customWidth="1"/>
    <col min="13" max="13" width="11.36328125" style="13" customWidth="1"/>
    <col min="14" max="14" width="11.81640625" style="13" customWidth="1"/>
    <col min="15" max="18" width="11.26953125" style="13" customWidth="1"/>
    <col min="19" max="16384" width="8.7265625" style="13"/>
  </cols>
  <sheetData>
    <row r="1" spans="1:15" ht="13.5" customHeight="1" x14ac:dyDescent="0.3"/>
    <row r="2" spans="1:15" ht="25.5" customHeight="1" x14ac:dyDescent="0.3">
      <c r="A2" s="6" t="s">
        <v>128</v>
      </c>
      <c r="B2" s="6"/>
      <c r="C2" s="6"/>
      <c r="E2" s="5" t="s">
        <v>129</v>
      </c>
      <c r="F2" s="5"/>
      <c r="G2" s="5"/>
      <c r="I2" s="4" t="s">
        <v>130</v>
      </c>
      <c r="J2" s="4"/>
      <c r="K2" s="4"/>
      <c r="L2" s="4"/>
      <c r="M2" s="4"/>
      <c r="N2" s="4"/>
      <c r="O2" s="4"/>
    </row>
    <row r="3" spans="1:15" ht="13.5" customHeight="1" x14ac:dyDescent="0.3">
      <c r="A3" s="50" t="s">
        <v>131</v>
      </c>
      <c r="B3" s="51" t="s">
        <v>132</v>
      </c>
      <c r="C3" s="50" t="s">
        <v>133</v>
      </c>
      <c r="E3" s="50" t="s">
        <v>131</v>
      </c>
      <c r="F3" s="51" t="s">
        <v>132</v>
      </c>
      <c r="G3" s="50" t="s">
        <v>133</v>
      </c>
    </row>
    <row r="4" spans="1:15" ht="13.5" customHeight="1" x14ac:dyDescent="0.3">
      <c r="A4" s="52">
        <v>43922</v>
      </c>
      <c r="B4" s="27">
        <v>28.35</v>
      </c>
      <c r="C4" s="53"/>
      <c r="E4" s="52">
        <v>43922</v>
      </c>
      <c r="F4" s="54">
        <v>8253.7998046875</v>
      </c>
      <c r="G4" s="53"/>
      <c r="I4" s="55" t="s">
        <v>134</v>
      </c>
      <c r="J4" s="56" t="s">
        <v>135</v>
      </c>
      <c r="K4" s="56" t="s">
        <v>136</v>
      </c>
      <c r="L4" s="3" t="s">
        <v>137</v>
      </c>
      <c r="M4" s="3"/>
      <c r="N4" s="3"/>
      <c r="O4" s="3"/>
    </row>
    <row r="5" spans="1:15" ht="13.5" customHeight="1" x14ac:dyDescent="0.3">
      <c r="A5" s="52">
        <v>43924</v>
      </c>
      <c r="B5" s="27">
        <v>28.15</v>
      </c>
      <c r="C5" s="53">
        <f t="shared" ref="C5:C68" si="0">(B5-B4)/B4</f>
        <v>-7.0546737213404882E-3</v>
      </c>
      <c r="E5" s="52">
        <v>43924</v>
      </c>
      <c r="F5" s="54">
        <v>8083.7998046875</v>
      </c>
      <c r="G5" s="53">
        <f t="shared" ref="G5:G68" si="1">(F5-F4)/F4</f>
        <v>-2.0596574186770748E-2</v>
      </c>
      <c r="I5" s="57">
        <v>1</v>
      </c>
      <c r="J5" s="58" t="s">
        <v>138</v>
      </c>
      <c r="K5" s="59">
        <f>SLOPE(C5:C1485,G5:G1485)</f>
        <v>1.3379163691624858</v>
      </c>
      <c r="L5" s="2" t="str">
        <f ca="1">+_xlfn.FORMULATEXT(K5)</f>
        <v>=SLOPE(C5:C1485,G5:G1485)</v>
      </c>
      <c r="M5" s="2"/>
      <c r="N5" s="2"/>
      <c r="O5" s="2"/>
    </row>
    <row r="6" spans="1:15" ht="13.5" customHeight="1" x14ac:dyDescent="0.3">
      <c r="A6" s="52">
        <v>43928</v>
      </c>
      <c r="B6" s="27">
        <v>29.35</v>
      </c>
      <c r="C6" s="53">
        <f t="shared" si="0"/>
        <v>4.2628774422735452E-2</v>
      </c>
      <c r="E6" s="52">
        <v>43928</v>
      </c>
      <c r="F6" s="54">
        <v>8792.2001953125</v>
      </c>
      <c r="G6" s="53">
        <f t="shared" si="1"/>
        <v>8.7632104671150374E-2</v>
      </c>
      <c r="I6" s="60"/>
    </row>
    <row r="7" spans="1:15" ht="13.5" customHeight="1" x14ac:dyDescent="0.3">
      <c r="A7" s="52">
        <v>43929</v>
      </c>
      <c r="B7" s="27">
        <v>29.6</v>
      </c>
      <c r="C7" s="53">
        <f t="shared" si="0"/>
        <v>8.5178875638841564E-3</v>
      </c>
      <c r="E7" s="52">
        <v>43929</v>
      </c>
      <c r="F7" s="54">
        <v>8748.75</v>
      </c>
      <c r="G7" s="53">
        <f t="shared" si="1"/>
        <v>-4.9419024075071866E-3</v>
      </c>
      <c r="I7" s="61">
        <v>2</v>
      </c>
      <c r="J7" s="62" t="s">
        <v>139</v>
      </c>
      <c r="K7" s="63">
        <f>_xlfn.COVARIANCE.S(C5:C1485,G5:G1485)/_xlfn.VAR.S(G5:G1485)</f>
        <v>1.337916369162484</v>
      </c>
      <c r="L7" s="2" t="str">
        <f ca="1">+_xlfn.FORMULATEXT(K7)</f>
        <v>=COVARIANCE.S(C5:C1485,G5:G1485)/VAR.S(G5:G1485)</v>
      </c>
      <c r="M7" s="2"/>
      <c r="N7" s="2"/>
      <c r="O7" s="2"/>
    </row>
    <row r="8" spans="1:15" ht="13.5" customHeight="1" x14ac:dyDescent="0.3">
      <c r="A8" s="52">
        <v>43930</v>
      </c>
      <c r="B8" s="27">
        <v>30.4</v>
      </c>
      <c r="C8" s="53">
        <f t="shared" si="0"/>
        <v>2.7027027027026931E-2</v>
      </c>
      <c r="E8" s="52">
        <v>43930</v>
      </c>
      <c r="F8" s="54">
        <v>9111.900390625</v>
      </c>
      <c r="G8" s="53">
        <f t="shared" si="1"/>
        <v>4.1508831618802686E-2</v>
      </c>
    </row>
    <row r="9" spans="1:15" ht="14.25" customHeight="1" x14ac:dyDescent="0.3">
      <c r="A9" s="52">
        <v>43934</v>
      </c>
      <c r="B9" s="27">
        <v>30.3</v>
      </c>
      <c r="C9" s="53">
        <f t="shared" si="0"/>
        <v>-3.2894736842104563E-3</v>
      </c>
      <c r="E9" s="52">
        <v>43934</v>
      </c>
      <c r="F9" s="54">
        <v>8993.849609375</v>
      </c>
      <c r="G9" s="53">
        <f t="shared" si="1"/>
        <v>-1.2955670737079107E-2</v>
      </c>
      <c r="I9" s="64">
        <v>3</v>
      </c>
      <c r="J9" s="1" t="s">
        <v>140</v>
      </c>
      <c r="K9" s="1"/>
      <c r="L9" s="65"/>
    </row>
    <row r="10" spans="1:15" ht="14.25" customHeight="1" x14ac:dyDescent="0.3">
      <c r="A10" s="52">
        <v>43936</v>
      </c>
      <c r="B10" s="27">
        <v>30.25</v>
      </c>
      <c r="C10" s="53">
        <f t="shared" si="0"/>
        <v>-1.6501650165016736E-3</v>
      </c>
      <c r="E10" s="52">
        <v>43936</v>
      </c>
      <c r="F10" s="54">
        <v>8925.2998046875</v>
      </c>
      <c r="G10" s="53">
        <f t="shared" si="1"/>
        <v>-7.6218535626885646E-3</v>
      </c>
      <c r="J10" s="222" t="s">
        <v>141</v>
      </c>
      <c r="K10" s="222"/>
      <c r="L10" s="66"/>
    </row>
    <row r="11" spans="1:15" ht="13.5" customHeight="1" x14ac:dyDescent="0.3">
      <c r="A11" s="52">
        <v>43937</v>
      </c>
      <c r="B11" s="27">
        <v>31.05</v>
      </c>
      <c r="C11" s="53">
        <f t="shared" si="0"/>
        <v>2.6446280991735561E-2</v>
      </c>
      <c r="E11" s="52">
        <v>43937</v>
      </c>
      <c r="F11" s="54">
        <v>8992.7998046875</v>
      </c>
      <c r="G11" s="53">
        <f t="shared" si="1"/>
        <v>7.5627711647903986E-3</v>
      </c>
      <c r="J11" s="67" t="s">
        <v>142</v>
      </c>
      <c r="K11" s="68">
        <v>0.470644766990166</v>
      </c>
      <c r="L11" s="69"/>
    </row>
    <row r="12" spans="1:15" ht="13.5" customHeight="1" x14ac:dyDescent="0.3">
      <c r="A12" s="52">
        <v>43938</v>
      </c>
      <c r="B12" s="27">
        <v>31.95</v>
      </c>
      <c r="C12" s="53">
        <f t="shared" si="0"/>
        <v>2.8985507246376767E-2</v>
      </c>
      <c r="E12" s="52">
        <v>43938</v>
      </c>
      <c r="F12" s="54">
        <v>9266.75</v>
      </c>
      <c r="G12" s="53">
        <f t="shared" si="1"/>
        <v>3.0463281876874804E-2</v>
      </c>
      <c r="J12" s="70" t="s">
        <v>143</v>
      </c>
      <c r="K12" s="34">
        <v>0.22150649669522801</v>
      </c>
      <c r="L12" s="69"/>
    </row>
    <row r="13" spans="1:15" ht="13.5" customHeight="1" x14ac:dyDescent="0.3">
      <c r="A13" s="52">
        <v>43941</v>
      </c>
      <c r="B13" s="27">
        <v>34.1</v>
      </c>
      <c r="C13" s="53">
        <f t="shared" si="0"/>
        <v>6.7292644757433559E-2</v>
      </c>
      <c r="E13" s="52">
        <v>43941</v>
      </c>
      <c r="F13" s="54">
        <v>9261.849609375</v>
      </c>
      <c r="G13" s="53">
        <f t="shared" si="1"/>
        <v>-5.2881437666927461E-4</v>
      </c>
      <c r="J13" s="70" t="s">
        <v>144</v>
      </c>
      <c r="K13" s="34">
        <v>0.220980131919498</v>
      </c>
      <c r="L13" s="69"/>
    </row>
    <row r="14" spans="1:15" ht="13.5" customHeight="1" x14ac:dyDescent="0.3">
      <c r="A14" s="52">
        <v>43942</v>
      </c>
      <c r="B14" s="27">
        <v>33.799999999999997</v>
      </c>
      <c r="C14" s="53">
        <f t="shared" si="0"/>
        <v>-8.7976539589444056E-3</v>
      </c>
      <c r="E14" s="52">
        <v>43942</v>
      </c>
      <c r="F14" s="54">
        <v>8981.4501953125</v>
      </c>
      <c r="G14" s="53">
        <f t="shared" si="1"/>
        <v>-3.0274667144095602E-2</v>
      </c>
      <c r="J14" s="70" t="s">
        <v>145</v>
      </c>
      <c r="K14" s="34">
        <v>2.4582704282047601E-2</v>
      </c>
      <c r="L14" s="69"/>
    </row>
    <row r="15" spans="1:15" ht="14.25" customHeight="1" x14ac:dyDescent="0.3">
      <c r="A15" s="52">
        <v>43943</v>
      </c>
      <c r="B15" s="27">
        <v>33.6</v>
      </c>
      <c r="C15" s="53">
        <f t="shared" si="0"/>
        <v>-5.9171597633134836E-3</v>
      </c>
      <c r="E15" s="52">
        <v>43943</v>
      </c>
      <c r="F15" s="54">
        <v>9187.2998046875</v>
      </c>
      <c r="G15" s="53">
        <f t="shared" si="1"/>
        <v>2.2919417788725787E-2</v>
      </c>
      <c r="J15" s="71" t="s">
        <v>146</v>
      </c>
      <c r="K15" s="72">
        <v>1481</v>
      </c>
      <c r="L15" s="69"/>
    </row>
    <row r="16" spans="1:15" ht="13.5" customHeight="1" x14ac:dyDescent="0.3">
      <c r="A16" s="52">
        <v>43944</v>
      </c>
      <c r="B16" s="27">
        <v>33.700000000000003</v>
      </c>
      <c r="C16" s="53">
        <f t="shared" si="0"/>
        <v>2.9761904761905185E-3</v>
      </c>
      <c r="E16" s="52">
        <v>43944</v>
      </c>
      <c r="F16" s="54">
        <v>9313.900390625</v>
      </c>
      <c r="G16" s="53">
        <f t="shared" si="1"/>
        <v>1.3779955877014752E-2</v>
      </c>
    </row>
    <row r="17" spans="1:18" ht="13.5" customHeight="1" x14ac:dyDescent="0.3">
      <c r="A17" s="52">
        <v>43945</v>
      </c>
      <c r="B17" s="27">
        <v>31.5</v>
      </c>
      <c r="C17" s="53">
        <f t="shared" si="0"/>
        <v>-6.528189910979236E-2</v>
      </c>
      <c r="E17" s="52">
        <v>43945</v>
      </c>
      <c r="F17" s="54">
        <v>9154.400390625</v>
      </c>
      <c r="G17" s="53">
        <f t="shared" si="1"/>
        <v>-1.7124941572334865E-2</v>
      </c>
      <c r="J17" s="223" t="s">
        <v>147</v>
      </c>
      <c r="K17" s="223"/>
      <c r="L17" s="223"/>
      <c r="M17" s="223"/>
      <c r="N17" s="223"/>
      <c r="O17" s="223"/>
    </row>
    <row r="18" spans="1:18" ht="13.5" customHeight="1" x14ac:dyDescent="0.3">
      <c r="A18" s="52">
        <v>43948</v>
      </c>
      <c r="B18" s="27">
        <v>30.95</v>
      </c>
      <c r="C18" s="53">
        <f t="shared" si="0"/>
        <v>-1.7460317460317482E-2</v>
      </c>
      <c r="E18" s="52">
        <v>43948</v>
      </c>
      <c r="F18" s="54">
        <v>9282.2998046875</v>
      </c>
      <c r="G18" s="53">
        <f t="shared" si="1"/>
        <v>1.3971358975458566E-2</v>
      </c>
      <c r="J18" s="73"/>
      <c r="K18" s="74" t="s">
        <v>148</v>
      </c>
      <c r="L18" s="74" t="s">
        <v>149</v>
      </c>
      <c r="M18" s="74" t="s">
        <v>150</v>
      </c>
      <c r="N18" s="74" t="s">
        <v>151</v>
      </c>
      <c r="O18" s="75" t="s">
        <v>152</v>
      </c>
    </row>
    <row r="19" spans="1:18" ht="13.5" customHeight="1" x14ac:dyDescent="0.3">
      <c r="A19" s="52">
        <v>43949</v>
      </c>
      <c r="B19" s="27">
        <v>30.5</v>
      </c>
      <c r="C19" s="53">
        <f t="shared" si="0"/>
        <v>-1.45395799676898E-2</v>
      </c>
      <c r="E19" s="52">
        <v>43949</v>
      </c>
      <c r="F19" s="54">
        <v>9380.900390625</v>
      </c>
      <c r="G19" s="53">
        <f t="shared" si="1"/>
        <v>1.0622430648890199E-2</v>
      </c>
      <c r="J19" s="76" t="s">
        <v>153</v>
      </c>
      <c r="K19" s="77">
        <v>1</v>
      </c>
      <c r="L19" s="77">
        <v>0.25430737992075297</v>
      </c>
      <c r="M19" s="77">
        <v>0.25430737992075297</v>
      </c>
      <c r="N19" s="77">
        <v>420.823176072141</v>
      </c>
      <c r="O19" s="78">
        <v>1.6835724203757801E-82</v>
      </c>
    </row>
    <row r="20" spans="1:18" ht="13.5" customHeight="1" x14ac:dyDescent="0.3">
      <c r="A20" s="52">
        <v>43950</v>
      </c>
      <c r="B20" s="27">
        <v>30.9</v>
      </c>
      <c r="C20" s="53">
        <f t="shared" si="0"/>
        <v>1.3114754098360609E-2</v>
      </c>
      <c r="E20" s="52">
        <v>43950</v>
      </c>
      <c r="F20" s="54">
        <v>9553.349609375</v>
      </c>
      <c r="G20" s="53">
        <f t="shared" si="1"/>
        <v>1.838301352419654E-2</v>
      </c>
      <c r="J20" s="79" t="s">
        <v>154</v>
      </c>
      <c r="K20" s="13">
        <v>1479</v>
      </c>
      <c r="L20" s="13">
        <v>0.89377352838170798</v>
      </c>
      <c r="M20" s="13">
        <v>6.0430934981859903E-4</v>
      </c>
      <c r="O20" s="80"/>
    </row>
    <row r="21" spans="1:18" ht="13.5" customHeight="1" x14ac:dyDescent="0.3">
      <c r="A21" s="52">
        <v>43951</v>
      </c>
      <c r="B21" s="27">
        <v>31.8</v>
      </c>
      <c r="C21" s="53">
        <f t="shared" si="0"/>
        <v>2.912621359223308E-2</v>
      </c>
      <c r="E21" s="52">
        <v>43951</v>
      </c>
      <c r="F21" s="54">
        <v>9859.900390625</v>
      </c>
      <c r="G21" s="53">
        <f t="shared" si="1"/>
        <v>3.2088303452139151E-2</v>
      </c>
      <c r="J21" s="81" t="s">
        <v>155</v>
      </c>
      <c r="K21" s="82">
        <v>1480</v>
      </c>
      <c r="L21" s="82">
        <v>1.1480809083024599</v>
      </c>
      <c r="M21" s="82"/>
      <c r="N21" s="82"/>
      <c r="O21" s="83"/>
    </row>
    <row r="22" spans="1:18" ht="13.5" customHeight="1" x14ac:dyDescent="0.3">
      <c r="A22" s="52">
        <v>43955</v>
      </c>
      <c r="B22" s="27">
        <v>30.2</v>
      </c>
      <c r="C22" s="53">
        <f t="shared" si="0"/>
        <v>-5.0314465408805076E-2</v>
      </c>
      <c r="E22" s="52">
        <v>43955</v>
      </c>
      <c r="F22" s="54">
        <v>9293.5</v>
      </c>
      <c r="G22" s="53">
        <f t="shared" si="1"/>
        <v>-5.7444839013134998E-2</v>
      </c>
    </row>
    <row r="23" spans="1:18" ht="13.5" customHeight="1" x14ac:dyDescent="0.3">
      <c r="A23" s="52">
        <v>43956</v>
      </c>
      <c r="B23" s="27">
        <v>29.15</v>
      </c>
      <c r="C23" s="53">
        <f t="shared" si="0"/>
        <v>-3.4768211920529826E-2</v>
      </c>
      <c r="E23" s="52">
        <v>43956</v>
      </c>
      <c r="F23" s="54">
        <v>9205.599609375</v>
      </c>
      <c r="G23" s="53">
        <f t="shared" si="1"/>
        <v>-9.4582655216011186E-3</v>
      </c>
      <c r="J23" s="84"/>
      <c r="K23" s="85" t="s">
        <v>156</v>
      </c>
      <c r="L23" s="85" t="s">
        <v>145</v>
      </c>
      <c r="M23" s="85" t="s">
        <v>157</v>
      </c>
      <c r="N23" s="85" t="s">
        <v>158</v>
      </c>
      <c r="O23" s="85" t="s">
        <v>159</v>
      </c>
      <c r="P23" s="85" t="s">
        <v>160</v>
      </c>
      <c r="Q23" s="85" t="s">
        <v>161</v>
      </c>
      <c r="R23" s="86" t="s">
        <v>162</v>
      </c>
    </row>
    <row r="24" spans="1:18" ht="13.5" customHeight="1" x14ac:dyDescent="0.3">
      <c r="A24" s="52">
        <v>43957</v>
      </c>
      <c r="B24" s="27">
        <v>29.1</v>
      </c>
      <c r="C24" s="53">
        <f t="shared" si="0"/>
        <v>-1.715265866209165E-3</v>
      </c>
      <c r="E24" s="52">
        <v>43957</v>
      </c>
      <c r="F24" s="54">
        <v>9270.900390625</v>
      </c>
      <c r="G24" s="53">
        <f t="shared" si="1"/>
        <v>7.0935934671216378E-3</v>
      </c>
      <c r="J24" s="79" t="s">
        <v>163</v>
      </c>
      <c r="K24" s="13">
        <v>1.1895952175979101E-3</v>
      </c>
      <c r="L24" s="13">
        <v>6.4050595052240903E-4</v>
      </c>
      <c r="M24" s="13">
        <v>1.8572742636155899</v>
      </c>
      <c r="N24" s="13">
        <v>6.3470802590517295E-2</v>
      </c>
      <c r="O24" s="13">
        <v>-6.6801556429734103E-5</v>
      </c>
      <c r="P24" s="13">
        <v>2.4459919916255501E-3</v>
      </c>
      <c r="Q24" s="13">
        <v>-6.6801556429734103E-5</v>
      </c>
      <c r="R24" s="80">
        <v>2.4459919916255501E-3</v>
      </c>
    </row>
    <row r="25" spans="1:18" ht="15" customHeight="1" x14ac:dyDescent="0.3">
      <c r="A25" s="52">
        <v>43958</v>
      </c>
      <c r="B25" s="27">
        <v>28.85</v>
      </c>
      <c r="C25" s="53">
        <f t="shared" si="0"/>
        <v>-8.5910652920962189E-3</v>
      </c>
      <c r="E25" s="52">
        <v>43958</v>
      </c>
      <c r="F25" s="54">
        <v>9199.0498046875</v>
      </c>
      <c r="G25" s="53">
        <f t="shared" si="1"/>
        <v>-7.7501195040513404E-3</v>
      </c>
      <c r="J25" s="81" t="s">
        <v>164</v>
      </c>
      <c r="K25" s="82">
        <v>1.33791636916249</v>
      </c>
      <c r="L25" s="82">
        <v>6.5219751900245704E-2</v>
      </c>
      <c r="M25" s="82">
        <v>20.513975140672802</v>
      </c>
      <c r="N25" s="82">
        <v>1.6835724203757801E-82</v>
      </c>
      <c r="O25" s="82">
        <v>1.2099833096436501</v>
      </c>
      <c r="P25" s="82">
        <v>1.46584942868132</v>
      </c>
      <c r="Q25" s="82">
        <v>1.2099833096436501</v>
      </c>
      <c r="R25" s="83">
        <v>1.46584942868132</v>
      </c>
    </row>
    <row r="26" spans="1:18" ht="14.25" customHeight="1" x14ac:dyDescent="0.3">
      <c r="A26" s="52">
        <v>43959</v>
      </c>
      <c r="B26" s="27">
        <v>28.35</v>
      </c>
      <c r="C26" s="53">
        <f t="shared" si="0"/>
        <v>-1.7331022530329289E-2</v>
      </c>
      <c r="E26" s="52">
        <v>43959</v>
      </c>
      <c r="F26" s="54">
        <v>9251.5</v>
      </c>
      <c r="G26" s="53">
        <f t="shared" si="1"/>
        <v>5.7016970693835461E-3</v>
      </c>
    </row>
    <row r="27" spans="1:18" ht="14.25" customHeight="1" x14ac:dyDescent="0.3">
      <c r="A27" s="52">
        <v>43962</v>
      </c>
      <c r="B27" s="27">
        <v>27.95</v>
      </c>
      <c r="C27" s="53">
        <f t="shared" si="0"/>
        <v>-1.410934744268085E-2</v>
      </c>
      <c r="E27" s="52">
        <v>43962</v>
      </c>
      <c r="F27" s="54">
        <v>9239.2001953125</v>
      </c>
      <c r="G27" s="53">
        <f t="shared" si="1"/>
        <v>-1.3294930214019349E-3</v>
      </c>
    </row>
    <row r="28" spans="1:18" ht="14.25" customHeight="1" x14ac:dyDescent="0.3">
      <c r="A28" s="52">
        <v>43963</v>
      </c>
      <c r="B28" s="27">
        <v>27.1</v>
      </c>
      <c r="C28" s="53">
        <f t="shared" si="0"/>
        <v>-3.0411449016100104E-2</v>
      </c>
      <c r="E28" s="52">
        <v>43963</v>
      </c>
      <c r="F28" s="54">
        <v>9196.5498046875</v>
      </c>
      <c r="G28" s="53">
        <f t="shared" si="1"/>
        <v>-4.6162427183511663E-3</v>
      </c>
    </row>
    <row r="29" spans="1:18" ht="14.25" customHeight="1" x14ac:dyDescent="0.3">
      <c r="A29" s="52">
        <v>43964</v>
      </c>
      <c r="B29" s="27">
        <v>28.25</v>
      </c>
      <c r="C29" s="53">
        <f t="shared" si="0"/>
        <v>4.2435424354243488E-2</v>
      </c>
      <c r="E29" s="52">
        <v>43964</v>
      </c>
      <c r="F29" s="54">
        <v>9383.5498046875</v>
      </c>
      <c r="G29" s="53">
        <f t="shared" si="1"/>
        <v>2.0333712530397619E-2</v>
      </c>
    </row>
    <row r="30" spans="1:18" ht="13.5" customHeight="1" x14ac:dyDescent="0.3">
      <c r="A30" s="52">
        <v>43965</v>
      </c>
      <c r="B30" s="27">
        <v>28.55</v>
      </c>
      <c r="C30" s="53">
        <f t="shared" si="0"/>
        <v>1.0619469026548698E-2</v>
      </c>
      <c r="E30" s="52">
        <v>43965</v>
      </c>
      <c r="F30" s="54">
        <v>9142.75</v>
      </c>
      <c r="G30" s="53">
        <f t="shared" si="1"/>
        <v>-2.5661909373274686E-2</v>
      </c>
    </row>
    <row r="31" spans="1:18" ht="13.5" customHeight="1" x14ac:dyDescent="0.3">
      <c r="A31" s="52">
        <v>43966</v>
      </c>
      <c r="B31" s="27">
        <v>28.95</v>
      </c>
      <c r="C31" s="53">
        <f t="shared" si="0"/>
        <v>1.4010507880910633E-2</v>
      </c>
      <c r="E31" s="52">
        <v>43966</v>
      </c>
      <c r="F31" s="54">
        <v>9136.849609375</v>
      </c>
      <c r="G31" s="53">
        <f t="shared" si="1"/>
        <v>-6.453627874545405E-4</v>
      </c>
    </row>
    <row r="32" spans="1:18" ht="13.5" customHeight="1" x14ac:dyDescent="0.3">
      <c r="A32" s="52">
        <v>43969</v>
      </c>
      <c r="B32" s="27">
        <v>27.5</v>
      </c>
      <c r="C32" s="53">
        <f t="shared" si="0"/>
        <v>-5.008635578583763E-2</v>
      </c>
      <c r="E32" s="52">
        <v>43969</v>
      </c>
      <c r="F32" s="54">
        <v>8823.25</v>
      </c>
      <c r="G32" s="53">
        <f t="shared" si="1"/>
        <v>-3.4322509703259917E-2</v>
      </c>
    </row>
    <row r="33" spans="1:7" ht="13.5" customHeight="1" x14ac:dyDescent="0.3">
      <c r="A33" s="52">
        <v>43970</v>
      </c>
      <c r="B33" s="27">
        <v>27.95</v>
      </c>
      <c r="C33" s="53">
        <f t="shared" si="0"/>
        <v>1.6363636363636337E-2</v>
      </c>
      <c r="E33" s="52">
        <v>43970</v>
      </c>
      <c r="F33" s="54">
        <v>8879.099609375</v>
      </c>
      <c r="G33" s="53">
        <f t="shared" si="1"/>
        <v>6.3298228402232735E-3</v>
      </c>
    </row>
    <row r="34" spans="1:7" ht="13.5" customHeight="1" x14ac:dyDescent="0.3">
      <c r="A34" s="52">
        <v>43971</v>
      </c>
      <c r="B34" s="27">
        <v>27.9</v>
      </c>
      <c r="C34" s="53">
        <f t="shared" si="0"/>
        <v>-1.7889087656529771E-3</v>
      </c>
      <c r="E34" s="52">
        <v>43971</v>
      </c>
      <c r="F34" s="54">
        <v>9066.5498046875</v>
      </c>
      <c r="G34" s="53">
        <f t="shared" si="1"/>
        <v>2.1111396826157987E-2</v>
      </c>
    </row>
    <row r="35" spans="1:7" ht="13.5" customHeight="1" x14ac:dyDescent="0.3">
      <c r="A35" s="52">
        <v>43972</v>
      </c>
      <c r="B35" s="27">
        <v>28</v>
      </c>
      <c r="C35" s="53">
        <f t="shared" si="0"/>
        <v>3.5842293906810548E-3</v>
      </c>
      <c r="E35" s="52">
        <v>43972</v>
      </c>
      <c r="F35" s="54">
        <v>9106.25</v>
      </c>
      <c r="G35" s="53">
        <f t="shared" si="1"/>
        <v>4.378754451001261E-3</v>
      </c>
    </row>
    <row r="36" spans="1:7" ht="13.5" customHeight="1" x14ac:dyDescent="0.3">
      <c r="A36" s="52">
        <v>43973</v>
      </c>
      <c r="B36" s="27">
        <v>26.9</v>
      </c>
      <c r="C36" s="53">
        <f t="shared" si="0"/>
        <v>-3.9285714285714333E-2</v>
      </c>
      <c r="E36" s="52">
        <v>43973</v>
      </c>
      <c r="F36" s="54">
        <v>9039.25</v>
      </c>
      <c r="G36" s="53">
        <f t="shared" si="1"/>
        <v>-7.3575840768702813E-3</v>
      </c>
    </row>
    <row r="37" spans="1:7" ht="13.5" customHeight="1" x14ac:dyDescent="0.3">
      <c r="A37" s="52">
        <v>43977</v>
      </c>
      <c r="B37" s="27">
        <v>27.65</v>
      </c>
      <c r="C37" s="53">
        <f t="shared" si="0"/>
        <v>2.7881040892193312E-2</v>
      </c>
      <c r="E37" s="52">
        <v>43977</v>
      </c>
      <c r="F37" s="54">
        <v>9029.0498046875</v>
      </c>
      <c r="G37" s="53">
        <f t="shared" si="1"/>
        <v>-1.1284338094974694E-3</v>
      </c>
    </row>
    <row r="38" spans="1:7" ht="13.5" customHeight="1" x14ac:dyDescent="0.3">
      <c r="A38" s="52">
        <v>43978</v>
      </c>
      <c r="B38" s="27">
        <v>29.05</v>
      </c>
      <c r="C38" s="53">
        <f t="shared" si="0"/>
        <v>5.0632911392405146E-2</v>
      </c>
      <c r="E38" s="52">
        <v>43978</v>
      </c>
      <c r="F38" s="54">
        <v>9314.9501953125</v>
      </c>
      <c r="G38" s="53">
        <f t="shared" si="1"/>
        <v>3.1664504771761547E-2</v>
      </c>
    </row>
    <row r="39" spans="1:7" ht="13.5" customHeight="1" x14ac:dyDescent="0.3">
      <c r="A39" s="52">
        <v>43979</v>
      </c>
      <c r="B39" s="27">
        <v>29.35</v>
      </c>
      <c r="C39" s="53">
        <f t="shared" si="0"/>
        <v>1.0327022375215171E-2</v>
      </c>
      <c r="E39" s="52">
        <v>43979</v>
      </c>
      <c r="F39" s="54">
        <v>9490.099609375</v>
      </c>
      <c r="G39" s="53">
        <f t="shared" si="1"/>
        <v>1.8803043536468854E-2</v>
      </c>
    </row>
    <row r="40" spans="1:7" ht="13.5" customHeight="1" x14ac:dyDescent="0.3">
      <c r="A40" s="52">
        <v>43980</v>
      </c>
      <c r="B40" s="27">
        <v>29.4</v>
      </c>
      <c r="C40" s="53">
        <f t="shared" si="0"/>
        <v>1.7035775127767344E-3</v>
      </c>
      <c r="E40" s="52">
        <v>43980</v>
      </c>
      <c r="F40" s="54">
        <v>9580.2998046875</v>
      </c>
      <c r="G40" s="53">
        <f t="shared" si="1"/>
        <v>9.5046626511057671E-3</v>
      </c>
    </row>
    <row r="41" spans="1:7" ht="13.5" customHeight="1" x14ac:dyDescent="0.3">
      <c r="A41" s="52">
        <v>43983</v>
      </c>
      <c r="B41" s="27">
        <v>29.95</v>
      </c>
      <c r="C41" s="53">
        <f t="shared" si="0"/>
        <v>1.8707482993197303E-2</v>
      </c>
      <c r="E41" s="52">
        <v>43983</v>
      </c>
      <c r="F41" s="54">
        <v>9826.150390625</v>
      </c>
      <c r="G41" s="53">
        <f t="shared" si="1"/>
        <v>2.5662097319460599E-2</v>
      </c>
    </row>
    <row r="42" spans="1:7" ht="13.5" customHeight="1" x14ac:dyDescent="0.3">
      <c r="A42" s="52">
        <v>43984</v>
      </c>
      <c r="B42" s="27">
        <v>30.95</v>
      </c>
      <c r="C42" s="53">
        <f t="shared" si="0"/>
        <v>3.3388981636060099E-2</v>
      </c>
      <c r="E42" s="52">
        <v>43984</v>
      </c>
      <c r="F42" s="54">
        <v>9979.099609375</v>
      </c>
      <c r="G42" s="53">
        <f t="shared" si="1"/>
        <v>1.556552797074293E-2</v>
      </c>
    </row>
    <row r="43" spans="1:7" ht="13.5" customHeight="1" x14ac:dyDescent="0.3">
      <c r="A43" s="52">
        <v>43985</v>
      </c>
      <c r="B43" s="27">
        <v>31</v>
      </c>
      <c r="C43" s="53">
        <f t="shared" si="0"/>
        <v>1.6155088852988922E-3</v>
      </c>
      <c r="E43" s="52">
        <v>43985</v>
      </c>
      <c r="F43" s="54">
        <v>10061.5498046875</v>
      </c>
      <c r="G43" s="53">
        <f t="shared" si="1"/>
        <v>8.262288035990847E-3</v>
      </c>
    </row>
    <row r="44" spans="1:7" ht="13.5" customHeight="1" x14ac:dyDescent="0.3">
      <c r="A44" s="52">
        <v>43986</v>
      </c>
      <c r="B44" s="27">
        <v>30.45</v>
      </c>
      <c r="C44" s="53">
        <f t="shared" si="0"/>
        <v>-1.7741935483870992E-2</v>
      </c>
      <c r="E44" s="52">
        <v>43986</v>
      </c>
      <c r="F44" s="54">
        <v>10029.099609375</v>
      </c>
      <c r="G44" s="53">
        <f t="shared" si="1"/>
        <v>-3.2251686810099594E-3</v>
      </c>
    </row>
    <row r="45" spans="1:7" ht="13.5" customHeight="1" x14ac:dyDescent="0.3">
      <c r="A45" s="52">
        <v>43987</v>
      </c>
      <c r="B45" s="27">
        <v>32.799999999999997</v>
      </c>
      <c r="C45" s="53">
        <f t="shared" si="0"/>
        <v>7.7175697865352971E-2</v>
      </c>
      <c r="E45" s="52">
        <v>43987</v>
      </c>
      <c r="F45" s="54">
        <v>10142.150390625</v>
      </c>
      <c r="G45" s="53">
        <f t="shared" si="1"/>
        <v>1.1272276241460641E-2</v>
      </c>
    </row>
    <row r="46" spans="1:7" ht="13.5" customHeight="1" x14ac:dyDescent="0.3">
      <c r="A46" s="52">
        <v>43990</v>
      </c>
      <c r="B46" s="27">
        <v>32.950000000000003</v>
      </c>
      <c r="C46" s="53">
        <f t="shared" si="0"/>
        <v>4.5731707317074911E-3</v>
      </c>
      <c r="E46" s="52">
        <v>43990</v>
      </c>
      <c r="F46" s="54">
        <v>10167.4501953125</v>
      </c>
      <c r="G46" s="53">
        <f t="shared" si="1"/>
        <v>2.4945207587225419E-3</v>
      </c>
    </row>
    <row r="47" spans="1:7" ht="13.5" customHeight="1" x14ac:dyDescent="0.3">
      <c r="A47" s="52">
        <v>43991</v>
      </c>
      <c r="B47" s="27">
        <v>32.5</v>
      </c>
      <c r="C47" s="53">
        <f t="shared" si="0"/>
        <v>-1.3657056145675351E-2</v>
      </c>
      <c r="E47" s="52">
        <v>43991</v>
      </c>
      <c r="F47" s="54">
        <v>10046.650390625</v>
      </c>
      <c r="G47" s="53">
        <f t="shared" si="1"/>
        <v>-1.1881032349997872E-2</v>
      </c>
    </row>
    <row r="48" spans="1:7" ht="13.5" customHeight="1" x14ac:dyDescent="0.3">
      <c r="A48" s="52">
        <v>43992</v>
      </c>
      <c r="B48" s="27">
        <v>32.4</v>
      </c>
      <c r="C48" s="53">
        <f t="shared" si="0"/>
        <v>-3.0769230769231207E-3</v>
      </c>
      <c r="E48" s="52">
        <v>43992</v>
      </c>
      <c r="F48" s="54">
        <v>10116.150390625</v>
      </c>
      <c r="G48" s="53">
        <f t="shared" si="1"/>
        <v>6.9177285262014996E-3</v>
      </c>
    </row>
    <row r="49" spans="1:7" ht="13.5" customHeight="1" x14ac:dyDescent="0.3">
      <c r="A49" s="52">
        <v>43993</v>
      </c>
      <c r="B49" s="27">
        <v>31.2</v>
      </c>
      <c r="C49" s="53">
        <f t="shared" si="0"/>
        <v>-3.7037037037037014E-2</v>
      </c>
      <c r="E49" s="52">
        <v>43993</v>
      </c>
      <c r="F49" s="54">
        <v>9902</v>
      </c>
      <c r="G49" s="53">
        <f t="shared" si="1"/>
        <v>-2.1169158460066079E-2</v>
      </c>
    </row>
    <row r="50" spans="1:7" ht="13.5" customHeight="1" x14ac:dyDescent="0.3">
      <c r="A50" s="52">
        <v>43994</v>
      </c>
      <c r="B50" s="27">
        <v>31.4</v>
      </c>
      <c r="C50" s="53">
        <f t="shared" si="0"/>
        <v>6.4102564102563875E-3</v>
      </c>
      <c r="E50" s="52">
        <v>43994</v>
      </c>
      <c r="F50" s="54">
        <v>9972.900390625</v>
      </c>
      <c r="G50" s="53">
        <f t="shared" si="1"/>
        <v>7.1602091117955969E-3</v>
      </c>
    </row>
    <row r="51" spans="1:7" ht="13.5" customHeight="1" x14ac:dyDescent="0.3">
      <c r="A51" s="52">
        <v>43997</v>
      </c>
      <c r="B51" s="27">
        <v>30.1</v>
      </c>
      <c r="C51" s="53">
        <f t="shared" si="0"/>
        <v>-4.1401273885350233E-2</v>
      </c>
      <c r="E51" s="52">
        <v>43997</v>
      </c>
      <c r="F51" s="54">
        <v>9813.7001953125</v>
      </c>
      <c r="G51" s="53">
        <f t="shared" si="1"/>
        <v>-1.5963279394844428E-2</v>
      </c>
    </row>
    <row r="52" spans="1:7" ht="13.5" customHeight="1" x14ac:dyDescent="0.3">
      <c r="A52" s="52">
        <v>43998</v>
      </c>
      <c r="B52" s="27">
        <v>29.95</v>
      </c>
      <c r="C52" s="53">
        <f t="shared" si="0"/>
        <v>-4.9833887043190077E-3</v>
      </c>
      <c r="E52" s="52">
        <v>43998</v>
      </c>
      <c r="F52" s="54">
        <v>9914</v>
      </c>
      <c r="G52" s="53">
        <f t="shared" si="1"/>
        <v>1.0220386061458048E-2</v>
      </c>
    </row>
    <row r="53" spans="1:7" ht="13.5" customHeight="1" x14ac:dyDescent="0.3">
      <c r="A53" s="52">
        <v>43999</v>
      </c>
      <c r="B53" s="27">
        <v>29.45</v>
      </c>
      <c r="C53" s="53">
        <f t="shared" si="0"/>
        <v>-1.6694490818030049E-2</v>
      </c>
      <c r="E53" s="52">
        <v>43999</v>
      </c>
      <c r="F53" s="54">
        <v>9881.150390625</v>
      </c>
      <c r="G53" s="53">
        <f t="shared" si="1"/>
        <v>-3.3134566648174301E-3</v>
      </c>
    </row>
    <row r="54" spans="1:7" ht="13.5" customHeight="1" x14ac:dyDescent="0.3">
      <c r="A54" s="52">
        <v>44000</v>
      </c>
      <c r="B54" s="27">
        <v>30.4</v>
      </c>
      <c r="C54" s="53">
        <f t="shared" si="0"/>
        <v>3.2258064516129011E-2</v>
      </c>
      <c r="E54" s="52">
        <v>44000</v>
      </c>
      <c r="F54" s="54">
        <v>10091.650390625</v>
      </c>
      <c r="G54" s="53">
        <f t="shared" si="1"/>
        <v>2.1303187551898549E-2</v>
      </c>
    </row>
    <row r="55" spans="1:7" ht="13.5" customHeight="1" x14ac:dyDescent="0.3">
      <c r="A55" s="52">
        <v>44001</v>
      </c>
      <c r="B55" s="27">
        <v>30.65</v>
      </c>
      <c r="C55" s="53">
        <f t="shared" si="0"/>
        <v>8.2236842105263153E-3</v>
      </c>
      <c r="E55" s="52">
        <v>44001</v>
      </c>
      <c r="F55" s="54">
        <v>10244.400390625</v>
      </c>
      <c r="G55" s="53">
        <f t="shared" si="1"/>
        <v>1.5136275444292302E-2</v>
      </c>
    </row>
    <row r="56" spans="1:7" ht="13.5" customHeight="1" x14ac:dyDescent="0.3">
      <c r="A56" s="52">
        <v>44004</v>
      </c>
      <c r="B56" s="27">
        <v>32.35</v>
      </c>
      <c r="C56" s="53">
        <f t="shared" si="0"/>
        <v>5.5464926590538428E-2</v>
      </c>
      <c r="E56" s="52">
        <v>44004</v>
      </c>
      <c r="F56" s="54">
        <v>10311.2001953125</v>
      </c>
      <c r="G56" s="53">
        <f t="shared" si="1"/>
        <v>6.5206163504338216E-3</v>
      </c>
    </row>
    <row r="57" spans="1:7" ht="13.5" customHeight="1" x14ac:dyDescent="0.3">
      <c r="A57" s="52">
        <v>44005</v>
      </c>
      <c r="B57" s="27">
        <v>33.65</v>
      </c>
      <c r="C57" s="53">
        <f t="shared" si="0"/>
        <v>4.018547140649141E-2</v>
      </c>
      <c r="E57" s="52">
        <v>44005</v>
      </c>
      <c r="F57" s="54">
        <v>10471</v>
      </c>
      <c r="G57" s="53">
        <f t="shared" si="1"/>
        <v>1.5497691991291706E-2</v>
      </c>
    </row>
    <row r="58" spans="1:7" ht="13.5" customHeight="1" x14ac:dyDescent="0.3">
      <c r="A58" s="52">
        <v>44006</v>
      </c>
      <c r="B58" s="27">
        <v>32.25</v>
      </c>
      <c r="C58" s="53">
        <f t="shared" si="0"/>
        <v>-4.1604754829123285E-2</v>
      </c>
      <c r="E58" s="52">
        <v>44006</v>
      </c>
      <c r="F58" s="54">
        <v>10305.2998046875</v>
      </c>
      <c r="G58" s="53">
        <f t="shared" si="1"/>
        <v>-1.5824677233549803E-2</v>
      </c>
    </row>
    <row r="59" spans="1:7" ht="13.5" customHeight="1" x14ac:dyDescent="0.3">
      <c r="A59" s="52">
        <v>44007</v>
      </c>
      <c r="B59" s="27">
        <v>34.1</v>
      </c>
      <c r="C59" s="53">
        <f t="shared" si="0"/>
        <v>5.7364341085271359E-2</v>
      </c>
      <c r="E59" s="52">
        <v>44007</v>
      </c>
      <c r="F59" s="54">
        <v>10288.900390625</v>
      </c>
      <c r="G59" s="53">
        <f t="shared" si="1"/>
        <v>-1.5913572989929427E-3</v>
      </c>
    </row>
    <row r="60" spans="1:7" ht="13.5" customHeight="1" x14ac:dyDescent="0.3">
      <c r="A60" s="52">
        <v>44008</v>
      </c>
      <c r="B60" s="27">
        <v>33.5</v>
      </c>
      <c r="C60" s="53">
        <f t="shared" si="0"/>
        <v>-1.7595307917888603E-2</v>
      </c>
      <c r="E60" s="52">
        <v>44008</v>
      </c>
      <c r="F60" s="54">
        <v>10383</v>
      </c>
      <c r="G60" s="53">
        <f t="shared" si="1"/>
        <v>9.1457401473865295E-3</v>
      </c>
    </row>
    <row r="61" spans="1:7" ht="13.5" customHeight="1" x14ac:dyDescent="0.3">
      <c r="A61" s="52">
        <v>44011</v>
      </c>
      <c r="B61" s="27">
        <v>31.9</v>
      </c>
      <c r="C61" s="53">
        <f t="shared" si="0"/>
        <v>-4.7761194029850788E-2</v>
      </c>
      <c r="E61" s="52">
        <v>44011</v>
      </c>
      <c r="F61" s="54">
        <v>10312.400390625</v>
      </c>
      <c r="G61" s="53">
        <f t="shared" si="1"/>
        <v>-6.7995386087835886E-3</v>
      </c>
    </row>
    <row r="62" spans="1:7" ht="13.5" customHeight="1" x14ac:dyDescent="0.3">
      <c r="A62" s="52">
        <v>44012</v>
      </c>
      <c r="B62" s="27">
        <v>31.85</v>
      </c>
      <c r="C62" s="53">
        <f t="shared" si="0"/>
        <v>-1.5673981191221681E-3</v>
      </c>
      <c r="E62" s="52">
        <v>44012</v>
      </c>
      <c r="F62" s="54">
        <v>10302.099609375</v>
      </c>
      <c r="G62" s="53">
        <f t="shared" si="1"/>
        <v>-9.9887328457149869E-4</v>
      </c>
    </row>
    <row r="63" spans="1:7" ht="13.5" customHeight="1" x14ac:dyDescent="0.3">
      <c r="A63" s="52">
        <v>44013</v>
      </c>
      <c r="B63" s="27">
        <v>31.6</v>
      </c>
      <c r="C63" s="53">
        <f t="shared" si="0"/>
        <v>-7.8492935635792772E-3</v>
      </c>
      <c r="E63" s="52">
        <v>44013</v>
      </c>
      <c r="F63" s="54">
        <v>10430.0498046875</v>
      </c>
      <c r="G63" s="53">
        <f t="shared" si="1"/>
        <v>1.2419817334717306E-2</v>
      </c>
    </row>
    <row r="64" spans="1:7" ht="13.5" customHeight="1" x14ac:dyDescent="0.3">
      <c r="A64" s="52">
        <v>44014</v>
      </c>
      <c r="B64" s="27">
        <v>32.700000000000003</v>
      </c>
      <c r="C64" s="53">
        <f t="shared" si="0"/>
        <v>3.4810126582278528E-2</v>
      </c>
      <c r="E64" s="52">
        <v>44014</v>
      </c>
      <c r="F64" s="54">
        <v>10551.7001953125</v>
      </c>
      <c r="G64" s="53">
        <f t="shared" si="1"/>
        <v>1.1663452514898594E-2</v>
      </c>
    </row>
    <row r="65" spans="1:7" ht="13.5" customHeight="1" x14ac:dyDescent="0.3">
      <c r="A65" s="52">
        <v>44015</v>
      </c>
      <c r="B65" s="27">
        <v>32.450000000000003</v>
      </c>
      <c r="C65" s="53">
        <f t="shared" si="0"/>
        <v>-7.6452599388379195E-3</v>
      </c>
      <c r="E65" s="52">
        <v>44015</v>
      </c>
      <c r="F65" s="54">
        <v>10607.349609375</v>
      </c>
      <c r="G65" s="53">
        <f t="shared" si="1"/>
        <v>5.2739760448483703E-3</v>
      </c>
    </row>
    <row r="66" spans="1:7" ht="13.5" customHeight="1" x14ac:dyDescent="0.3">
      <c r="A66" s="52">
        <v>44018</v>
      </c>
      <c r="B66" s="27">
        <v>33.35</v>
      </c>
      <c r="C66" s="53">
        <f t="shared" si="0"/>
        <v>2.7734976887519216E-2</v>
      </c>
      <c r="E66" s="52">
        <v>44018</v>
      </c>
      <c r="F66" s="54">
        <v>10763.650390625</v>
      </c>
      <c r="G66" s="53">
        <f t="shared" si="1"/>
        <v>1.4735139974255027E-2</v>
      </c>
    </row>
    <row r="67" spans="1:7" ht="13.5" customHeight="1" x14ac:dyDescent="0.3">
      <c r="A67" s="52">
        <v>44019</v>
      </c>
      <c r="B67" s="27">
        <v>33.5</v>
      </c>
      <c r="C67" s="53">
        <f t="shared" si="0"/>
        <v>4.4977511244377382E-3</v>
      </c>
      <c r="E67" s="52">
        <v>44019</v>
      </c>
      <c r="F67" s="54">
        <v>10799.650390625</v>
      </c>
      <c r="G67" s="53">
        <f t="shared" si="1"/>
        <v>3.3445902359812369E-3</v>
      </c>
    </row>
    <row r="68" spans="1:7" ht="13.5" customHeight="1" x14ac:dyDescent="0.3">
      <c r="A68" s="52">
        <v>44020</v>
      </c>
      <c r="B68" s="27">
        <v>35.75</v>
      </c>
      <c r="C68" s="53">
        <f t="shared" si="0"/>
        <v>6.7164179104477612E-2</v>
      </c>
      <c r="E68" s="52">
        <v>44020</v>
      </c>
      <c r="F68" s="54">
        <v>10705.75</v>
      </c>
      <c r="G68" s="53">
        <f t="shared" si="1"/>
        <v>-8.6947620736420681E-3</v>
      </c>
    </row>
    <row r="69" spans="1:7" ht="13.5" customHeight="1" x14ac:dyDescent="0.3">
      <c r="A69" s="52">
        <v>44021</v>
      </c>
      <c r="B69" s="27">
        <v>36.65</v>
      </c>
      <c r="C69" s="53">
        <f t="shared" ref="C69:C132" si="2">(B69-B68)/B68</f>
        <v>2.5174825174825135E-2</v>
      </c>
      <c r="E69" s="52">
        <v>44021</v>
      </c>
      <c r="F69" s="54">
        <v>10813.4501953125</v>
      </c>
      <c r="G69" s="53">
        <f t="shared" ref="G69:G132" si="3">(F69-F68)/F68</f>
        <v>1.0060032721901781E-2</v>
      </c>
    </row>
    <row r="70" spans="1:7" ht="13.5" customHeight="1" x14ac:dyDescent="0.3">
      <c r="A70" s="52">
        <v>44022</v>
      </c>
      <c r="B70" s="27">
        <v>36.4</v>
      </c>
      <c r="C70" s="53">
        <f t="shared" si="2"/>
        <v>-6.8212824010914054E-3</v>
      </c>
      <c r="E70" s="52">
        <v>44022</v>
      </c>
      <c r="F70" s="54">
        <v>10768.0498046875</v>
      </c>
      <c r="G70" s="53">
        <f t="shared" si="3"/>
        <v>-4.198511095439319E-3</v>
      </c>
    </row>
    <row r="71" spans="1:7" ht="13.5" customHeight="1" x14ac:dyDescent="0.3">
      <c r="A71" s="52">
        <v>44025</v>
      </c>
      <c r="B71" s="27">
        <v>35.700000000000003</v>
      </c>
      <c r="C71" s="53">
        <f t="shared" si="2"/>
        <v>-1.9230769230769114E-2</v>
      </c>
      <c r="E71" s="52">
        <v>44025</v>
      </c>
      <c r="F71" s="54">
        <v>10802.7001953125</v>
      </c>
      <c r="G71" s="53">
        <f t="shared" si="3"/>
        <v>3.2178891492418752E-3</v>
      </c>
    </row>
    <row r="72" spans="1:7" ht="13.5" customHeight="1" x14ac:dyDescent="0.3">
      <c r="A72" s="52">
        <v>44026</v>
      </c>
      <c r="B72" s="27">
        <v>34</v>
      </c>
      <c r="C72" s="53">
        <f t="shared" si="2"/>
        <v>-4.7619047619047693E-2</v>
      </c>
      <c r="E72" s="52">
        <v>44026</v>
      </c>
      <c r="F72" s="54">
        <v>10607.349609375</v>
      </c>
      <c r="G72" s="53">
        <f t="shared" si="3"/>
        <v>-1.8083496015400519E-2</v>
      </c>
    </row>
    <row r="73" spans="1:7" ht="13.5" customHeight="1" x14ac:dyDescent="0.3">
      <c r="A73" s="52">
        <v>44027</v>
      </c>
      <c r="B73" s="27">
        <v>33.65</v>
      </c>
      <c r="C73" s="53">
        <f t="shared" si="2"/>
        <v>-1.0294117647058865E-2</v>
      </c>
      <c r="E73" s="52">
        <v>44027</v>
      </c>
      <c r="F73" s="54">
        <v>10618.2001953125</v>
      </c>
      <c r="G73" s="53">
        <f t="shared" si="3"/>
        <v>1.0229309240368605E-3</v>
      </c>
    </row>
    <row r="74" spans="1:7" ht="13.5" customHeight="1" x14ac:dyDescent="0.3">
      <c r="A74" s="52">
        <v>44028</v>
      </c>
      <c r="B74" s="27">
        <v>33.75</v>
      </c>
      <c r="C74" s="53">
        <f t="shared" si="2"/>
        <v>2.9717682020802801E-3</v>
      </c>
      <c r="E74" s="52">
        <v>44028</v>
      </c>
      <c r="F74" s="54">
        <v>10739.9501953125</v>
      </c>
      <c r="G74" s="53">
        <f t="shared" si="3"/>
        <v>1.1466161662100478E-2</v>
      </c>
    </row>
    <row r="75" spans="1:7" ht="13.5" customHeight="1" x14ac:dyDescent="0.3">
      <c r="A75" s="52">
        <v>44029</v>
      </c>
      <c r="B75" s="27">
        <v>34.450000000000003</v>
      </c>
      <c r="C75" s="53">
        <f t="shared" si="2"/>
        <v>2.0740740740740823E-2</v>
      </c>
      <c r="E75" s="52">
        <v>44029</v>
      </c>
      <c r="F75" s="54">
        <v>10901.7001953125</v>
      </c>
      <c r="G75" s="53">
        <f t="shared" si="3"/>
        <v>1.5060591255869745E-2</v>
      </c>
    </row>
    <row r="76" spans="1:7" ht="13.5" customHeight="1" x14ac:dyDescent="0.3">
      <c r="A76" s="52">
        <v>44032</v>
      </c>
      <c r="B76" s="27">
        <v>33.75</v>
      </c>
      <c r="C76" s="53">
        <f t="shared" si="2"/>
        <v>-2.0319303338171342E-2</v>
      </c>
      <c r="E76" s="52">
        <v>44032</v>
      </c>
      <c r="F76" s="54">
        <v>11022.2001953125</v>
      </c>
      <c r="G76" s="53">
        <f t="shared" si="3"/>
        <v>1.1053321760931606E-2</v>
      </c>
    </row>
    <row r="77" spans="1:7" ht="13.5" customHeight="1" x14ac:dyDescent="0.3">
      <c r="A77" s="52">
        <v>44033</v>
      </c>
      <c r="B77" s="27">
        <v>33.799999999999997</v>
      </c>
      <c r="C77" s="53">
        <f t="shared" si="2"/>
        <v>1.4814814814813973E-3</v>
      </c>
      <c r="E77" s="52">
        <v>44033</v>
      </c>
      <c r="F77" s="54">
        <v>11162.25</v>
      </c>
      <c r="G77" s="53">
        <f t="shared" si="3"/>
        <v>1.2706156865764434E-2</v>
      </c>
    </row>
    <row r="78" spans="1:7" ht="13.5" customHeight="1" x14ac:dyDescent="0.3">
      <c r="A78" s="52">
        <v>44034</v>
      </c>
      <c r="B78" s="27">
        <v>33.85</v>
      </c>
      <c r="C78" s="53">
        <f t="shared" si="2"/>
        <v>1.4792899408285285E-3</v>
      </c>
      <c r="E78" s="52">
        <v>44034</v>
      </c>
      <c r="F78" s="54">
        <v>11132.599609375</v>
      </c>
      <c r="G78" s="53">
        <f t="shared" si="3"/>
        <v>-2.6563094918139263E-3</v>
      </c>
    </row>
    <row r="79" spans="1:7" ht="13.5" customHeight="1" x14ac:dyDescent="0.3">
      <c r="A79" s="52">
        <v>44035</v>
      </c>
      <c r="B79" s="27">
        <v>33.950000000000003</v>
      </c>
      <c r="C79" s="53">
        <f t="shared" si="2"/>
        <v>2.9542097488922132E-3</v>
      </c>
      <c r="E79" s="52">
        <v>44035</v>
      </c>
      <c r="F79" s="54">
        <v>11215.4501953125</v>
      </c>
      <c r="G79" s="53">
        <f t="shared" si="3"/>
        <v>7.4421598588464239E-3</v>
      </c>
    </row>
    <row r="80" spans="1:7" ht="13.5" customHeight="1" x14ac:dyDescent="0.3">
      <c r="A80" s="52">
        <v>44036</v>
      </c>
      <c r="B80" s="27">
        <v>33.25</v>
      </c>
      <c r="C80" s="53">
        <f t="shared" si="2"/>
        <v>-2.0618556701031011E-2</v>
      </c>
      <c r="E80" s="52">
        <v>44036</v>
      </c>
      <c r="F80" s="54">
        <v>11194.150390625</v>
      </c>
      <c r="G80" s="53">
        <f t="shared" si="3"/>
        <v>-1.8991484351116158E-3</v>
      </c>
    </row>
    <row r="81" spans="1:7" ht="13.5" customHeight="1" x14ac:dyDescent="0.3">
      <c r="A81" s="52">
        <v>44039</v>
      </c>
      <c r="B81" s="27">
        <v>33.25</v>
      </c>
      <c r="C81" s="53">
        <f t="shared" si="2"/>
        <v>0</v>
      </c>
      <c r="E81" s="52">
        <v>44039</v>
      </c>
      <c r="F81" s="54">
        <v>11131.7998046875</v>
      </c>
      <c r="G81" s="53">
        <f t="shared" si="3"/>
        <v>-5.5699256988469672E-3</v>
      </c>
    </row>
    <row r="82" spans="1:7" ht="13.5" customHeight="1" x14ac:dyDescent="0.3">
      <c r="A82" s="52">
        <v>44040</v>
      </c>
      <c r="B82" s="27">
        <v>33.65</v>
      </c>
      <c r="C82" s="53">
        <f t="shared" si="2"/>
        <v>1.2030075187969882E-2</v>
      </c>
      <c r="E82" s="52">
        <v>44040</v>
      </c>
      <c r="F82" s="54">
        <v>11300.5498046875</v>
      </c>
      <c r="G82" s="53">
        <f t="shared" si="3"/>
        <v>1.515927369884436E-2</v>
      </c>
    </row>
    <row r="83" spans="1:7" ht="13.5" customHeight="1" x14ac:dyDescent="0.3">
      <c r="A83" s="52">
        <v>44041</v>
      </c>
      <c r="B83" s="27">
        <v>33.25</v>
      </c>
      <c r="C83" s="53">
        <f t="shared" si="2"/>
        <v>-1.1887072808320909E-2</v>
      </c>
      <c r="E83" s="52">
        <v>44041</v>
      </c>
      <c r="F83" s="54">
        <v>11202.849609375</v>
      </c>
      <c r="G83" s="53">
        <f t="shared" si="3"/>
        <v>-8.6456143286031701E-3</v>
      </c>
    </row>
    <row r="84" spans="1:7" ht="13.5" customHeight="1" x14ac:dyDescent="0.3">
      <c r="A84" s="52">
        <v>44042</v>
      </c>
      <c r="B84" s="27">
        <v>32.5</v>
      </c>
      <c r="C84" s="53">
        <f t="shared" si="2"/>
        <v>-2.2556390977443608E-2</v>
      </c>
      <c r="E84" s="52">
        <v>44042</v>
      </c>
      <c r="F84" s="54">
        <v>11102.150390625</v>
      </c>
      <c r="G84" s="53">
        <f t="shared" si="3"/>
        <v>-8.988714680747906E-3</v>
      </c>
    </row>
    <row r="85" spans="1:7" ht="13.5" customHeight="1" x14ac:dyDescent="0.3">
      <c r="A85" s="52">
        <v>44043</v>
      </c>
      <c r="B85" s="27">
        <v>32.75</v>
      </c>
      <c r="C85" s="53">
        <f t="shared" si="2"/>
        <v>7.6923076923076927E-3</v>
      </c>
      <c r="E85" s="52">
        <v>44043</v>
      </c>
      <c r="F85" s="54">
        <v>11073.4501953125</v>
      </c>
      <c r="G85" s="53">
        <f t="shared" si="3"/>
        <v>-2.5851023723057593E-3</v>
      </c>
    </row>
    <row r="86" spans="1:7" ht="13.5" customHeight="1" x14ac:dyDescent="0.3">
      <c r="A86" s="52">
        <v>44046</v>
      </c>
      <c r="B86" s="27">
        <v>32.700000000000003</v>
      </c>
      <c r="C86" s="53">
        <f t="shared" si="2"/>
        <v>-1.5267175572518216E-3</v>
      </c>
      <c r="E86" s="52">
        <v>44046</v>
      </c>
      <c r="F86" s="54">
        <v>10891.599609375</v>
      </c>
      <c r="G86" s="53">
        <f t="shared" si="3"/>
        <v>-1.6422215545294015E-2</v>
      </c>
    </row>
    <row r="87" spans="1:7" ht="13.5" customHeight="1" x14ac:dyDescent="0.3">
      <c r="A87" s="52">
        <v>44047</v>
      </c>
      <c r="B87" s="27">
        <v>32.950000000000003</v>
      </c>
      <c r="C87" s="53">
        <f t="shared" si="2"/>
        <v>7.6452599388379195E-3</v>
      </c>
      <c r="E87" s="52">
        <v>44047</v>
      </c>
      <c r="F87" s="54">
        <v>11095.25</v>
      </c>
      <c r="G87" s="53">
        <f t="shared" si="3"/>
        <v>1.8697932161379389E-2</v>
      </c>
    </row>
    <row r="88" spans="1:7" ht="13.5" customHeight="1" x14ac:dyDescent="0.3">
      <c r="A88" s="52">
        <v>44048</v>
      </c>
      <c r="B88" s="27">
        <v>34.6</v>
      </c>
      <c r="C88" s="53">
        <f t="shared" si="2"/>
        <v>5.0075872534142592E-2</v>
      </c>
      <c r="E88" s="52">
        <v>44048</v>
      </c>
      <c r="F88" s="54">
        <v>11101.650390625</v>
      </c>
      <c r="G88" s="53">
        <f t="shared" si="3"/>
        <v>5.7685862193280904E-4</v>
      </c>
    </row>
    <row r="89" spans="1:7" ht="13.5" customHeight="1" x14ac:dyDescent="0.3">
      <c r="A89" s="52">
        <v>44049</v>
      </c>
      <c r="B89" s="27">
        <v>34.85</v>
      </c>
      <c r="C89" s="53">
        <f t="shared" si="2"/>
        <v>7.2254335260115606E-3</v>
      </c>
      <c r="E89" s="52">
        <v>44049</v>
      </c>
      <c r="F89" s="54">
        <v>11200.150390625</v>
      </c>
      <c r="G89" s="53">
        <f t="shared" si="3"/>
        <v>8.872554668374371E-3</v>
      </c>
    </row>
    <row r="90" spans="1:7" ht="13.5" customHeight="1" x14ac:dyDescent="0.3">
      <c r="A90" s="52">
        <v>44050</v>
      </c>
      <c r="B90" s="27">
        <v>34.9</v>
      </c>
      <c r="C90" s="53">
        <f t="shared" si="2"/>
        <v>1.4347202295551551E-3</v>
      </c>
      <c r="E90" s="52">
        <v>44050</v>
      </c>
      <c r="F90" s="54">
        <v>11214.0498046875</v>
      </c>
      <c r="G90" s="53">
        <f t="shared" si="3"/>
        <v>1.2410024488719721E-3</v>
      </c>
    </row>
    <row r="91" spans="1:7" ht="13.5" customHeight="1" x14ac:dyDescent="0.3">
      <c r="A91" s="52">
        <v>44053</v>
      </c>
      <c r="B91" s="27">
        <v>34.799999999999997</v>
      </c>
      <c r="C91" s="53">
        <f t="shared" si="2"/>
        <v>-2.8653295128940235E-3</v>
      </c>
      <c r="E91" s="52">
        <v>44053</v>
      </c>
      <c r="F91" s="54">
        <v>11270.150390625</v>
      </c>
      <c r="G91" s="53">
        <f t="shared" si="3"/>
        <v>5.0027052594371233E-3</v>
      </c>
    </row>
    <row r="92" spans="1:7" ht="13.5" customHeight="1" x14ac:dyDescent="0.3">
      <c r="A92" s="52">
        <v>44054</v>
      </c>
      <c r="B92" s="27">
        <v>35.5</v>
      </c>
      <c r="C92" s="53">
        <f t="shared" si="2"/>
        <v>2.0114942528735715E-2</v>
      </c>
      <c r="E92" s="52">
        <v>44054</v>
      </c>
      <c r="F92" s="54">
        <v>11322.5</v>
      </c>
      <c r="G92" s="53">
        <f t="shared" si="3"/>
        <v>4.6449787767292505E-3</v>
      </c>
    </row>
    <row r="93" spans="1:7" ht="13.5" customHeight="1" x14ac:dyDescent="0.3">
      <c r="A93" s="52">
        <v>44055</v>
      </c>
      <c r="B93" s="27">
        <v>34.85</v>
      </c>
      <c r="C93" s="53">
        <f t="shared" si="2"/>
        <v>-1.8309859154929536E-2</v>
      </c>
      <c r="E93" s="52">
        <v>44055</v>
      </c>
      <c r="F93" s="54">
        <v>11308.400390625</v>
      </c>
      <c r="G93" s="53">
        <f t="shared" si="3"/>
        <v>-1.2452735151247515E-3</v>
      </c>
    </row>
    <row r="94" spans="1:7" ht="13.5" customHeight="1" x14ac:dyDescent="0.3">
      <c r="A94" s="52">
        <v>44056</v>
      </c>
      <c r="B94" s="27">
        <v>35.25</v>
      </c>
      <c r="C94" s="53">
        <f t="shared" si="2"/>
        <v>1.1477761836441853E-2</v>
      </c>
      <c r="E94" s="52">
        <v>44056</v>
      </c>
      <c r="F94" s="54">
        <v>11300.4501953125</v>
      </c>
      <c r="G94" s="53">
        <f t="shared" si="3"/>
        <v>-7.0303447330101151E-4</v>
      </c>
    </row>
    <row r="95" spans="1:7" ht="13.5" customHeight="1" x14ac:dyDescent="0.3">
      <c r="A95" s="52">
        <v>44057</v>
      </c>
      <c r="B95" s="27">
        <v>35.15</v>
      </c>
      <c r="C95" s="53">
        <f t="shared" si="2"/>
        <v>-2.836879432624154E-3</v>
      </c>
      <c r="E95" s="52">
        <v>44057</v>
      </c>
      <c r="F95" s="54">
        <v>11178.400390625</v>
      </c>
      <c r="G95" s="53">
        <f t="shared" si="3"/>
        <v>-1.0800437378868946E-2</v>
      </c>
    </row>
    <row r="96" spans="1:7" ht="13.5" customHeight="1" x14ac:dyDescent="0.3">
      <c r="A96" s="52">
        <v>44060</v>
      </c>
      <c r="B96" s="27">
        <v>35.700000000000003</v>
      </c>
      <c r="C96" s="53">
        <f t="shared" si="2"/>
        <v>1.5647226173542084E-2</v>
      </c>
      <c r="E96" s="52">
        <v>44060</v>
      </c>
      <c r="F96" s="54">
        <v>11247.099609375</v>
      </c>
      <c r="G96" s="53">
        <f t="shared" si="3"/>
        <v>6.1457110453492112E-3</v>
      </c>
    </row>
    <row r="97" spans="1:7" ht="13.5" customHeight="1" x14ac:dyDescent="0.3">
      <c r="A97" s="52">
        <v>44061</v>
      </c>
      <c r="B97" s="27">
        <v>36.200000000000003</v>
      </c>
      <c r="C97" s="53">
        <f t="shared" si="2"/>
        <v>1.4005602240896357E-2</v>
      </c>
      <c r="E97" s="52">
        <v>44061</v>
      </c>
      <c r="F97" s="54">
        <v>11385.349609375</v>
      </c>
      <c r="G97" s="53">
        <f t="shared" si="3"/>
        <v>1.2292057935075276E-2</v>
      </c>
    </row>
    <row r="98" spans="1:7" ht="13.5" customHeight="1" x14ac:dyDescent="0.3">
      <c r="A98" s="52">
        <v>44062</v>
      </c>
      <c r="B98" s="27">
        <v>38.700000000000003</v>
      </c>
      <c r="C98" s="53">
        <f t="shared" si="2"/>
        <v>6.9060773480662974E-2</v>
      </c>
      <c r="E98" s="52">
        <v>44062</v>
      </c>
      <c r="F98" s="54">
        <v>11408.400390625</v>
      </c>
      <c r="G98" s="53">
        <f t="shared" si="3"/>
        <v>2.0246002135076617E-3</v>
      </c>
    </row>
    <row r="99" spans="1:7" ht="13.5" customHeight="1" x14ac:dyDescent="0.3">
      <c r="A99" s="52">
        <v>44063</v>
      </c>
      <c r="B99" s="27">
        <v>39.200000000000003</v>
      </c>
      <c r="C99" s="53">
        <f t="shared" si="2"/>
        <v>1.2919896640826873E-2</v>
      </c>
      <c r="E99" s="52">
        <v>44063</v>
      </c>
      <c r="F99" s="54">
        <v>11312.2001953125</v>
      </c>
      <c r="G99" s="53">
        <f t="shared" si="3"/>
        <v>-8.432399987605076E-3</v>
      </c>
    </row>
    <row r="100" spans="1:7" ht="13.5" customHeight="1" x14ac:dyDescent="0.3">
      <c r="A100" s="52">
        <v>44064</v>
      </c>
      <c r="B100" s="27">
        <v>38.049999999999997</v>
      </c>
      <c r="C100" s="53">
        <f t="shared" si="2"/>
        <v>-2.9336734693877695E-2</v>
      </c>
      <c r="E100" s="52">
        <v>44064</v>
      </c>
      <c r="F100" s="54">
        <v>11371.599609375</v>
      </c>
      <c r="G100" s="53">
        <f t="shared" si="3"/>
        <v>5.2509160938571144E-3</v>
      </c>
    </row>
    <row r="101" spans="1:7" ht="13.5" customHeight="1" x14ac:dyDescent="0.3">
      <c r="A101" s="52">
        <v>44067</v>
      </c>
      <c r="B101" s="27">
        <v>37.700000000000003</v>
      </c>
      <c r="C101" s="53">
        <f t="shared" si="2"/>
        <v>-9.1984231274637139E-3</v>
      </c>
      <c r="E101" s="52">
        <v>44067</v>
      </c>
      <c r="F101" s="54">
        <v>11466.4501953125</v>
      </c>
      <c r="G101" s="53">
        <f t="shared" si="3"/>
        <v>8.341006471886599E-3</v>
      </c>
    </row>
    <row r="102" spans="1:7" ht="13.5" customHeight="1" x14ac:dyDescent="0.3">
      <c r="A102" s="52">
        <v>44068</v>
      </c>
      <c r="B102" s="27">
        <v>36.950000000000003</v>
      </c>
      <c r="C102" s="53">
        <f t="shared" si="2"/>
        <v>-1.9893899204244031E-2</v>
      </c>
      <c r="E102" s="52">
        <v>44068</v>
      </c>
      <c r="F102" s="54">
        <v>11472.25</v>
      </c>
      <c r="G102" s="53">
        <f t="shared" si="3"/>
        <v>5.0580646919575584E-4</v>
      </c>
    </row>
    <row r="103" spans="1:7" ht="13.5" customHeight="1" x14ac:dyDescent="0.3">
      <c r="A103" s="52">
        <v>44069</v>
      </c>
      <c r="B103" s="27">
        <v>37.5</v>
      </c>
      <c r="C103" s="53">
        <f t="shared" si="2"/>
        <v>1.4884979702300329E-2</v>
      </c>
      <c r="E103" s="52">
        <v>44069</v>
      </c>
      <c r="F103" s="54">
        <v>11549.599609375</v>
      </c>
      <c r="G103" s="53">
        <f t="shared" si="3"/>
        <v>6.7423225064830354E-3</v>
      </c>
    </row>
    <row r="104" spans="1:7" ht="13.5" customHeight="1" x14ac:dyDescent="0.3">
      <c r="A104" s="52">
        <v>44070</v>
      </c>
      <c r="B104" s="27">
        <v>37.1</v>
      </c>
      <c r="C104" s="53">
        <f t="shared" si="2"/>
        <v>-1.0666666666666628E-2</v>
      </c>
      <c r="E104" s="52">
        <v>44070</v>
      </c>
      <c r="F104" s="54">
        <v>11559.25</v>
      </c>
      <c r="G104" s="53">
        <f t="shared" si="3"/>
        <v>8.3556062126747827E-4</v>
      </c>
    </row>
    <row r="105" spans="1:7" ht="13.5" customHeight="1" x14ac:dyDescent="0.3">
      <c r="A105" s="52">
        <v>44071</v>
      </c>
      <c r="B105" s="27">
        <v>37.549999999999997</v>
      </c>
      <c r="C105" s="53">
        <f t="shared" si="2"/>
        <v>1.2129380053908241E-2</v>
      </c>
      <c r="E105" s="52">
        <v>44071</v>
      </c>
      <c r="F105" s="54">
        <v>11647.599609375</v>
      </c>
      <c r="G105" s="53">
        <f t="shared" si="3"/>
        <v>7.6431956549949179E-3</v>
      </c>
    </row>
    <row r="106" spans="1:7" ht="13.5" customHeight="1" x14ac:dyDescent="0.3">
      <c r="A106" s="52">
        <v>44074</v>
      </c>
      <c r="B106" s="27">
        <v>35.85</v>
      </c>
      <c r="C106" s="53">
        <f t="shared" si="2"/>
        <v>-4.5272969374167665E-2</v>
      </c>
      <c r="E106" s="52">
        <v>44074</v>
      </c>
      <c r="F106" s="54">
        <v>11387.5</v>
      </c>
      <c r="G106" s="53">
        <f t="shared" si="3"/>
        <v>-2.2330747801946185E-2</v>
      </c>
    </row>
    <row r="107" spans="1:7" ht="13.5" customHeight="1" x14ac:dyDescent="0.3">
      <c r="A107" s="52">
        <v>44075</v>
      </c>
      <c r="B107" s="27">
        <v>37.200000000000003</v>
      </c>
      <c r="C107" s="53">
        <f t="shared" si="2"/>
        <v>3.7656903765690412E-2</v>
      </c>
      <c r="E107" s="52">
        <v>44075</v>
      </c>
      <c r="F107" s="54">
        <v>11470.25</v>
      </c>
      <c r="G107" s="53">
        <f t="shared" si="3"/>
        <v>7.2667398463227223E-3</v>
      </c>
    </row>
    <row r="108" spans="1:7" ht="13.5" customHeight="1" x14ac:dyDescent="0.3">
      <c r="A108" s="52">
        <v>44076</v>
      </c>
      <c r="B108" s="27">
        <v>37.35</v>
      </c>
      <c r="C108" s="53">
        <f t="shared" si="2"/>
        <v>4.0322580645160908E-3</v>
      </c>
      <c r="E108" s="52">
        <v>44076</v>
      </c>
      <c r="F108" s="54">
        <v>11535</v>
      </c>
      <c r="G108" s="53">
        <f t="shared" si="3"/>
        <v>5.6450382511279177E-3</v>
      </c>
    </row>
    <row r="109" spans="1:7" ht="13.5" customHeight="1" x14ac:dyDescent="0.3">
      <c r="A109" s="52">
        <v>44077</v>
      </c>
      <c r="B109" s="27">
        <v>37.450000000000003</v>
      </c>
      <c r="C109" s="53">
        <f t="shared" si="2"/>
        <v>2.677376171352113E-3</v>
      </c>
      <c r="E109" s="52">
        <v>44077</v>
      </c>
      <c r="F109" s="54">
        <v>11527.4501953125</v>
      </c>
      <c r="G109" s="53">
        <f t="shared" si="3"/>
        <v>-6.5451276007802341E-4</v>
      </c>
    </row>
    <row r="110" spans="1:7" ht="13.5" customHeight="1" x14ac:dyDescent="0.3">
      <c r="A110" s="52">
        <v>44078</v>
      </c>
      <c r="B110" s="27">
        <v>36.299999999999997</v>
      </c>
      <c r="C110" s="53">
        <f t="shared" si="2"/>
        <v>-3.0707610146862633E-2</v>
      </c>
      <c r="E110" s="52">
        <v>44078</v>
      </c>
      <c r="F110" s="54">
        <v>11333.849609375</v>
      </c>
      <c r="G110" s="53">
        <f t="shared" si="3"/>
        <v>-1.6794744948559863E-2</v>
      </c>
    </row>
    <row r="111" spans="1:7" ht="13.5" customHeight="1" x14ac:dyDescent="0.3">
      <c r="A111" s="52">
        <v>44081</v>
      </c>
      <c r="B111" s="27">
        <v>36.200000000000003</v>
      </c>
      <c r="C111" s="53">
        <f t="shared" si="2"/>
        <v>-2.754820936638962E-3</v>
      </c>
      <c r="E111" s="52">
        <v>44081</v>
      </c>
      <c r="F111" s="54">
        <v>11355.0498046875</v>
      </c>
      <c r="G111" s="53">
        <f t="shared" si="3"/>
        <v>1.870520259503344E-3</v>
      </c>
    </row>
    <row r="112" spans="1:7" ht="13.5" customHeight="1" x14ac:dyDescent="0.3">
      <c r="A112" s="52">
        <v>44082</v>
      </c>
      <c r="B112" s="27">
        <v>34.700000000000003</v>
      </c>
      <c r="C112" s="53">
        <f t="shared" si="2"/>
        <v>-4.1436464088397788E-2</v>
      </c>
      <c r="E112" s="52">
        <v>44082</v>
      </c>
      <c r="F112" s="54">
        <v>11317.349609375</v>
      </c>
      <c r="G112" s="53">
        <f t="shared" si="3"/>
        <v>-3.3201259317186711E-3</v>
      </c>
    </row>
    <row r="113" spans="1:7" ht="13.5" customHeight="1" x14ac:dyDescent="0.3">
      <c r="A113" s="52">
        <v>44083</v>
      </c>
      <c r="B113" s="27">
        <v>33.799999999999997</v>
      </c>
      <c r="C113" s="53">
        <f t="shared" si="2"/>
        <v>-2.5936599423631284E-2</v>
      </c>
      <c r="E113" s="52">
        <v>44083</v>
      </c>
      <c r="F113" s="54">
        <v>11278</v>
      </c>
      <c r="G113" s="53">
        <f t="shared" si="3"/>
        <v>-3.4769279675166877E-3</v>
      </c>
    </row>
    <row r="114" spans="1:7" ht="13.5" customHeight="1" x14ac:dyDescent="0.3">
      <c r="A114" s="52">
        <v>44084</v>
      </c>
      <c r="B114" s="27">
        <v>34.4</v>
      </c>
      <c r="C114" s="53">
        <f t="shared" si="2"/>
        <v>1.775147928994087E-2</v>
      </c>
      <c r="E114" s="52">
        <v>44084</v>
      </c>
      <c r="F114" s="54">
        <v>11449.25</v>
      </c>
      <c r="G114" s="53">
        <f t="shared" si="3"/>
        <v>1.5184429863450966E-2</v>
      </c>
    </row>
    <row r="115" spans="1:7" ht="13.5" customHeight="1" x14ac:dyDescent="0.3">
      <c r="A115" s="52">
        <v>44085</v>
      </c>
      <c r="B115" s="27">
        <v>34.799999999999997</v>
      </c>
      <c r="C115" s="53">
        <f t="shared" si="2"/>
        <v>1.1627906976744146E-2</v>
      </c>
      <c r="E115" s="52">
        <v>44085</v>
      </c>
      <c r="F115" s="54">
        <v>11464.4501953125</v>
      </c>
      <c r="G115" s="53">
        <f t="shared" si="3"/>
        <v>1.3276149365678974E-3</v>
      </c>
    </row>
    <row r="116" spans="1:7" ht="13.5" customHeight="1" x14ac:dyDescent="0.3">
      <c r="A116" s="52">
        <v>44088</v>
      </c>
      <c r="B116" s="27">
        <v>35.200000000000003</v>
      </c>
      <c r="C116" s="53">
        <f t="shared" si="2"/>
        <v>1.1494252873563383E-2</v>
      </c>
      <c r="E116" s="52">
        <v>44088</v>
      </c>
      <c r="F116" s="54">
        <v>11440.0498046875</v>
      </c>
      <c r="G116" s="53">
        <f t="shared" si="3"/>
        <v>-2.1283524468514552E-3</v>
      </c>
    </row>
    <row r="117" spans="1:7" ht="13.5" customHeight="1" x14ac:dyDescent="0.3">
      <c r="A117" s="52">
        <v>44089</v>
      </c>
      <c r="B117" s="27">
        <v>34.299999999999997</v>
      </c>
      <c r="C117" s="53">
        <f t="shared" si="2"/>
        <v>-2.5568181818181976E-2</v>
      </c>
      <c r="E117" s="52">
        <v>44089</v>
      </c>
      <c r="F117" s="54">
        <v>11521.7998046875</v>
      </c>
      <c r="G117" s="53">
        <f t="shared" si="3"/>
        <v>7.1459479106903336E-3</v>
      </c>
    </row>
    <row r="118" spans="1:7" ht="13.5" customHeight="1" x14ac:dyDescent="0.3">
      <c r="A118" s="52">
        <v>44090</v>
      </c>
      <c r="B118" s="27">
        <v>34.5</v>
      </c>
      <c r="C118" s="53">
        <f t="shared" si="2"/>
        <v>5.8309037900875467E-3</v>
      </c>
      <c r="E118" s="52">
        <v>44090</v>
      </c>
      <c r="F118" s="54">
        <v>11604.5498046875</v>
      </c>
      <c r="G118" s="53">
        <f t="shared" si="3"/>
        <v>7.1820376506050903E-3</v>
      </c>
    </row>
    <row r="119" spans="1:7" ht="13.5" customHeight="1" x14ac:dyDescent="0.3">
      <c r="A119" s="52">
        <v>44091</v>
      </c>
      <c r="B119" s="27">
        <v>34.450000000000003</v>
      </c>
      <c r="C119" s="53">
        <f t="shared" si="2"/>
        <v>-1.4492753623187582E-3</v>
      </c>
      <c r="E119" s="52">
        <v>44091</v>
      </c>
      <c r="F119" s="54">
        <v>11516.099609375</v>
      </c>
      <c r="G119" s="53">
        <f t="shared" si="3"/>
        <v>-7.6220272911209138E-3</v>
      </c>
    </row>
    <row r="120" spans="1:7" ht="13.5" customHeight="1" x14ac:dyDescent="0.3">
      <c r="A120" s="52">
        <v>44092</v>
      </c>
      <c r="B120" s="27">
        <v>34.9</v>
      </c>
      <c r="C120" s="53">
        <f t="shared" si="2"/>
        <v>1.3062409288824258E-2</v>
      </c>
      <c r="E120" s="52">
        <v>44092</v>
      </c>
      <c r="F120" s="54">
        <v>11504.9501953125</v>
      </c>
      <c r="G120" s="53">
        <f t="shared" si="3"/>
        <v>-9.6815887676271147E-4</v>
      </c>
    </row>
    <row r="121" spans="1:7" ht="13.5" customHeight="1" x14ac:dyDescent="0.3">
      <c r="A121" s="52">
        <v>44095</v>
      </c>
      <c r="B121" s="27">
        <v>33.049999999999997</v>
      </c>
      <c r="C121" s="53">
        <f t="shared" si="2"/>
        <v>-5.3008595988538722E-2</v>
      </c>
      <c r="E121" s="52">
        <v>44095</v>
      </c>
      <c r="F121" s="54">
        <v>11250.5498046875</v>
      </c>
      <c r="G121" s="53">
        <f t="shared" si="3"/>
        <v>-2.2112254838673809E-2</v>
      </c>
    </row>
    <row r="122" spans="1:7" ht="13.5" customHeight="1" x14ac:dyDescent="0.3">
      <c r="A122" s="52">
        <v>44096</v>
      </c>
      <c r="B122" s="27">
        <v>31.95</v>
      </c>
      <c r="C122" s="53">
        <f t="shared" si="2"/>
        <v>-3.3282904689863779E-2</v>
      </c>
      <c r="E122" s="52">
        <v>44096</v>
      </c>
      <c r="F122" s="54">
        <v>11153.650390625</v>
      </c>
      <c r="G122" s="53">
        <f t="shared" si="3"/>
        <v>-8.6128603263573144E-3</v>
      </c>
    </row>
    <row r="123" spans="1:7" ht="13.5" customHeight="1" x14ac:dyDescent="0.3">
      <c r="A123" s="52">
        <v>44097</v>
      </c>
      <c r="B123" s="27">
        <v>31.8</v>
      </c>
      <c r="C123" s="53">
        <f t="shared" si="2"/>
        <v>-4.6948356807511296E-3</v>
      </c>
      <c r="E123" s="52">
        <v>44097</v>
      </c>
      <c r="F123" s="54">
        <v>11131.849609375</v>
      </c>
      <c r="G123" s="53">
        <f t="shared" si="3"/>
        <v>-1.9545871070447262E-3</v>
      </c>
    </row>
    <row r="124" spans="1:7" ht="13.5" customHeight="1" x14ac:dyDescent="0.3">
      <c r="A124" s="52">
        <v>44098</v>
      </c>
      <c r="B124" s="27">
        <v>30.05</v>
      </c>
      <c r="C124" s="53">
        <f t="shared" si="2"/>
        <v>-5.5031446540880505E-2</v>
      </c>
      <c r="E124" s="52">
        <v>44098</v>
      </c>
      <c r="F124" s="54">
        <v>10805.5498046875</v>
      </c>
      <c r="G124" s="53">
        <f t="shared" si="3"/>
        <v>-2.9312272096516417E-2</v>
      </c>
    </row>
    <row r="125" spans="1:7" ht="13.5" customHeight="1" x14ac:dyDescent="0.3">
      <c r="A125" s="52">
        <v>44099</v>
      </c>
      <c r="B125" s="27">
        <v>31.8</v>
      </c>
      <c r="C125" s="53">
        <f t="shared" si="2"/>
        <v>5.8236272878535771E-2</v>
      </c>
      <c r="E125" s="52">
        <v>44099</v>
      </c>
      <c r="F125" s="54">
        <v>11050.25</v>
      </c>
      <c r="G125" s="53">
        <f t="shared" si="3"/>
        <v>2.264578848235449E-2</v>
      </c>
    </row>
    <row r="126" spans="1:7" ht="13.5" customHeight="1" x14ac:dyDescent="0.3">
      <c r="A126" s="52">
        <v>44102</v>
      </c>
      <c r="B126" s="27">
        <v>32.700000000000003</v>
      </c>
      <c r="C126" s="53">
        <f t="shared" si="2"/>
        <v>2.8301886792452897E-2</v>
      </c>
      <c r="E126" s="52">
        <v>44102</v>
      </c>
      <c r="F126" s="54">
        <v>11227.5498046875</v>
      </c>
      <c r="G126" s="53">
        <f t="shared" si="3"/>
        <v>1.6044868187371327E-2</v>
      </c>
    </row>
    <row r="127" spans="1:7" ht="13.5" customHeight="1" x14ac:dyDescent="0.3">
      <c r="A127" s="52">
        <v>44103</v>
      </c>
      <c r="B127" s="27">
        <v>32.9</v>
      </c>
      <c r="C127" s="53">
        <f t="shared" si="2"/>
        <v>6.1162079510702055E-3</v>
      </c>
      <c r="E127" s="52">
        <v>44103</v>
      </c>
      <c r="F127" s="54">
        <v>11222.400390625</v>
      </c>
      <c r="G127" s="53">
        <f t="shared" si="3"/>
        <v>-4.5864094589454597E-4</v>
      </c>
    </row>
    <row r="128" spans="1:7" ht="13.5" customHeight="1" x14ac:dyDescent="0.3">
      <c r="A128" s="52">
        <v>44104</v>
      </c>
      <c r="B128" s="27">
        <v>32.25</v>
      </c>
      <c r="C128" s="53">
        <f t="shared" si="2"/>
        <v>-1.9756838905775034E-2</v>
      </c>
      <c r="E128" s="52">
        <v>44104</v>
      </c>
      <c r="F128" s="54">
        <v>11247.5498046875</v>
      </c>
      <c r="G128" s="53">
        <f t="shared" si="3"/>
        <v>2.2410013176422921E-3</v>
      </c>
    </row>
    <row r="129" spans="1:7" ht="13.5" customHeight="1" x14ac:dyDescent="0.3">
      <c r="A129" s="52">
        <v>44105</v>
      </c>
      <c r="B129" s="27">
        <v>32.15</v>
      </c>
      <c r="C129" s="53">
        <f t="shared" si="2"/>
        <v>-3.1007751937984938E-3</v>
      </c>
      <c r="E129" s="52">
        <v>44105</v>
      </c>
      <c r="F129" s="54">
        <v>11416.9501953125</v>
      </c>
      <c r="G129" s="53">
        <f t="shared" si="3"/>
        <v>1.5061092732783554E-2</v>
      </c>
    </row>
    <row r="130" spans="1:7" ht="13.5" customHeight="1" x14ac:dyDescent="0.3">
      <c r="A130" s="52">
        <v>44109</v>
      </c>
      <c r="B130" s="27">
        <v>32.25</v>
      </c>
      <c r="C130" s="53">
        <f t="shared" si="2"/>
        <v>3.110419906687447E-3</v>
      </c>
      <c r="E130" s="52">
        <v>44109</v>
      </c>
      <c r="F130" s="54">
        <v>11503.349609375</v>
      </c>
      <c r="G130" s="53">
        <f t="shared" si="3"/>
        <v>7.5676439490796176E-3</v>
      </c>
    </row>
    <row r="131" spans="1:7" ht="13.5" customHeight="1" x14ac:dyDescent="0.3">
      <c r="A131" s="52">
        <v>44110</v>
      </c>
      <c r="B131" s="27">
        <v>31.8</v>
      </c>
      <c r="C131" s="53">
        <f t="shared" si="2"/>
        <v>-1.3953488372093001E-2</v>
      </c>
      <c r="E131" s="52">
        <v>44110</v>
      </c>
      <c r="F131" s="54">
        <v>11662.400390625</v>
      </c>
      <c r="G131" s="53">
        <f t="shared" si="3"/>
        <v>1.3826475474619739E-2</v>
      </c>
    </row>
    <row r="132" spans="1:7" ht="13.5" customHeight="1" x14ac:dyDescent="0.3">
      <c r="A132" s="52">
        <v>44111</v>
      </c>
      <c r="B132" s="27">
        <v>31.4</v>
      </c>
      <c r="C132" s="53">
        <f t="shared" si="2"/>
        <v>-1.2578616352201324E-2</v>
      </c>
      <c r="E132" s="52">
        <v>44111</v>
      </c>
      <c r="F132" s="54">
        <v>11738.849609375</v>
      </c>
      <c r="G132" s="53">
        <f t="shared" si="3"/>
        <v>6.5551872847252682E-3</v>
      </c>
    </row>
    <row r="133" spans="1:7" ht="13.5" customHeight="1" x14ac:dyDescent="0.3">
      <c r="A133" s="52">
        <v>44112</v>
      </c>
      <c r="B133" s="27">
        <v>30.9</v>
      </c>
      <c r="C133" s="53">
        <f t="shared" ref="C133:C196" si="4">(B133-B132)/B132</f>
        <v>-1.5923566878980892E-2</v>
      </c>
      <c r="E133" s="52">
        <v>44112</v>
      </c>
      <c r="F133" s="54">
        <v>11834.599609375</v>
      </c>
      <c r="G133" s="53">
        <f t="shared" ref="G133:G196" si="5">(F133-F132)/F132</f>
        <v>8.1566766068398352E-3</v>
      </c>
    </row>
    <row r="134" spans="1:7" ht="13.5" customHeight="1" x14ac:dyDescent="0.3">
      <c r="A134" s="52">
        <v>44113</v>
      </c>
      <c r="B134" s="27">
        <v>31.35</v>
      </c>
      <c r="C134" s="53">
        <f t="shared" si="4"/>
        <v>1.4563106796116597E-2</v>
      </c>
      <c r="E134" s="52">
        <v>44113</v>
      </c>
      <c r="F134" s="54">
        <v>11914.2001953125</v>
      </c>
      <c r="G134" s="53">
        <f t="shared" si="5"/>
        <v>6.7260903253915667E-3</v>
      </c>
    </row>
    <row r="135" spans="1:7" ht="13.5" customHeight="1" x14ac:dyDescent="0.3">
      <c r="A135" s="52">
        <v>44116</v>
      </c>
      <c r="B135" s="27">
        <v>30.55</v>
      </c>
      <c r="C135" s="53">
        <f t="shared" si="4"/>
        <v>-2.5518341307815013E-2</v>
      </c>
      <c r="E135" s="52">
        <v>44116</v>
      </c>
      <c r="F135" s="54">
        <v>11930.9501953125</v>
      </c>
      <c r="G135" s="53">
        <f t="shared" si="5"/>
        <v>1.4058853909967107E-3</v>
      </c>
    </row>
    <row r="136" spans="1:7" ht="13.5" customHeight="1" x14ac:dyDescent="0.3">
      <c r="A136" s="52">
        <v>44117</v>
      </c>
      <c r="B136" s="27">
        <v>30.3</v>
      </c>
      <c r="C136" s="53">
        <f t="shared" si="4"/>
        <v>-8.1833060556464818E-3</v>
      </c>
      <c r="E136" s="52">
        <v>44117</v>
      </c>
      <c r="F136" s="54">
        <v>11934.5</v>
      </c>
      <c r="G136" s="53">
        <f t="shared" si="5"/>
        <v>2.9752908438882491E-4</v>
      </c>
    </row>
    <row r="137" spans="1:7" ht="13.5" customHeight="1" x14ac:dyDescent="0.3">
      <c r="A137" s="52">
        <v>44118</v>
      </c>
      <c r="B137" s="27">
        <v>29.8</v>
      </c>
      <c r="C137" s="53">
        <f t="shared" si="4"/>
        <v>-1.65016501650165E-2</v>
      </c>
      <c r="E137" s="52">
        <v>44118</v>
      </c>
      <c r="F137" s="54">
        <v>11971.0498046875</v>
      </c>
      <c r="G137" s="53">
        <f t="shared" si="5"/>
        <v>3.0625333853533873E-3</v>
      </c>
    </row>
    <row r="138" spans="1:7" ht="13.5" customHeight="1" x14ac:dyDescent="0.3">
      <c r="A138" s="52">
        <v>44119</v>
      </c>
      <c r="B138" s="27">
        <v>29.7</v>
      </c>
      <c r="C138" s="53">
        <f t="shared" si="4"/>
        <v>-3.3557046979866248E-3</v>
      </c>
      <c r="E138" s="52">
        <v>44119</v>
      </c>
      <c r="F138" s="54">
        <v>11680.349609375</v>
      </c>
      <c r="G138" s="53">
        <f t="shared" si="5"/>
        <v>-2.4283600858353342E-2</v>
      </c>
    </row>
    <row r="139" spans="1:7" ht="13.5" customHeight="1" x14ac:dyDescent="0.3">
      <c r="A139" s="52">
        <v>44120</v>
      </c>
      <c r="B139" s="27">
        <v>30.6</v>
      </c>
      <c r="C139" s="53">
        <f t="shared" si="4"/>
        <v>3.0303030303030377E-2</v>
      </c>
      <c r="E139" s="52">
        <v>44120</v>
      </c>
      <c r="F139" s="54">
        <v>11762.4501953125</v>
      </c>
      <c r="G139" s="53">
        <f t="shared" si="5"/>
        <v>7.0289493622351512E-3</v>
      </c>
    </row>
    <row r="140" spans="1:7" ht="13.5" customHeight="1" x14ac:dyDescent="0.3">
      <c r="A140" s="52">
        <v>44123</v>
      </c>
      <c r="B140" s="27">
        <v>31.4</v>
      </c>
      <c r="C140" s="53">
        <f t="shared" si="4"/>
        <v>2.614379084967311E-2</v>
      </c>
      <c r="E140" s="52">
        <v>44123</v>
      </c>
      <c r="F140" s="54">
        <v>11873.0498046875</v>
      </c>
      <c r="G140" s="53">
        <f t="shared" si="5"/>
        <v>9.4027696218493221E-3</v>
      </c>
    </row>
    <row r="141" spans="1:7" ht="13.5" customHeight="1" x14ac:dyDescent="0.3">
      <c r="A141" s="52">
        <v>44124</v>
      </c>
      <c r="B141" s="27">
        <v>31.05</v>
      </c>
      <c r="C141" s="53">
        <f t="shared" si="4"/>
        <v>-1.1146496815286558E-2</v>
      </c>
      <c r="E141" s="52">
        <v>44124</v>
      </c>
      <c r="F141" s="54">
        <v>11896.7998046875</v>
      </c>
      <c r="G141" s="53">
        <f t="shared" si="5"/>
        <v>2.000328507897226E-3</v>
      </c>
    </row>
    <row r="142" spans="1:7" ht="13.5" customHeight="1" x14ac:dyDescent="0.3">
      <c r="A142" s="52">
        <v>44125</v>
      </c>
      <c r="B142" s="27">
        <v>30.45</v>
      </c>
      <c r="C142" s="53">
        <f t="shared" si="4"/>
        <v>-1.9323671497584585E-2</v>
      </c>
      <c r="E142" s="52">
        <v>44125</v>
      </c>
      <c r="F142" s="54">
        <v>11937.650390625</v>
      </c>
      <c r="G142" s="53">
        <f t="shared" si="5"/>
        <v>3.4337457642520234E-3</v>
      </c>
    </row>
    <row r="143" spans="1:7" ht="13.5" customHeight="1" x14ac:dyDescent="0.3">
      <c r="A143" s="52">
        <v>44126</v>
      </c>
      <c r="B143" s="27">
        <v>30.25</v>
      </c>
      <c r="C143" s="53">
        <f t="shared" si="4"/>
        <v>-6.5681444991789592E-3</v>
      </c>
      <c r="E143" s="52">
        <v>44126</v>
      </c>
      <c r="F143" s="54">
        <v>11896.4501953125</v>
      </c>
      <c r="G143" s="53">
        <f t="shared" si="5"/>
        <v>-3.4512817819539903E-3</v>
      </c>
    </row>
    <row r="144" spans="1:7" ht="13.5" customHeight="1" x14ac:dyDescent="0.3">
      <c r="A144" s="52">
        <v>44127</v>
      </c>
      <c r="B144" s="27">
        <v>30.75</v>
      </c>
      <c r="C144" s="53">
        <f t="shared" si="4"/>
        <v>1.6528925619834711E-2</v>
      </c>
      <c r="E144" s="52">
        <v>44127</v>
      </c>
      <c r="F144" s="54">
        <v>11930.349609375</v>
      </c>
      <c r="G144" s="53">
        <f t="shared" si="5"/>
        <v>2.8495402835256875E-3</v>
      </c>
    </row>
    <row r="145" spans="1:7" ht="13.5" customHeight="1" x14ac:dyDescent="0.3">
      <c r="A145" s="52">
        <v>44130</v>
      </c>
      <c r="B145" s="27">
        <v>30.75</v>
      </c>
      <c r="C145" s="53">
        <f t="shared" si="4"/>
        <v>0</v>
      </c>
      <c r="E145" s="52">
        <v>44130</v>
      </c>
      <c r="F145" s="54">
        <v>11767.75</v>
      </c>
      <c r="G145" s="53">
        <f t="shared" si="5"/>
        <v>-1.3629073304543183E-2</v>
      </c>
    </row>
    <row r="146" spans="1:7" ht="13.5" customHeight="1" x14ac:dyDescent="0.3">
      <c r="A146" s="52">
        <v>44131</v>
      </c>
      <c r="B146" s="27">
        <v>30.3</v>
      </c>
      <c r="C146" s="53">
        <f t="shared" si="4"/>
        <v>-1.4634146341463391E-2</v>
      </c>
      <c r="E146" s="52">
        <v>44131</v>
      </c>
      <c r="F146" s="54">
        <v>11889.400390625</v>
      </c>
      <c r="G146" s="53">
        <f t="shared" si="5"/>
        <v>1.0337608346965222E-2</v>
      </c>
    </row>
    <row r="147" spans="1:7" ht="13.5" customHeight="1" x14ac:dyDescent="0.3">
      <c r="A147" s="52">
        <v>44132</v>
      </c>
      <c r="B147" s="27">
        <v>30.25</v>
      </c>
      <c r="C147" s="53">
        <f t="shared" si="4"/>
        <v>-1.6501650165016736E-3</v>
      </c>
      <c r="E147" s="52">
        <v>44132</v>
      </c>
      <c r="F147" s="54">
        <v>11729.599609375</v>
      </c>
      <c r="G147" s="53">
        <f t="shared" si="5"/>
        <v>-1.3440608945763632E-2</v>
      </c>
    </row>
    <row r="148" spans="1:7" ht="13.5" customHeight="1" x14ac:dyDescent="0.3">
      <c r="A148" s="52">
        <v>44133</v>
      </c>
      <c r="B148" s="27">
        <v>30.05</v>
      </c>
      <c r="C148" s="53">
        <f t="shared" si="4"/>
        <v>-6.6115702479338607E-3</v>
      </c>
      <c r="E148" s="52">
        <v>44133</v>
      </c>
      <c r="F148" s="54">
        <v>11670.7998046875</v>
      </c>
      <c r="G148" s="53">
        <f t="shared" si="5"/>
        <v>-5.012942184360979E-3</v>
      </c>
    </row>
    <row r="149" spans="1:7" ht="13.5" customHeight="1" x14ac:dyDescent="0.3">
      <c r="A149" s="52">
        <v>44134</v>
      </c>
      <c r="B149" s="27">
        <v>30.35</v>
      </c>
      <c r="C149" s="53">
        <f t="shared" si="4"/>
        <v>9.983361064891871E-3</v>
      </c>
      <c r="E149" s="52">
        <v>44134</v>
      </c>
      <c r="F149" s="54">
        <v>11642.400390625</v>
      </c>
      <c r="G149" s="53">
        <f t="shared" si="5"/>
        <v>-2.4333734223676395E-3</v>
      </c>
    </row>
    <row r="150" spans="1:7" ht="13.5" customHeight="1" x14ac:dyDescent="0.3">
      <c r="A150" s="52">
        <v>44137</v>
      </c>
      <c r="B150" s="27">
        <v>30.1</v>
      </c>
      <c r="C150" s="53">
        <f t="shared" si="4"/>
        <v>-8.2372322899505763E-3</v>
      </c>
      <c r="E150" s="52">
        <v>44137</v>
      </c>
      <c r="F150" s="54">
        <v>11669.150390625</v>
      </c>
      <c r="G150" s="53">
        <f t="shared" si="5"/>
        <v>2.2976361491175257E-3</v>
      </c>
    </row>
    <row r="151" spans="1:7" ht="13.5" customHeight="1" x14ac:dyDescent="0.3">
      <c r="A151" s="52">
        <v>44138</v>
      </c>
      <c r="B151" s="27">
        <v>30.4</v>
      </c>
      <c r="C151" s="53">
        <f t="shared" si="4"/>
        <v>9.9667774086377794E-3</v>
      </c>
      <c r="E151" s="52">
        <v>44138</v>
      </c>
      <c r="F151" s="54">
        <v>11813.5</v>
      </c>
      <c r="G151" s="53">
        <f t="shared" si="5"/>
        <v>1.2370190163199074E-2</v>
      </c>
    </row>
    <row r="152" spans="1:7" ht="13.5" customHeight="1" x14ac:dyDescent="0.3">
      <c r="A152" s="52">
        <v>44139</v>
      </c>
      <c r="B152" s="27">
        <v>30.35</v>
      </c>
      <c r="C152" s="53">
        <f t="shared" si="4"/>
        <v>-1.6447368421051698E-3</v>
      </c>
      <c r="E152" s="52">
        <v>44139</v>
      </c>
      <c r="F152" s="54">
        <v>11908.5</v>
      </c>
      <c r="G152" s="53">
        <f t="shared" si="5"/>
        <v>8.041647267956151E-3</v>
      </c>
    </row>
    <row r="153" spans="1:7" ht="13.5" customHeight="1" x14ac:dyDescent="0.3">
      <c r="A153" s="52">
        <v>44140</v>
      </c>
      <c r="B153" s="27">
        <v>32.5</v>
      </c>
      <c r="C153" s="53">
        <f t="shared" si="4"/>
        <v>7.0840197693574913E-2</v>
      </c>
      <c r="E153" s="52">
        <v>44140</v>
      </c>
      <c r="F153" s="54">
        <v>12120.2998046875</v>
      </c>
      <c r="G153" s="53">
        <f t="shared" si="5"/>
        <v>1.7785598915690475E-2</v>
      </c>
    </row>
    <row r="154" spans="1:7" ht="13.5" customHeight="1" x14ac:dyDescent="0.3">
      <c r="A154" s="52">
        <v>44141</v>
      </c>
      <c r="B154" s="27">
        <v>32.65</v>
      </c>
      <c r="C154" s="53">
        <f t="shared" si="4"/>
        <v>4.6153846153845716E-3</v>
      </c>
      <c r="E154" s="52">
        <v>44141</v>
      </c>
      <c r="F154" s="54">
        <v>12263.5498046875</v>
      </c>
      <c r="G154" s="53">
        <f t="shared" si="5"/>
        <v>1.1819014571289595E-2</v>
      </c>
    </row>
    <row r="155" spans="1:7" ht="13.5" customHeight="1" x14ac:dyDescent="0.3">
      <c r="A155" s="52">
        <v>44144</v>
      </c>
      <c r="B155" s="27">
        <v>33.200000000000003</v>
      </c>
      <c r="C155" s="53">
        <f t="shared" si="4"/>
        <v>1.6845329249617284E-2</v>
      </c>
      <c r="E155" s="52">
        <v>44144</v>
      </c>
      <c r="F155" s="54">
        <v>12461.0498046875</v>
      </c>
      <c r="G155" s="53">
        <f t="shared" si="5"/>
        <v>1.6104635537461554E-2</v>
      </c>
    </row>
    <row r="156" spans="1:7" ht="13.5" customHeight="1" x14ac:dyDescent="0.3">
      <c r="A156" s="52">
        <v>44145</v>
      </c>
      <c r="B156" s="27">
        <v>33.799999999999997</v>
      </c>
      <c r="C156" s="53">
        <f t="shared" si="4"/>
        <v>1.8072289156626332E-2</v>
      </c>
      <c r="E156" s="52">
        <v>44145</v>
      </c>
      <c r="F156" s="54">
        <v>12631.099609375</v>
      </c>
      <c r="G156" s="53">
        <f t="shared" si="5"/>
        <v>1.3646507104363872E-2</v>
      </c>
    </row>
    <row r="157" spans="1:7" ht="13.5" customHeight="1" x14ac:dyDescent="0.3">
      <c r="A157" s="52">
        <v>44146</v>
      </c>
      <c r="B157" s="27">
        <v>34.25</v>
      </c>
      <c r="C157" s="53">
        <f t="shared" si="4"/>
        <v>1.3313609467455707E-2</v>
      </c>
      <c r="E157" s="52">
        <v>44146</v>
      </c>
      <c r="F157" s="54">
        <v>12749.150390625</v>
      </c>
      <c r="G157" s="53">
        <f t="shared" si="5"/>
        <v>9.3460415087203378E-3</v>
      </c>
    </row>
    <row r="158" spans="1:7" ht="13.5" customHeight="1" x14ac:dyDescent="0.3">
      <c r="A158" s="52">
        <v>44147</v>
      </c>
      <c r="B158" s="27">
        <v>34.049999999999997</v>
      </c>
      <c r="C158" s="53">
        <f t="shared" si="4"/>
        <v>-5.8394160583942435E-3</v>
      </c>
      <c r="E158" s="52">
        <v>44147</v>
      </c>
      <c r="F158" s="54">
        <v>12690.7998046875</v>
      </c>
      <c r="G158" s="53">
        <f t="shared" si="5"/>
        <v>-4.5768215253314216E-3</v>
      </c>
    </row>
    <row r="159" spans="1:7" ht="13.5" customHeight="1" x14ac:dyDescent="0.3">
      <c r="A159" s="52">
        <v>44148</v>
      </c>
      <c r="B159" s="27">
        <v>34.799999999999997</v>
      </c>
      <c r="C159" s="53">
        <f t="shared" si="4"/>
        <v>2.2026431718061675E-2</v>
      </c>
      <c r="E159" s="52">
        <v>44148</v>
      </c>
      <c r="F159" s="54">
        <v>12719.9501953125</v>
      </c>
      <c r="G159" s="53">
        <f t="shared" si="5"/>
        <v>2.2969703307614193E-3</v>
      </c>
    </row>
    <row r="160" spans="1:7" ht="13.5" customHeight="1" x14ac:dyDescent="0.3">
      <c r="A160" s="52">
        <v>44152</v>
      </c>
      <c r="B160" s="27">
        <v>36.700000000000003</v>
      </c>
      <c r="C160" s="53">
        <f t="shared" si="4"/>
        <v>5.4597701149425457E-2</v>
      </c>
      <c r="E160" s="52">
        <v>44152</v>
      </c>
      <c r="F160" s="54">
        <v>12874.2001953125</v>
      </c>
      <c r="G160" s="53">
        <f t="shared" si="5"/>
        <v>1.2126619808373427E-2</v>
      </c>
    </row>
    <row r="161" spans="1:7" ht="13.5" customHeight="1" x14ac:dyDescent="0.3">
      <c r="A161" s="52">
        <v>44153</v>
      </c>
      <c r="B161" s="27">
        <v>35.85</v>
      </c>
      <c r="C161" s="53">
        <f t="shared" si="4"/>
        <v>-2.3160762942779328E-2</v>
      </c>
      <c r="E161" s="52">
        <v>44153</v>
      </c>
      <c r="F161" s="54">
        <v>12938.25</v>
      </c>
      <c r="G161" s="53">
        <f t="shared" si="5"/>
        <v>4.9750511655722541E-3</v>
      </c>
    </row>
    <row r="162" spans="1:7" ht="13.5" customHeight="1" x14ac:dyDescent="0.3">
      <c r="A162" s="52">
        <v>44154</v>
      </c>
      <c r="B162" s="27">
        <v>36.6</v>
      </c>
      <c r="C162" s="53">
        <f t="shared" si="4"/>
        <v>2.0920502092050208E-2</v>
      </c>
      <c r="E162" s="52">
        <v>44154</v>
      </c>
      <c r="F162" s="54">
        <v>12771.7001953125</v>
      </c>
      <c r="G162" s="53">
        <f t="shared" si="5"/>
        <v>-1.2872668613413716E-2</v>
      </c>
    </row>
    <row r="163" spans="1:7" ht="13.5" customHeight="1" x14ac:dyDescent="0.3">
      <c r="A163" s="52">
        <v>44155</v>
      </c>
      <c r="B163" s="27">
        <v>36.549999999999997</v>
      </c>
      <c r="C163" s="53">
        <f t="shared" si="4"/>
        <v>-1.3661202185793514E-3</v>
      </c>
      <c r="E163" s="52">
        <v>44155</v>
      </c>
      <c r="F163" s="54">
        <v>12859.0498046875</v>
      </c>
      <c r="G163" s="53">
        <f t="shared" si="5"/>
        <v>6.83930941371919E-3</v>
      </c>
    </row>
    <row r="164" spans="1:7" ht="13.5" customHeight="1" x14ac:dyDescent="0.3">
      <c r="A164" s="52">
        <v>44158</v>
      </c>
      <c r="B164" s="27">
        <v>36.5</v>
      </c>
      <c r="C164" s="53">
        <f t="shared" si="4"/>
        <v>-1.3679890560874737E-3</v>
      </c>
      <c r="E164" s="52">
        <v>44158</v>
      </c>
      <c r="F164" s="54">
        <v>12926.4501953125</v>
      </c>
      <c r="G164" s="53">
        <f t="shared" si="5"/>
        <v>5.241475198302023E-3</v>
      </c>
    </row>
    <row r="165" spans="1:7" ht="13.5" customHeight="1" x14ac:dyDescent="0.3">
      <c r="A165" s="52">
        <v>44159</v>
      </c>
      <c r="B165" s="27">
        <v>36.4</v>
      </c>
      <c r="C165" s="53">
        <f t="shared" si="4"/>
        <v>-2.7397260273972993E-3</v>
      </c>
      <c r="E165" s="52">
        <v>44159</v>
      </c>
      <c r="F165" s="54">
        <v>13055.150390625</v>
      </c>
      <c r="G165" s="53">
        <f t="shared" si="5"/>
        <v>9.9563448098976444E-3</v>
      </c>
    </row>
    <row r="166" spans="1:7" ht="13.5" customHeight="1" x14ac:dyDescent="0.3">
      <c r="A166" s="52">
        <v>44160</v>
      </c>
      <c r="B166" s="27">
        <v>35.75</v>
      </c>
      <c r="C166" s="53">
        <f t="shared" si="4"/>
        <v>-1.7857142857142818E-2</v>
      </c>
      <c r="E166" s="52">
        <v>44160</v>
      </c>
      <c r="F166" s="54">
        <v>12858.400390625</v>
      </c>
      <c r="G166" s="53">
        <f t="shared" si="5"/>
        <v>-1.507068046809232E-2</v>
      </c>
    </row>
    <row r="167" spans="1:7" ht="13.5" customHeight="1" x14ac:dyDescent="0.3">
      <c r="A167" s="52">
        <v>44161</v>
      </c>
      <c r="B167" s="27">
        <v>37.700000000000003</v>
      </c>
      <c r="C167" s="53">
        <f t="shared" si="4"/>
        <v>5.4545454545454626E-2</v>
      </c>
      <c r="E167" s="52">
        <v>44161</v>
      </c>
      <c r="F167" s="54">
        <v>12987</v>
      </c>
      <c r="G167" s="53">
        <f t="shared" si="5"/>
        <v>1.0001213639976662E-2</v>
      </c>
    </row>
    <row r="168" spans="1:7" ht="13.5" customHeight="1" x14ac:dyDescent="0.3">
      <c r="A168" s="52">
        <v>44162</v>
      </c>
      <c r="B168" s="27">
        <v>39.200000000000003</v>
      </c>
      <c r="C168" s="53">
        <f t="shared" si="4"/>
        <v>3.9787798408488062E-2</v>
      </c>
      <c r="E168" s="52">
        <v>44162</v>
      </c>
      <c r="F168" s="54">
        <v>12968.9501953125</v>
      </c>
      <c r="G168" s="53">
        <f t="shared" si="5"/>
        <v>-1.3898363507738507E-3</v>
      </c>
    </row>
    <row r="169" spans="1:7" ht="13.5" customHeight="1" x14ac:dyDescent="0.3">
      <c r="A169" s="52">
        <v>44166</v>
      </c>
      <c r="B169" s="27">
        <v>39.75</v>
      </c>
      <c r="C169" s="53">
        <f t="shared" si="4"/>
        <v>1.4030612244897886E-2</v>
      </c>
      <c r="E169" s="52">
        <v>44166</v>
      </c>
      <c r="F169" s="54">
        <v>13109.0498046875</v>
      </c>
      <c r="G169" s="53">
        <f t="shared" si="5"/>
        <v>1.0802694687318455E-2</v>
      </c>
    </row>
    <row r="170" spans="1:7" ht="13.5" customHeight="1" x14ac:dyDescent="0.3">
      <c r="A170" s="52">
        <v>44167</v>
      </c>
      <c r="B170" s="27">
        <v>41.5</v>
      </c>
      <c r="C170" s="53">
        <f t="shared" si="4"/>
        <v>4.40251572327044E-2</v>
      </c>
      <c r="E170" s="52">
        <v>44167</v>
      </c>
      <c r="F170" s="54">
        <v>13113.75</v>
      </c>
      <c r="G170" s="53">
        <f t="shared" si="5"/>
        <v>3.5854584295036521E-4</v>
      </c>
    </row>
    <row r="171" spans="1:7" ht="13.5" customHeight="1" x14ac:dyDescent="0.3">
      <c r="A171" s="52">
        <v>44168</v>
      </c>
      <c r="B171" s="27">
        <v>42.05</v>
      </c>
      <c r="C171" s="53">
        <f t="shared" si="4"/>
        <v>1.3253012048192703E-2</v>
      </c>
      <c r="E171" s="52">
        <v>44168</v>
      </c>
      <c r="F171" s="54">
        <v>13133.900390625</v>
      </c>
      <c r="G171" s="53">
        <f t="shared" si="5"/>
        <v>1.5365849299399485E-3</v>
      </c>
    </row>
    <row r="172" spans="1:7" ht="13.5" customHeight="1" x14ac:dyDescent="0.3">
      <c r="A172" s="52">
        <v>44169</v>
      </c>
      <c r="B172" s="27">
        <v>42.25</v>
      </c>
      <c r="C172" s="53">
        <f t="shared" si="4"/>
        <v>4.756242568371055E-3</v>
      </c>
      <c r="E172" s="52">
        <v>44169</v>
      </c>
      <c r="F172" s="54">
        <v>13258.5498046875</v>
      </c>
      <c r="G172" s="53">
        <f t="shared" si="5"/>
        <v>9.4906623588736031E-3</v>
      </c>
    </row>
    <row r="173" spans="1:7" ht="13.5" customHeight="1" x14ac:dyDescent="0.3">
      <c r="A173" s="52">
        <v>44172</v>
      </c>
      <c r="B173" s="27">
        <v>43.1</v>
      </c>
      <c r="C173" s="53">
        <f t="shared" si="4"/>
        <v>2.0118343195266307E-2</v>
      </c>
      <c r="E173" s="52">
        <v>44172</v>
      </c>
      <c r="F173" s="54">
        <v>13355.75</v>
      </c>
      <c r="G173" s="53">
        <f t="shared" si="5"/>
        <v>7.3311332494399436E-3</v>
      </c>
    </row>
    <row r="174" spans="1:7" ht="13.5" customHeight="1" x14ac:dyDescent="0.3">
      <c r="A174" s="52">
        <v>44173</v>
      </c>
      <c r="B174" s="27">
        <v>42.4</v>
      </c>
      <c r="C174" s="53">
        <f t="shared" si="4"/>
        <v>-1.6241299303944381E-2</v>
      </c>
      <c r="E174" s="52">
        <v>44173</v>
      </c>
      <c r="F174" s="54">
        <v>13392.9501953125</v>
      </c>
      <c r="G174" s="53">
        <f t="shared" si="5"/>
        <v>2.7853318093330587E-3</v>
      </c>
    </row>
    <row r="175" spans="1:7" ht="13.5" customHeight="1" x14ac:dyDescent="0.3">
      <c r="A175" s="52">
        <v>44174</v>
      </c>
      <c r="B175" s="27">
        <v>42.1</v>
      </c>
      <c r="C175" s="53">
        <f t="shared" si="4"/>
        <v>-7.0754716981131409E-3</v>
      </c>
      <c r="E175" s="52">
        <v>44174</v>
      </c>
      <c r="F175" s="54">
        <v>13529.099609375</v>
      </c>
      <c r="G175" s="53">
        <f t="shared" si="5"/>
        <v>1.0165752285866931E-2</v>
      </c>
    </row>
    <row r="176" spans="1:7" ht="13.5" customHeight="1" x14ac:dyDescent="0.3">
      <c r="A176" s="52">
        <v>44175</v>
      </c>
      <c r="B176" s="27">
        <v>41.8</v>
      </c>
      <c r="C176" s="53">
        <f t="shared" si="4"/>
        <v>-7.1258907363421437E-3</v>
      </c>
      <c r="E176" s="52">
        <v>44175</v>
      </c>
      <c r="F176" s="54">
        <v>13478.2998046875</v>
      </c>
      <c r="G176" s="53">
        <f t="shared" si="5"/>
        <v>-3.7548548058806688E-3</v>
      </c>
    </row>
    <row r="177" spans="1:7" ht="13.5" customHeight="1" x14ac:dyDescent="0.3">
      <c r="A177" s="52">
        <v>44176</v>
      </c>
      <c r="B177" s="27">
        <v>42.7</v>
      </c>
      <c r="C177" s="53">
        <f t="shared" si="4"/>
        <v>2.1531100478469036E-2</v>
      </c>
      <c r="E177" s="52">
        <v>44176</v>
      </c>
      <c r="F177" s="54">
        <v>13513.849609375</v>
      </c>
      <c r="G177" s="53">
        <f t="shared" si="5"/>
        <v>2.6375585350265351E-3</v>
      </c>
    </row>
    <row r="178" spans="1:7" ht="13.5" customHeight="1" x14ac:dyDescent="0.3">
      <c r="A178" s="52">
        <v>44179</v>
      </c>
      <c r="B178" s="27">
        <v>43.1</v>
      </c>
      <c r="C178" s="53">
        <f t="shared" si="4"/>
        <v>9.3676814988290051E-3</v>
      </c>
      <c r="E178" s="52">
        <v>44179</v>
      </c>
      <c r="F178" s="54">
        <v>13558.150390625</v>
      </c>
      <c r="G178" s="53">
        <f t="shared" si="5"/>
        <v>3.2781762806703943E-3</v>
      </c>
    </row>
    <row r="179" spans="1:7" ht="13.5" customHeight="1" x14ac:dyDescent="0.3">
      <c r="A179" s="52">
        <v>44180</v>
      </c>
      <c r="B179" s="27">
        <v>42.9</v>
      </c>
      <c r="C179" s="53">
        <f t="shared" si="4"/>
        <v>-4.6403712296984416E-3</v>
      </c>
      <c r="E179" s="52">
        <v>44180</v>
      </c>
      <c r="F179" s="54">
        <v>13567.849609375</v>
      </c>
      <c r="G179" s="53">
        <f t="shared" si="5"/>
        <v>7.1537919779284052E-4</v>
      </c>
    </row>
    <row r="180" spans="1:7" ht="13.5" customHeight="1" x14ac:dyDescent="0.3">
      <c r="A180" s="52">
        <v>44181</v>
      </c>
      <c r="B180" s="27">
        <v>44.35</v>
      </c>
      <c r="C180" s="53">
        <f t="shared" si="4"/>
        <v>3.3799533799533869E-2</v>
      </c>
      <c r="E180" s="52">
        <v>44181</v>
      </c>
      <c r="F180" s="54">
        <v>13682.7001953125</v>
      </c>
      <c r="G180" s="53">
        <f t="shared" si="5"/>
        <v>8.4649070592691042E-3</v>
      </c>
    </row>
    <row r="181" spans="1:7" ht="13.5" customHeight="1" x14ac:dyDescent="0.3">
      <c r="A181" s="52">
        <v>44182</v>
      </c>
      <c r="B181" s="27">
        <v>43.35</v>
      </c>
      <c r="C181" s="53">
        <f t="shared" si="4"/>
        <v>-2.2547914317925591E-2</v>
      </c>
      <c r="E181" s="52">
        <v>44182</v>
      </c>
      <c r="F181" s="54">
        <v>13740.7001953125</v>
      </c>
      <c r="G181" s="53">
        <f t="shared" si="5"/>
        <v>4.2389293905504104E-3</v>
      </c>
    </row>
    <row r="182" spans="1:7" ht="13.5" customHeight="1" x14ac:dyDescent="0.3">
      <c r="A182" s="52">
        <v>44183</v>
      </c>
      <c r="B182" s="27">
        <v>43.7</v>
      </c>
      <c r="C182" s="53">
        <f t="shared" si="4"/>
        <v>8.0738177623991096E-3</v>
      </c>
      <c r="E182" s="52">
        <v>44183</v>
      </c>
      <c r="F182" s="54">
        <v>13760.5498046875</v>
      </c>
      <c r="G182" s="53">
        <f t="shared" si="5"/>
        <v>1.4445849987885983E-3</v>
      </c>
    </row>
    <row r="183" spans="1:7" ht="13.5" customHeight="1" x14ac:dyDescent="0.3">
      <c r="A183" s="52">
        <v>44186</v>
      </c>
      <c r="B183" s="27">
        <v>39.200000000000003</v>
      </c>
      <c r="C183" s="53">
        <f t="shared" si="4"/>
        <v>-0.10297482837528603</v>
      </c>
      <c r="E183" s="52">
        <v>44186</v>
      </c>
      <c r="F183" s="54">
        <v>13328.400390625</v>
      </c>
      <c r="G183" s="53">
        <f t="shared" si="5"/>
        <v>-3.1404952577933277E-2</v>
      </c>
    </row>
    <row r="184" spans="1:7" ht="13.5" customHeight="1" x14ac:dyDescent="0.3">
      <c r="A184" s="52">
        <v>44187</v>
      </c>
      <c r="B184" s="27">
        <v>39.799999999999997</v>
      </c>
      <c r="C184" s="53">
        <f t="shared" si="4"/>
        <v>1.5306122448979446E-2</v>
      </c>
      <c r="E184" s="52">
        <v>44187</v>
      </c>
      <c r="F184" s="54">
        <v>13466.2998046875</v>
      </c>
      <c r="G184" s="53">
        <f t="shared" si="5"/>
        <v>1.034628387660806E-2</v>
      </c>
    </row>
    <row r="185" spans="1:7" ht="13.5" customHeight="1" x14ac:dyDescent="0.3">
      <c r="A185" s="52">
        <v>44188</v>
      </c>
      <c r="B185" s="27">
        <v>41.05</v>
      </c>
      <c r="C185" s="53">
        <f t="shared" si="4"/>
        <v>3.1407035175879401E-2</v>
      </c>
      <c r="E185" s="52">
        <v>44188</v>
      </c>
      <c r="F185" s="54">
        <v>13601.099609375</v>
      </c>
      <c r="G185" s="53">
        <f t="shared" si="5"/>
        <v>1.0010159185716136E-2</v>
      </c>
    </row>
    <row r="186" spans="1:7" ht="13.5" customHeight="1" x14ac:dyDescent="0.3">
      <c r="A186" s="52">
        <v>44189</v>
      </c>
      <c r="B186" s="27">
        <v>40.9</v>
      </c>
      <c r="C186" s="53">
        <f t="shared" si="4"/>
        <v>-3.6540803897685404E-3</v>
      </c>
      <c r="E186" s="52">
        <v>44189</v>
      </c>
      <c r="F186" s="54">
        <v>13749.25</v>
      </c>
      <c r="G186" s="53">
        <f t="shared" si="5"/>
        <v>1.0892530374741357E-2</v>
      </c>
    </row>
    <row r="187" spans="1:7" ht="13.5" customHeight="1" x14ac:dyDescent="0.3">
      <c r="A187" s="52">
        <v>44193</v>
      </c>
      <c r="B187" s="27">
        <v>42.55</v>
      </c>
      <c r="C187" s="53">
        <f t="shared" si="4"/>
        <v>4.0342298288508521E-2</v>
      </c>
      <c r="E187" s="52">
        <v>44193</v>
      </c>
      <c r="F187" s="54">
        <v>13873.2001953125</v>
      </c>
      <c r="G187" s="53">
        <f t="shared" si="5"/>
        <v>9.0150513891666811E-3</v>
      </c>
    </row>
    <row r="188" spans="1:7" ht="13.5" customHeight="1" x14ac:dyDescent="0.3">
      <c r="A188" s="52">
        <v>44194</v>
      </c>
      <c r="B188" s="27">
        <v>42.1</v>
      </c>
      <c r="C188" s="53">
        <f t="shared" si="4"/>
        <v>-1.0575793184488737E-2</v>
      </c>
      <c r="E188" s="52">
        <v>44194</v>
      </c>
      <c r="F188" s="54">
        <v>13932.599609375</v>
      </c>
      <c r="G188" s="53">
        <f t="shared" si="5"/>
        <v>4.281594241144878E-3</v>
      </c>
    </row>
    <row r="189" spans="1:7" ht="13.5" customHeight="1" x14ac:dyDescent="0.3">
      <c r="A189" s="52">
        <v>44195</v>
      </c>
      <c r="B189" s="27">
        <v>41.55</v>
      </c>
      <c r="C189" s="53">
        <f t="shared" si="4"/>
        <v>-1.3064133016627179E-2</v>
      </c>
      <c r="E189" s="52">
        <v>44195</v>
      </c>
      <c r="F189" s="54">
        <v>13981.9501953125</v>
      </c>
      <c r="G189" s="53">
        <f t="shared" si="5"/>
        <v>3.542094606974341E-3</v>
      </c>
    </row>
    <row r="190" spans="1:7" ht="13.5" customHeight="1" x14ac:dyDescent="0.3">
      <c r="A190" s="52">
        <v>44196</v>
      </c>
      <c r="B190" s="27">
        <v>43.1</v>
      </c>
      <c r="C190" s="53">
        <f t="shared" si="4"/>
        <v>3.7304452466907445E-2</v>
      </c>
      <c r="E190" s="52">
        <v>44196</v>
      </c>
      <c r="F190" s="54">
        <v>13981.75</v>
      </c>
      <c r="G190" s="53">
        <f t="shared" si="5"/>
        <v>-1.4318125133010144E-5</v>
      </c>
    </row>
    <row r="191" spans="1:7" ht="13.5" customHeight="1" x14ac:dyDescent="0.3">
      <c r="A191" s="52">
        <v>44197</v>
      </c>
      <c r="B191" s="27">
        <v>44.35</v>
      </c>
      <c r="C191" s="53">
        <f t="shared" si="4"/>
        <v>2.9002320185614848E-2</v>
      </c>
      <c r="E191" s="52">
        <v>44197</v>
      </c>
      <c r="F191" s="54">
        <v>14018.5</v>
      </c>
      <c r="G191" s="53">
        <f t="shared" si="5"/>
        <v>2.6284263414808589E-3</v>
      </c>
    </row>
    <row r="192" spans="1:7" ht="13.5" customHeight="1" x14ac:dyDescent="0.3">
      <c r="A192" s="52">
        <v>44200</v>
      </c>
      <c r="B192" s="27">
        <v>47.05</v>
      </c>
      <c r="C192" s="53">
        <f t="shared" si="4"/>
        <v>6.0879368658398998E-2</v>
      </c>
      <c r="E192" s="52">
        <v>44200</v>
      </c>
      <c r="F192" s="54">
        <v>14132.900390625</v>
      </c>
      <c r="G192" s="53">
        <f t="shared" si="5"/>
        <v>8.1606727271106034E-3</v>
      </c>
    </row>
    <row r="193" spans="1:7" ht="13.5" customHeight="1" x14ac:dyDescent="0.3">
      <c r="A193" s="52">
        <v>44201</v>
      </c>
      <c r="B193" s="27">
        <v>46.25</v>
      </c>
      <c r="C193" s="53">
        <f t="shared" si="4"/>
        <v>-1.7003188097768272E-2</v>
      </c>
      <c r="E193" s="52">
        <v>44201</v>
      </c>
      <c r="F193" s="54">
        <v>14199.5</v>
      </c>
      <c r="G193" s="53">
        <f t="shared" si="5"/>
        <v>4.7123808655142414E-3</v>
      </c>
    </row>
    <row r="194" spans="1:7" ht="13.5" customHeight="1" x14ac:dyDescent="0.3">
      <c r="A194" s="52">
        <v>44202</v>
      </c>
      <c r="B194" s="27">
        <v>47.1</v>
      </c>
      <c r="C194" s="53">
        <f t="shared" si="4"/>
        <v>1.8378378378378409E-2</v>
      </c>
      <c r="E194" s="52">
        <v>44202</v>
      </c>
      <c r="F194" s="54">
        <v>14146.25</v>
      </c>
      <c r="G194" s="53">
        <f t="shared" si="5"/>
        <v>-3.7501320469030598E-3</v>
      </c>
    </row>
    <row r="195" spans="1:7" ht="13.5" customHeight="1" x14ac:dyDescent="0.3">
      <c r="A195" s="52">
        <v>44203</v>
      </c>
      <c r="B195" s="27">
        <v>48.1</v>
      </c>
      <c r="C195" s="53">
        <f t="shared" si="4"/>
        <v>2.1231422505307854E-2</v>
      </c>
      <c r="E195" s="52">
        <v>44203</v>
      </c>
      <c r="F195" s="54">
        <v>14137.349609375</v>
      </c>
      <c r="G195" s="53">
        <f t="shared" si="5"/>
        <v>-6.2916961208800914E-4</v>
      </c>
    </row>
    <row r="196" spans="1:7" ht="13.5" customHeight="1" x14ac:dyDescent="0.3">
      <c r="A196" s="52">
        <v>44204</v>
      </c>
      <c r="B196" s="27">
        <v>47.85</v>
      </c>
      <c r="C196" s="53">
        <f t="shared" si="4"/>
        <v>-5.1975051975051969E-3</v>
      </c>
      <c r="E196" s="52">
        <v>44204</v>
      </c>
      <c r="F196" s="54">
        <v>14347.25</v>
      </c>
      <c r="G196" s="53">
        <f t="shared" si="5"/>
        <v>1.4847223590326102E-2</v>
      </c>
    </row>
    <row r="197" spans="1:7" ht="13.5" customHeight="1" x14ac:dyDescent="0.3">
      <c r="A197" s="52">
        <v>44207</v>
      </c>
      <c r="B197" s="27">
        <v>46.75</v>
      </c>
      <c r="C197" s="53">
        <f t="shared" ref="C197:C260" si="6">(B197-B196)/B196</f>
        <v>-2.2988505747126464E-2</v>
      </c>
      <c r="E197" s="52">
        <v>44207</v>
      </c>
      <c r="F197" s="54">
        <v>14484.75</v>
      </c>
      <c r="G197" s="53">
        <f t="shared" ref="G197:G260" si="7">(F197-F196)/F196</f>
        <v>9.5837181341372046E-3</v>
      </c>
    </row>
    <row r="198" spans="1:7" ht="13.5" customHeight="1" x14ac:dyDescent="0.3">
      <c r="A198" s="52">
        <v>44208</v>
      </c>
      <c r="B198" s="27">
        <v>47.7</v>
      </c>
      <c r="C198" s="53">
        <f t="shared" si="6"/>
        <v>2.0320855614973325E-2</v>
      </c>
      <c r="E198" s="52">
        <v>44208</v>
      </c>
      <c r="F198" s="54">
        <v>14563.4501953125</v>
      </c>
      <c r="G198" s="53">
        <f t="shared" si="7"/>
        <v>5.4333140242323824E-3</v>
      </c>
    </row>
    <row r="199" spans="1:7" ht="13.5" customHeight="1" x14ac:dyDescent="0.3">
      <c r="A199" s="52">
        <v>44209</v>
      </c>
      <c r="B199" s="27">
        <v>46.75</v>
      </c>
      <c r="C199" s="53">
        <f t="shared" si="6"/>
        <v>-1.9916142557652051E-2</v>
      </c>
      <c r="E199" s="52">
        <v>44209</v>
      </c>
      <c r="F199" s="54">
        <v>14564.849609375</v>
      </c>
      <c r="G199" s="53">
        <f t="shared" si="7"/>
        <v>9.6090833128981056E-5</v>
      </c>
    </row>
    <row r="200" spans="1:7" ht="13.5" customHeight="1" x14ac:dyDescent="0.3">
      <c r="A200" s="52">
        <v>44210</v>
      </c>
      <c r="B200" s="27">
        <v>46</v>
      </c>
      <c r="C200" s="53">
        <f t="shared" si="6"/>
        <v>-1.6042780748663103E-2</v>
      </c>
      <c r="E200" s="52">
        <v>44210</v>
      </c>
      <c r="F200" s="54">
        <v>14595.599609375</v>
      </c>
      <c r="G200" s="53">
        <f t="shared" si="7"/>
        <v>2.1112473403231747E-3</v>
      </c>
    </row>
    <row r="201" spans="1:7" ht="13.5" customHeight="1" x14ac:dyDescent="0.3">
      <c r="A201" s="52">
        <v>44211</v>
      </c>
      <c r="B201" s="27">
        <v>45.35</v>
      </c>
      <c r="C201" s="53">
        <f t="shared" si="6"/>
        <v>-1.4130434782608664E-2</v>
      </c>
      <c r="E201" s="52">
        <v>44211</v>
      </c>
      <c r="F201" s="54">
        <v>14433.7001953125</v>
      </c>
      <c r="G201" s="53">
        <f t="shared" si="7"/>
        <v>-1.1092344158201577E-2</v>
      </c>
    </row>
    <row r="202" spans="1:7" ht="13.5" customHeight="1" x14ac:dyDescent="0.3">
      <c r="A202" s="52">
        <v>44214</v>
      </c>
      <c r="B202" s="27">
        <v>43.45</v>
      </c>
      <c r="C202" s="53">
        <f t="shared" si="6"/>
        <v>-4.1896361631752997E-2</v>
      </c>
      <c r="E202" s="52">
        <v>44214</v>
      </c>
      <c r="F202" s="54">
        <v>14281.2998046875</v>
      </c>
      <c r="G202" s="53">
        <f t="shared" si="7"/>
        <v>-1.0558650142566607E-2</v>
      </c>
    </row>
    <row r="203" spans="1:7" ht="13.5" customHeight="1" x14ac:dyDescent="0.3">
      <c r="A203" s="52">
        <v>44215</v>
      </c>
      <c r="B203" s="27">
        <v>44.95</v>
      </c>
      <c r="C203" s="53">
        <f t="shared" si="6"/>
        <v>3.4522439585730723E-2</v>
      </c>
      <c r="E203" s="52">
        <v>44215</v>
      </c>
      <c r="F203" s="54">
        <v>14521.150390625</v>
      </c>
      <c r="G203" s="53">
        <f t="shared" si="7"/>
        <v>1.6794730817062932E-2</v>
      </c>
    </row>
    <row r="204" spans="1:7" ht="13.5" customHeight="1" x14ac:dyDescent="0.3">
      <c r="A204" s="52">
        <v>44216</v>
      </c>
      <c r="B204" s="27">
        <v>45.55</v>
      </c>
      <c r="C204" s="53">
        <f t="shared" si="6"/>
        <v>1.334816462736361E-2</v>
      </c>
      <c r="E204" s="52">
        <v>44216</v>
      </c>
      <c r="F204" s="54">
        <v>14644.7001953125</v>
      </c>
      <c r="G204" s="53">
        <f t="shared" si="7"/>
        <v>8.5082656238630369E-3</v>
      </c>
    </row>
    <row r="205" spans="1:7" ht="13.5" customHeight="1" x14ac:dyDescent="0.3">
      <c r="A205" s="52">
        <v>44217</v>
      </c>
      <c r="B205" s="27">
        <v>47.8</v>
      </c>
      <c r="C205" s="53">
        <f t="shared" si="6"/>
        <v>4.9396267837541169E-2</v>
      </c>
      <c r="E205" s="52">
        <v>44217</v>
      </c>
      <c r="F205" s="54">
        <v>14590.349609375</v>
      </c>
      <c r="G205" s="53">
        <f t="shared" si="7"/>
        <v>-3.7112802046228729E-3</v>
      </c>
    </row>
    <row r="206" spans="1:7" ht="13.5" customHeight="1" x14ac:dyDescent="0.3">
      <c r="A206" s="52">
        <v>44218</v>
      </c>
      <c r="B206" s="27">
        <v>46.6</v>
      </c>
      <c r="C206" s="53">
        <f t="shared" si="6"/>
        <v>-2.5104602510460164E-2</v>
      </c>
      <c r="E206" s="52">
        <v>44218</v>
      </c>
      <c r="F206" s="54">
        <v>14371.900390625</v>
      </c>
      <c r="G206" s="53">
        <f t="shared" si="7"/>
        <v>-1.4972171647596155E-2</v>
      </c>
    </row>
    <row r="207" spans="1:7" ht="13.5" customHeight="1" x14ac:dyDescent="0.3">
      <c r="A207" s="52">
        <v>44221</v>
      </c>
      <c r="B207" s="27">
        <v>46.15</v>
      </c>
      <c r="C207" s="53">
        <f t="shared" si="6"/>
        <v>-9.656652360515083E-3</v>
      </c>
      <c r="E207" s="52">
        <v>44221</v>
      </c>
      <c r="F207" s="54">
        <v>14238.900390625</v>
      </c>
      <c r="G207" s="53">
        <f t="shared" si="7"/>
        <v>-9.2541693433081298E-3</v>
      </c>
    </row>
    <row r="208" spans="1:7" ht="13.5" customHeight="1" x14ac:dyDescent="0.3">
      <c r="A208" s="52">
        <v>44223</v>
      </c>
      <c r="B208" s="27">
        <v>47.9</v>
      </c>
      <c r="C208" s="53">
        <f t="shared" si="6"/>
        <v>3.7919826652221017E-2</v>
      </c>
      <c r="E208" s="52">
        <v>44223</v>
      </c>
      <c r="F208" s="54">
        <v>13967.5</v>
      </c>
      <c r="G208" s="53">
        <f t="shared" si="7"/>
        <v>-1.9060488041878015E-2</v>
      </c>
    </row>
    <row r="209" spans="1:7" ht="13.5" customHeight="1" x14ac:dyDescent="0.3">
      <c r="A209" s="52">
        <v>44224</v>
      </c>
      <c r="B209" s="27">
        <v>47</v>
      </c>
      <c r="C209" s="53">
        <f t="shared" si="6"/>
        <v>-1.8789144050104355E-2</v>
      </c>
      <c r="E209" s="52">
        <v>44224</v>
      </c>
      <c r="F209" s="54">
        <v>13817.5498046875</v>
      </c>
      <c r="G209" s="53">
        <f t="shared" si="7"/>
        <v>-1.0735650281904421E-2</v>
      </c>
    </row>
    <row r="210" spans="1:7" ht="13.5" customHeight="1" x14ac:dyDescent="0.3">
      <c r="A210" s="52">
        <v>44225</v>
      </c>
      <c r="B210" s="27">
        <v>47.9</v>
      </c>
      <c r="C210" s="53">
        <f t="shared" si="6"/>
        <v>1.9148936170212735E-2</v>
      </c>
      <c r="E210" s="52">
        <v>44225</v>
      </c>
      <c r="F210" s="54">
        <v>13634.599609375</v>
      </c>
      <c r="G210" s="53">
        <f t="shared" si="7"/>
        <v>-1.3240422354072899E-2</v>
      </c>
    </row>
    <row r="211" spans="1:7" ht="13.5" customHeight="1" x14ac:dyDescent="0.3">
      <c r="A211" s="52">
        <v>44228</v>
      </c>
      <c r="B211" s="27">
        <v>49.3</v>
      </c>
      <c r="C211" s="53">
        <f t="shared" si="6"/>
        <v>2.9227557411273457E-2</v>
      </c>
      <c r="E211" s="52">
        <v>44228</v>
      </c>
      <c r="F211" s="54">
        <v>14281.2001953125</v>
      </c>
      <c r="G211" s="53">
        <f t="shared" si="7"/>
        <v>4.7423511101338432E-2</v>
      </c>
    </row>
    <row r="212" spans="1:7" ht="13.5" customHeight="1" x14ac:dyDescent="0.3">
      <c r="A212" s="52">
        <v>44229</v>
      </c>
      <c r="B212" s="27">
        <v>50.45</v>
      </c>
      <c r="C212" s="53">
        <f t="shared" si="6"/>
        <v>2.3326572008113708E-2</v>
      </c>
      <c r="E212" s="52">
        <v>44229</v>
      </c>
      <c r="F212" s="54">
        <v>14647.849609375</v>
      </c>
      <c r="G212" s="53">
        <f t="shared" si="7"/>
        <v>2.5673571481957438E-2</v>
      </c>
    </row>
    <row r="213" spans="1:7" ht="13.5" customHeight="1" x14ac:dyDescent="0.3">
      <c r="A213" s="52">
        <v>44230</v>
      </c>
      <c r="B213" s="27">
        <v>50.9</v>
      </c>
      <c r="C213" s="53">
        <f t="shared" si="6"/>
        <v>8.9197224975222141E-3</v>
      </c>
      <c r="E213" s="52">
        <v>44230</v>
      </c>
      <c r="F213" s="54">
        <v>14789.9501953125</v>
      </c>
      <c r="G213" s="53">
        <f t="shared" si="7"/>
        <v>9.7011226717232252E-3</v>
      </c>
    </row>
    <row r="214" spans="1:7" ht="13.5" customHeight="1" x14ac:dyDescent="0.3">
      <c r="A214" s="52">
        <v>44231</v>
      </c>
      <c r="B214" s="27">
        <v>51.65</v>
      </c>
      <c r="C214" s="53">
        <f t="shared" si="6"/>
        <v>1.4734774066797643E-2</v>
      </c>
      <c r="E214" s="52">
        <v>44231</v>
      </c>
      <c r="F214" s="54">
        <v>14895.650390625</v>
      </c>
      <c r="G214" s="53">
        <f t="shared" si="7"/>
        <v>7.146758029381358E-3</v>
      </c>
    </row>
    <row r="215" spans="1:7" ht="13.5" customHeight="1" x14ac:dyDescent="0.3">
      <c r="A215" s="52">
        <v>44232</v>
      </c>
      <c r="B215" s="27">
        <v>50.2</v>
      </c>
      <c r="C215" s="53">
        <f t="shared" si="6"/>
        <v>-2.807357212003864E-2</v>
      </c>
      <c r="E215" s="52">
        <v>44232</v>
      </c>
      <c r="F215" s="54">
        <v>14924.25</v>
      </c>
      <c r="G215" s="53">
        <f t="shared" si="7"/>
        <v>1.919997356610892E-3</v>
      </c>
    </row>
    <row r="216" spans="1:7" ht="13.5" customHeight="1" x14ac:dyDescent="0.3">
      <c r="A216" s="52">
        <v>44235</v>
      </c>
      <c r="B216" s="27">
        <v>50.55</v>
      </c>
      <c r="C216" s="53">
        <f t="shared" si="6"/>
        <v>6.9721115537847468E-3</v>
      </c>
      <c r="E216" s="52">
        <v>44235</v>
      </c>
      <c r="F216" s="54">
        <v>15115.7998046875</v>
      </c>
      <c r="G216" s="53">
        <f t="shared" si="7"/>
        <v>1.2834802732968156E-2</v>
      </c>
    </row>
    <row r="217" spans="1:7" ht="13.5" customHeight="1" x14ac:dyDescent="0.3">
      <c r="A217" s="52">
        <v>44236</v>
      </c>
      <c r="B217" s="27">
        <v>49.15</v>
      </c>
      <c r="C217" s="53">
        <f t="shared" si="6"/>
        <v>-2.7695351137487608E-2</v>
      </c>
      <c r="E217" s="52">
        <v>44236</v>
      </c>
      <c r="F217" s="54">
        <v>15109.2998046875</v>
      </c>
      <c r="G217" s="53">
        <f t="shared" si="7"/>
        <v>-4.3001363368045607E-4</v>
      </c>
    </row>
    <row r="218" spans="1:7" ht="13.5" customHeight="1" x14ac:dyDescent="0.3">
      <c r="A218" s="52">
        <v>44237</v>
      </c>
      <c r="B218" s="27">
        <v>49.15</v>
      </c>
      <c r="C218" s="53">
        <f t="shared" si="6"/>
        <v>0</v>
      </c>
      <c r="E218" s="52">
        <v>44237</v>
      </c>
      <c r="F218" s="54">
        <v>15106.5</v>
      </c>
      <c r="G218" s="53">
        <f t="shared" si="7"/>
        <v>-1.8530340410820298E-4</v>
      </c>
    </row>
    <row r="219" spans="1:7" ht="13.5" customHeight="1" x14ac:dyDescent="0.3">
      <c r="A219" s="52">
        <v>44238</v>
      </c>
      <c r="B219" s="27">
        <v>50.7</v>
      </c>
      <c r="C219" s="53">
        <f t="shared" si="6"/>
        <v>3.1536113936927859E-2</v>
      </c>
      <c r="E219" s="52">
        <v>44238</v>
      </c>
      <c r="F219" s="54">
        <v>15173.2998046875</v>
      </c>
      <c r="G219" s="53">
        <f t="shared" si="7"/>
        <v>4.4219246475027309E-3</v>
      </c>
    </row>
    <row r="220" spans="1:7" ht="13.5" customHeight="1" x14ac:dyDescent="0.3">
      <c r="A220" s="52">
        <v>44239</v>
      </c>
      <c r="B220" s="27">
        <v>48.9</v>
      </c>
      <c r="C220" s="53">
        <f t="shared" si="6"/>
        <v>-3.5502958579881741E-2</v>
      </c>
      <c r="E220" s="52">
        <v>44239</v>
      </c>
      <c r="F220" s="54">
        <v>15163.2998046875</v>
      </c>
      <c r="G220" s="53">
        <f t="shared" si="7"/>
        <v>-6.590524229219205E-4</v>
      </c>
    </row>
    <row r="221" spans="1:7" ht="13.5" customHeight="1" x14ac:dyDescent="0.3">
      <c r="A221" s="52">
        <v>44242</v>
      </c>
      <c r="B221" s="27">
        <v>48.6</v>
      </c>
      <c r="C221" s="53">
        <f t="shared" si="6"/>
        <v>-6.1349693251533163E-3</v>
      </c>
      <c r="E221" s="52">
        <v>44242</v>
      </c>
      <c r="F221" s="54">
        <v>15314.7001953125</v>
      </c>
      <c r="G221" s="53">
        <f t="shared" si="7"/>
        <v>9.984659841533761E-3</v>
      </c>
    </row>
    <row r="222" spans="1:7" ht="13.5" customHeight="1" x14ac:dyDescent="0.3">
      <c r="A222" s="52">
        <v>44243</v>
      </c>
      <c r="B222" s="27">
        <v>50.15</v>
      </c>
      <c r="C222" s="53">
        <f t="shared" si="6"/>
        <v>3.1893004115226276E-2</v>
      </c>
      <c r="E222" s="52">
        <v>44243</v>
      </c>
      <c r="F222" s="54">
        <v>15313.4501953125</v>
      </c>
      <c r="G222" s="53">
        <f t="shared" si="7"/>
        <v>-8.1620925258634719E-5</v>
      </c>
    </row>
    <row r="223" spans="1:7" ht="13.5" customHeight="1" x14ac:dyDescent="0.3">
      <c r="A223" s="52">
        <v>44244</v>
      </c>
      <c r="B223" s="27">
        <v>50.5</v>
      </c>
      <c r="C223" s="53">
        <f t="shared" si="6"/>
        <v>6.9790628115653326E-3</v>
      </c>
      <c r="E223" s="52">
        <v>44244</v>
      </c>
      <c r="F223" s="54">
        <v>15208.900390625</v>
      </c>
      <c r="G223" s="53">
        <f t="shared" si="7"/>
        <v>-6.8273186874309392E-3</v>
      </c>
    </row>
    <row r="224" spans="1:7" ht="13.5" customHeight="1" x14ac:dyDescent="0.3">
      <c r="A224" s="52">
        <v>44245</v>
      </c>
      <c r="B224" s="27">
        <v>52.05</v>
      </c>
      <c r="C224" s="53">
        <f t="shared" si="6"/>
        <v>3.0693069306930637E-2</v>
      </c>
      <c r="E224" s="52">
        <v>44245</v>
      </c>
      <c r="F224" s="54">
        <v>15118.9501953125</v>
      </c>
      <c r="G224" s="53">
        <f t="shared" si="7"/>
        <v>-5.9143128695843573E-3</v>
      </c>
    </row>
    <row r="225" spans="1:7" ht="13.5" customHeight="1" x14ac:dyDescent="0.3">
      <c r="A225" s="52">
        <v>44246</v>
      </c>
      <c r="B225" s="27">
        <v>51.75</v>
      </c>
      <c r="C225" s="53">
        <f t="shared" si="6"/>
        <v>-5.7636887608068623E-3</v>
      </c>
      <c r="E225" s="52">
        <v>44246</v>
      </c>
      <c r="F225" s="54">
        <v>14981.75</v>
      </c>
      <c r="G225" s="53">
        <f t="shared" si="7"/>
        <v>-9.0747170630297962E-3</v>
      </c>
    </row>
    <row r="226" spans="1:7" ht="13.5" customHeight="1" x14ac:dyDescent="0.3">
      <c r="A226" s="52">
        <v>44249</v>
      </c>
      <c r="B226" s="27">
        <v>52.6</v>
      </c>
      <c r="C226" s="53">
        <f t="shared" si="6"/>
        <v>1.6425120772946888E-2</v>
      </c>
      <c r="E226" s="52">
        <v>44249</v>
      </c>
      <c r="F226" s="54">
        <v>14675.7001953125</v>
      </c>
      <c r="G226" s="53">
        <f t="shared" si="7"/>
        <v>-2.0428174591586429E-2</v>
      </c>
    </row>
    <row r="227" spans="1:7" ht="13.5" customHeight="1" x14ac:dyDescent="0.3">
      <c r="A227" s="52">
        <v>44250</v>
      </c>
      <c r="B227" s="27">
        <v>55.25</v>
      </c>
      <c r="C227" s="53">
        <f t="shared" si="6"/>
        <v>5.0380228136882102E-2</v>
      </c>
      <c r="E227" s="52">
        <v>44250</v>
      </c>
      <c r="F227" s="54">
        <v>14707.7998046875</v>
      </c>
      <c r="G227" s="53">
        <f t="shared" si="7"/>
        <v>2.1872625461000351E-3</v>
      </c>
    </row>
    <row r="228" spans="1:7" ht="13.5" customHeight="1" x14ac:dyDescent="0.3">
      <c r="A228" s="52">
        <v>44251</v>
      </c>
      <c r="B228" s="27">
        <v>54.9</v>
      </c>
      <c r="C228" s="53">
        <f t="shared" si="6"/>
        <v>-6.3348416289593021E-3</v>
      </c>
      <c r="E228" s="52">
        <v>44251</v>
      </c>
      <c r="F228" s="54">
        <v>14982</v>
      </c>
      <c r="G228" s="53">
        <f t="shared" si="7"/>
        <v>1.8643182457862263E-2</v>
      </c>
    </row>
    <row r="229" spans="1:7" ht="13.5" customHeight="1" x14ac:dyDescent="0.3">
      <c r="A229" s="52">
        <v>44252</v>
      </c>
      <c r="B229" s="27">
        <v>57.25</v>
      </c>
      <c r="C229" s="53">
        <f t="shared" si="6"/>
        <v>4.2805100182149391E-2</v>
      </c>
      <c r="E229" s="52">
        <v>44252</v>
      </c>
      <c r="F229" s="54">
        <v>15097.349609375</v>
      </c>
      <c r="G229" s="53">
        <f t="shared" si="7"/>
        <v>7.6992130139500736E-3</v>
      </c>
    </row>
    <row r="230" spans="1:7" ht="13.5" customHeight="1" x14ac:dyDescent="0.3">
      <c r="A230" s="52">
        <v>44253</v>
      </c>
      <c r="B230" s="27">
        <v>60</v>
      </c>
      <c r="C230" s="53">
        <f t="shared" si="6"/>
        <v>4.8034934497816595E-2</v>
      </c>
      <c r="E230" s="52">
        <v>44253</v>
      </c>
      <c r="F230" s="54">
        <v>14529.150390625</v>
      </c>
      <c r="G230" s="53">
        <f t="shared" si="7"/>
        <v>-3.7635693247586012E-2</v>
      </c>
    </row>
    <row r="231" spans="1:7" ht="13.5" customHeight="1" x14ac:dyDescent="0.3">
      <c r="A231" s="52">
        <v>44256</v>
      </c>
      <c r="B231" s="27">
        <v>59.8</v>
      </c>
      <c r="C231" s="53">
        <f t="shared" si="6"/>
        <v>-3.3333333333333808E-3</v>
      </c>
      <c r="E231" s="52">
        <v>44256</v>
      </c>
      <c r="F231" s="54">
        <v>14761.5498046875</v>
      </c>
      <c r="G231" s="53">
        <f t="shared" si="7"/>
        <v>1.5995389118723471E-2</v>
      </c>
    </row>
    <row r="232" spans="1:7" ht="13.5" customHeight="1" x14ac:dyDescent="0.3">
      <c r="A232" s="52">
        <v>44257</v>
      </c>
      <c r="B232" s="27">
        <v>59.15</v>
      </c>
      <c r="C232" s="53">
        <f t="shared" si="6"/>
        <v>-1.0869565217391281E-2</v>
      </c>
      <c r="E232" s="52">
        <v>44257</v>
      </c>
      <c r="F232" s="54">
        <v>14919.099609375</v>
      </c>
      <c r="G232" s="53">
        <f t="shared" si="7"/>
        <v>1.0672985341787783E-2</v>
      </c>
    </row>
    <row r="233" spans="1:7" ht="13.5" customHeight="1" x14ac:dyDescent="0.3">
      <c r="A233" s="52">
        <v>44258</v>
      </c>
      <c r="B233" s="27">
        <v>62.1</v>
      </c>
      <c r="C233" s="53">
        <f t="shared" si="6"/>
        <v>4.9873203719357613E-2</v>
      </c>
      <c r="E233" s="52">
        <v>44258</v>
      </c>
      <c r="F233" s="54">
        <v>15245.599609375</v>
      </c>
      <c r="G233" s="53">
        <f t="shared" si="7"/>
        <v>2.1884698711632098E-2</v>
      </c>
    </row>
    <row r="234" spans="1:7" ht="13.5" customHeight="1" x14ac:dyDescent="0.3">
      <c r="A234" s="52">
        <v>44259</v>
      </c>
      <c r="B234" s="27">
        <v>61.2</v>
      </c>
      <c r="C234" s="53">
        <f t="shared" si="6"/>
        <v>-1.4492753623188383E-2</v>
      </c>
      <c r="E234" s="52">
        <v>44259</v>
      </c>
      <c r="F234" s="54">
        <v>15080.75</v>
      </c>
      <c r="G234" s="53">
        <f t="shared" si="7"/>
        <v>-1.0812930524138177E-2</v>
      </c>
    </row>
    <row r="235" spans="1:7" ht="13.5" customHeight="1" x14ac:dyDescent="0.3">
      <c r="A235" s="52">
        <v>44260</v>
      </c>
      <c r="B235" s="27">
        <v>57.75</v>
      </c>
      <c r="C235" s="53">
        <f t="shared" si="6"/>
        <v>-5.6372549019607886E-2</v>
      </c>
      <c r="E235" s="52">
        <v>44260</v>
      </c>
      <c r="F235" s="54">
        <v>14938.099609375</v>
      </c>
      <c r="G235" s="53">
        <f t="shared" si="7"/>
        <v>-9.4591045289524733E-3</v>
      </c>
    </row>
    <row r="236" spans="1:7" ht="13.5" customHeight="1" x14ac:dyDescent="0.3">
      <c r="A236" s="52">
        <v>44263</v>
      </c>
      <c r="B236" s="27">
        <v>60</v>
      </c>
      <c r="C236" s="53">
        <f t="shared" si="6"/>
        <v>3.896103896103896E-2</v>
      </c>
      <c r="E236" s="52">
        <v>44263</v>
      </c>
      <c r="F236" s="54">
        <v>14956.2001953125</v>
      </c>
      <c r="G236" s="53">
        <f t="shared" si="7"/>
        <v>1.2117060677611399E-3</v>
      </c>
    </row>
    <row r="237" spans="1:7" ht="13.5" customHeight="1" x14ac:dyDescent="0.3">
      <c r="A237" s="52">
        <v>44264</v>
      </c>
      <c r="B237" s="27">
        <v>57.85</v>
      </c>
      <c r="C237" s="53">
        <f t="shared" si="6"/>
        <v>-3.5833333333333307E-2</v>
      </c>
      <c r="E237" s="52">
        <v>44264</v>
      </c>
      <c r="F237" s="54">
        <v>15098.400390625</v>
      </c>
      <c r="G237" s="53">
        <f t="shared" si="7"/>
        <v>9.5077756017914027E-3</v>
      </c>
    </row>
    <row r="238" spans="1:7" ht="13.5" customHeight="1" x14ac:dyDescent="0.3">
      <c r="A238" s="52">
        <v>44265</v>
      </c>
      <c r="B238" s="27">
        <v>58.7</v>
      </c>
      <c r="C238" s="53">
        <f t="shared" si="6"/>
        <v>1.4693171996542808E-2</v>
      </c>
      <c r="E238" s="52">
        <v>44265</v>
      </c>
      <c r="F238" s="54">
        <v>15174.7998046875</v>
      </c>
      <c r="G238" s="53">
        <f t="shared" si="7"/>
        <v>5.0600998838220262E-3</v>
      </c>
    </row>
    <row r="239" spans="1:7" ht="13.5" customHeight="1" x14ac:dyDescent="0.3">
      <c r="A239" s="52">
        <v>44267</v>
      </c>
      <c r="B239" s="27">
        <v>58.6</v>
      </c>
      <c r="C239" s="53">
        <f t="shared" si="6"/>
        <v>-1.7035775127768554E-3</v>
      </c>
      <c r="E239" s="52">
        <v>44267</v>
      </c>
      <c r="F239" s="54">
        <v>15030.9501953125</v>
      </c>
      <c r="G239" s="53">
        <f t="shared" si="7"/>
        <v>-9.4795062357636382E-3</v>
      </c>
    </row>
    <row r="240" spans="1:7" ht="13.5" customHeight="1" x14ac:dyDescent="0.3">
      <c r="A240" s="52">
        <v>44270</v>
      </c>
      <c r="B240" s="27">
        <v>59.8</v>
      </c>
      <c r="C240" s="53">
        <f t="shared" si="6"/>
        <v>2.047781569965863E-2</v>
      </c>
      <c r="E240" s="52">
        <v>44270</v>
      </c>
      <c r="F240" s="54">
        <v>14929.5</v>
      </c>
      <c r="G240" s="53">
        <f t="shared" si="7"/>
        <v>-6.7494199630930788E-3</v>
      </c>
    </row>
    <row r="241" spans="1:7" ht="13.5" customHeight="1" x14ac:dyDescent="0.3">
      <c r="A241" s="52">
        <v>44271</v>
      </c>
      <c r="B241" s="27">
        <v>59.2</v>
      </c>
      <c r="C241" s="53">
        <f t="shared" si="6"/>
        <v>-1.0033444816053417E-2</v>
      </c>
      <c r="E241" s="52">
        <v>44271</v>
      </c>
      <c r="F241" s="54">
        <v>14910.4501953125</v>
      </c>
      <c r="G241" s="53">
        <f t="shared" si="7"/>
        <v>-1.2759841044576174E-3</v>
      </c>
    </row>
    <row r="242" spans="1:7" ht="13.5" customHeight="1" x14ac:dyDescent="0.3">
      <c r="A242" s="52">
        <v>44272</v>
      </c>
      <c r="B242" s="27">
        <v>56.25</v>
      </c>
      <c r="C242" s="53">
        <f t="shared" si="6"/>
        <v>-4.9831081081081127E-2</v>
      </c>
      <c r="E242" s="52">
        <v>44272</v>
      </c>
      <c r="F242" s="54">
        <v>14721.2998046875</v>
      </c>
      <c r="G242" s="53">
        <f t="shared" si="7"/>
        <v>-1.2685759862868828E-2</v>
      </c>
    </row>
    <row r="243" spans="1:7" ht="13.5" customHeight="1" x14ac:dyDescent="0.3">
      <c r="A243" s="52">
        <v>44273</v>
      </c>
      <c r="B243" s="27">
        <v>56.8</v>
      </c>
      <c r="C243" s="53">
        <f t="shared" si="6"/>
        <v>9.7777777777777273E-3</v>
      </c>
      <c r="E243" s="52">
        <v>44273</v>
      </c>
      <c r="F243" s="54">
        <v>14557.849609375</v>
      </c>
      <c r="G243" s="53">
        <f t="shared" si="7"/>
        <v>-1.1102973071742945E-2</v>
      </c>
    </row>
    <row r="244" spans="1:7" ht="13.5" customHeight="1" x14ac:dyDescent="0.3">
      <c r="A244" s="52">
        <v>44274</v>
      </c>
      <c r="B244" s="27">
        <v>55.8</v>
      </c>
      <c r="C244" s="53">
        <f t="shared" si="6"/>
        <v>-1.7605633802816902E-2</v>
      </c>
      <c r="E244" s="52">
        <v>44274</v>
      </c>
      <c r="F244" s="54">
        <v>14744</v>
      </c>
      <c r="G244" s="53">
        <f t="shared" si="7"/>
        <v>1.2786942826028538E-2</v>
      </c>
    </row>
    <row r="245" spans="1:7" ht="13.5" customHeight="1" x14ac:dyDescent="0.3">
      <c r="A245" s="52">
        <v>44277</v>
      </c>
      <c r="B245" s="27">
        <v>54.45</v>
      </c>
      <c r="C245" s="53">
        <f t="shared" si="6"/>
        <v>-2.4193548387096673E-2</v>
      </c>
      <c r="E245" s="52">
        <v>44277</v>
      </c>
      <c r="F245" s="54">
        <v>14736.400390625</v>
      </c>
      <c r="G245" s="53">
        <f t="shared" si="7"/>
        <v>-5.1543742369777532E-4</v>
      </c>
    </row>
    <row r="246" spans="1:7" ht="13.5" customHeight="1" x14ac:dyDescent="0.3">
      <c r="A246" s="52">
        <v>44278</v>
      </c>
      <c r="B246" s="27">
        <v>54.95</v>
      </c>
      <c r="C246" s="53">
        <f t="shared" si="6"/>
        <v>9.1827364554637279E-3</v>
      </c>
      <c r="E246" s="52">
        <v>44278</v>
      </c>
      <c r="F246" s="54">
        <v>14814.75</v>
      </c>
      <c r="G246" s="53">
        <f t="shared" si="7"/>
        <v>5.3167399974314239E-3</v>
      </c>
    </row>
    <row r="247" spans="1:7" ht="13.5" customHeight="1" x14ac:dyDescent="0.3">
      <c r="A247" s="52">
        <v>44279</v>
      </c>
      <c r="B247" s="27">
        <v>53.3</v>
      </c>
      <c r="C247" s="53">
        <f t="shared" si="6"/>
        <v>-3.0027297543221212E-2</v>
      </c>
      <c r="E247" s="52">
        <v>44279</v>
      </c>
      <c r="F247" s="54">
        <v>14549.400390625</v>
      </c>
      <c r="G247" s="53">
        <f t="shared" si="7"/>
        <v>-1.7911176994211849E-2</v>
      </c>
    </row>
    <row r="248" spans="1:7" ht="13.5" customHeight="1" x14ac:dyDescent="0.3">
      <c r="A248" s="52">
        <v>44280</v>
      </c>
      <c r="B248" s="27">
        <v>52</v>
      </c>
      <c r="C248" s="53">
        <f t="shared" si="6"/>
        <v>-2.4390243902438973E-2</v>
      </c>
      <c r="E248" s="52">
        <v>44280</v>
      </c>
      <c r="F248" s="54">
        <v>14324.900390625</v>
      </c>
      <c r="G248" s="53">
        <f t="shared" si="7"/>
        <v>-1.5430189146808966E-2</v>
      </c>
    </row>
    <row r="249" spans="1:7" ht="13.5" customHeight="1" x14ac:dyDescent="0.3">
      <c r="A249" s="52">
        <v>44281</v>
      </c>
      <c r="B249" s="27">
        <v>53.75</v>
      </c>
      <c r="C249" s="53">
        <f t="shared" si="6"/>
        <v>3.3653846153846152E-2</v>
      </c>
      <c r="E249" s="52">
        <v>44281</v>
      </c>
      <c r="F249" s="54">
        <v>14507.2998046875</v>
      </c>
      <c r="G249" s="53">
        <f t="shared" si="7"/>
        <v>1.2733031929623202E-2</v>
      </c>
    </row>
    <row r="250" spans="1:7" ht="13.5" customHeight="1" x14ac:dyDescent="0.3">
      <c r="A250" s="52">
        <v>44285</v>
      </c>
      <c r="B250" s="27">
        <v>54.2</v>
      </c>
      <c r="C250" s="53">
        <f t="shared" si="6"/>
        <v>8.3720930232558666E-3</v>
      </c>
      <c r="E250" s="52">
        <v>44285</v>
      </c>
      <c r="F250" s="54">
        <v>14845.099609375</v>
      </c>
      <c r="G250" s="53">
        <f t="shared" si="7"/>
        <v>2.3284815867550514E-2</v>
      </c>
    </row>
    <row r="251" spans="1:7" ht="13.5" customHeight="1" x14ac:dyDescent="0.3">
      <c r="A251" s="52">
        <v>44286</v>
      </c>
      <c r="B251" s="27">
        <v>54.05</v>
      </c>
      <c r="C251" s="53">
        <f t="shared" si="6"/>
        <v>-2.7675276752768575E-3</v>
      </c>
      <c r="E251" s="52">
        <v>44286</v>
      </c>
      <c r="F251" s="54">
        <v>14690.7001953125</v>
      </c>
      <c r="G251" s="53">
        <f t="shared" si="7"/>
        <v>-1.0400699094332345E-2</v>
      </c>
    </row>
    <row r="252" spans="1:7" ht="13.5" customHeight="1" x14ac:dyDescent="0.3">
      <c r="A252" s="52">
        <v>44287</v>
      </c>
      <c r="B252" s="27">
        <v>58.75</v>
      </c>
      <c r="C252" s="53">
        <f t="shared" si="6"/>
        <v>8.6956521739130488E-2</v>
      </c>
      <c r="E252" s="52">
        <v>44287</v>
      </c>
      <c r="F252" s="54">
        <v>14867.349609375</v>
      </c>
      <c r="G252" s="53">
        <f t="shared" si="7"/>
        <v>1.2024574166918552E-2</v>
      </c>
    </row>
    <row r="253" spans="1:7" ht="13.5" customHeight="1" x14ac:dyDescent="0.3">
      <c r="A253" s="52">
        <v>44291</v>
      </c>
      <c r="B253" s="27">
        <v>57.8</v>
      </c>
      <c r="C253" s="53">
        <f t="shared" si="6"/>
        <v>-1.6170212765957495E-2</v>
      </c>
      <c r="E253" s="52">
        <v>44291</v>
      </c>
      <c r="F253" s="54">
        <v>14637.7998046875</v>
      </c>
      <c r="G253" s="53">
        <f t="shared" si="7"/>
        <v>-1.5439860548026079E-2</v>
      </c>
    </row>
    <row r="254" spans="1:7" ht="13.5" customHeight="1" x14ac:dyDescent="0.3">
      <c r="A254" s="52">
        <v>44292</v>
      </c>
      <c r="B254" s="27">
        <v>59.25</v>
      </c>
      <c r="C254" s="53">
        <f t="shared" si="6"/>
        <v>2.508650519031147E-2</v>
      </c>
      <c r="E254" s="52">
        <v>44292</v>
      </c>
      <c r="F254" s="54">
        <v>14683.5</v>
      </c>
      <c r="G254" s="53">
        <f t="shared" si="7"/>
        <v>3.1220672452334885E-3</v>
      </c>
    </row>
    <row r="255" spans="1:7" ht="13.5" customHeight="1" x14ac:dyDescent="0.3">
      <c r="A255" s="52">
        <v>44293</v>
      </c>
      <c r="B255" s="27">
        <v>59.15</v>
      </c>
      <c r="C255" s="53">
        <f t="shared" si="6"/>
        <v>-1.6877637130801927E-3</v>
      </c>
      <c r="E255" s="52">
        <v>44293</v>
      </c>
      <c r="F255" s="54">
        <v>14819.0498046875</v>
      </c>
      <c r="G255" s="53">
        <f t="shared" si="7"/>
        <v>9.231436965811966E-3</v>
      </c>
    </row>
    <row r="256" spans="1:7" ht="13.5" customHeight="1" x14ac:dyDescent="0.3">
      <c r="A256" s="52">
        <v>44294</v>
      </c>
      <c r="B256" s="27">
        <v>60.35</v>
      </c>
      <c r="C256" s="53">
        <f t="shared" si="6"/>
        <v>2.0287404902789567E-2</v>
      </c>
      <c r="E256" s="52">
        <v>44294</v>
      </c>
      <c r="F256" s="54">
        <v>14873.7998046875</v>
      </c>
      <c r="G256" s="53">
        <f t="shared" si="7"/>
        <v>3.6945688638337464E-3</v>
      </c>
    </row>
    <row r="257" spans="1:7" ht="13.5" customHeight="1" x14ac:dyDescent="0.3">
      <c r="A257" s="52">
        <v>44295</v>
      </c>
      <c r="B257" s="27">
        <v>59.4</v>
      </c>
      <c r="C257" s="53">
        <f t="shared" si="6"/>
        <v>-1.5741507870753981E-2</v>
      </c>
      <c r="E257" s="52">
        <v>44295</v>
      </c>
      <c r="F257" s="54">
        <v>14834.849609375</v>
      </c>
      <c r="G257" s="53">
        <f t="shared" si="7"/>
        <v>-2.6187118170183242E-3</v>
      </c>
    </row>
    <row r="258" spans="1:7" ht="13.5" customHeight="1" x14ac:dyDescent="0.3">
      <c r="A258" s="52">
        <v>44298</v>
      </c>
      <c r="B258" s="27">
        <v>53.7</v>
      </c>
      <c r="C258" s="53">
        <f t="shared" si="6"/>
        <v>-9.5959595959595884E-2</v>
      </c>
      <c r="E258" s="52">
        <v>44298</v>
      </c>
      <c r="F258" s="54">
        <v>14310.7998046875</v>
      </c>
      <c r="G258" s="53">
        <f t="shared" si="7"/>
        <v>-3.5325589304007678E-2</v>
      </c>
    </row>
    <row r="259" spans="1:7" ht="13.5" customHeight="1" x14ac:dyDescent="0.3">
      <c r="A259" s="52">
        <v>44299</v>
      </c>
      <c r="B259" s="27">
        <v>55.9</v>
      </c>
      <c r="C259" s="53">
        <f t="shared" si="6"/>
        <v>4.0968342644320213E-2</v>
      </c>
      <c r="E259" s="52">
        <v>44299</v>
      </c>
      <c r="F259" s="54">
        <v>14504.7998046875</v>
      </c>
      <c r="G259" s="53">
        <f t="shared" si="7"/>
        <v>1.3556195506030022E-2</v>
      </c>
    </row>
    <row r="260" spans="1:7" ht="13.5" customHeight="1" x14ac:dyDescent="0.3">
      <c r="A260" s="52">
        <v>44301</v>
      </c>
      <c r="B260" s="27">
        <v>58.05</v>
      </c>
      <c r="C260" s="53">
        <f t="shared" si="6"/>
        <v>3.8461538461538436E-2</v>
      </c>
      <c r="E260" s="52">
        <v>44301</v>
      </c>
      <c r="F260" s="54">
        <v>14581.4501953125</v>
      </c>
      <c r="G260" s="53">
        <f t="shared" si="7"/>
        <v>5.2844845607747703E-3</v>
      </c>
    </row>
    <row r="261" spans="1:7" ht="13.5" customHeight="1" x14ac:dyDescent="0.3">
      <c r="A261" s="52">
        <v>44302</v>
      </c>
      <c r="B261" s="27">
        <v>58.95</v>
      </c>
      <c r="C261" s="53">
        <f t="shared" ref="C261:C324" si="8">(B261-B260)/B260</f>
        <v>1.5503875968992347E-2</v>
      </c>
      <c r="E261" s="52">
        <v>44302</v>
      </c>
      <c r="F261" s="54">
        <v>14617.849609375</v>
      </c>
      <c r="G261" s="53">
        <f t="shared" ref="G261:G324" si="9">(F261-F260)/F260</f>
        <v>2.4962821650072447E-3</v>
      </c>
    </row>
    <row r="262" spans="1:7" ht="13.5" customHeight="1" x14ac:dyDescent="0.3">
      <c r="A262" s="52">
        <v>44305</v>
      </c>
      <c r="B262" s="27">
        <v>57.3</v>
      </c>
      <c r="C262" s="53">
        <f t="shared" si="8"/>
        <v>-2.7989821882951748E-2</v>
      </c>
      <c r="E262" s="52">
        <v>44305</v>
      </c>
      <c r="F262" s="54">
        <v>14359.4501953125</v>
      </c>
      <c r="G262" s="53">
        <f t="shared" si="9"/>
        <v>-1.7676978554819603E-2</v>
      </c>
    </row>
    <row r="263" spans="1:7" ht="13.5" customHeight="1" x14ac:dyDescent="0.3">
      <c r="A263" s="52">
        <v>44306</v>
      </c>
      <c r="B263" s="27">
        <v>56.6</v>
      </c>
      <c r="C263" s="53">
        <f t="shared" si="8"/>
        <v>-1.2216404886561881E-2</v>
      </c>
      <c r="E263" s="52">
        <v>44306</v>
      </c>
      <c r="F263" s="54">
        <v>14296.400390625</v>
      </c>
      <c r="G263" s="53">
        <f t="shared" si="9"/>
        <v>-4.390823034999069E-3</v>
      </c>
    </row>
    <row r="264" spans="1:7" ht="13.5" customHeight="1" x14ac:dyDescent="0.3">
      <c r="A264" s="52">
        <v>44308</v>
      </c>
      <c r="B264" s="27">
        <v>56.65</v>
      </c>
      <c r="C264" s="53">
        <f t="shared" si="8"/>
        <v>8.8339222614835968E-4</v>
      </c>
      <c r="E264" s="52">
        <v>44308</v>
      </c>
      <c r="F264" s="54">
        <v>14406.150390625</v>
      </c>
      <c r="G264" s="53">
        <f t="shared" si="9"/>
        <v>7.6767575754222439E-3</v>
      </c>
    </row>
    <row r="265" spans="1:7" ht="13.5" customHeight="1" x14ac:dyDescent="0.3">
      <c r="A265" s="52">
        <v>44309</v>
      </c>
      <c r="B265" s="27">
        <v>56.75</v>
      </c>
      <c r="C265" s="53">
        <f t="shared" si="8"/>
        <v>1.7652250661959652E-3</v>
      </c>
      <c r="E265" s="52">
        <v>44309</v>
      </c>
      <c r="F265" s="54">
        <v>14341.349609375</v>
      </c>
      <c r="G265" s="53">
        <f t="shared" si="9"/>
        <v>-4.4981330537941623E-3</v>
      </c>
    </row>
    <row r="266" spans="1:7" ht="13.5" customHeight="1" x14ac:dyDescent="0.3">
      <c r="A266" s="52">
        <v>44312</v>
      </c>
      <c r="B266" s="27">
        <v>57.9</v>
      </c>
      <c r="C266" s="53">
        <f t="shared" si="8"/>
        <v>2.0264317180616716E-2</v>
      </c>
      <c r="E266" s="52">
        <v>44312</v>
      </c>
      <c r="F266" s="54">
        <v>14485</v>
      </c>
      <c r="G266" s="53">
        <f t="shared" si="9"/>
        <v>1.001651828716979E-2</v>
      </c>
    </row>
    <row r="267" spans="1:7" ht="13.5" customHeight="1" x14ac:dyDescent="0.3">
      <c r="A267" s="52">
        <v>44313</v>
      </c>
      <c r="B267" s="27">
        <v>60.9</v>
      </c>
      <c r="C267" s="53">
        <f t="shared" si="8"/>
        <v>5.1813471502590677E-2</v>
      </c>
      <c r="E267" s="52">
        <v>44313</v>
      </c>
      <c r="F267" s="54">
        <v>14653.0498046875</v>
      </c>
      <c r="G267" s="53">
        <f t="shared" si="9"/>
        <v>1.1601643402657923E-2</v>
      </c>
    </row>
    <row r="268" spans="1:7" ht="13.5" customHeight="1" x14ac:dyDescent="0.3">
      <c r="A268" s="52">
        <v>44314</v>
      </c>
      <c r="B268" s="27">
        <v>61.05</v>
      </c>
      <c r="C268" s="53">
        <f t="shared" si="8"/>
        <v>2.4630541871920948E-3</v>
      </c>
      <c r="E268" s="52">
        <v>44314</v>
      </c>
      <c r="F268" s="54">
        <v>14864.5498046875</v>
      </c>
      <c r="G268" s="53">
        <f t="shared" si="9"/>
        <v>1.4433855260107101E-2</v>
      </c>
    </row>
    <row r="269" spans="1:7" ht="13.5" customHeight="1" x14ac:dyDescent="0.3">
      <c r="A269" s="52">
        <v>44315</v>
      </c>
      <c r="B269" s="27">
        <v>64.75</v>
      </c>
      <c r="C269" s="53">
        <f t="shared" si="8"/>
        <v>6.0606060606060656E-2</v>
      </c>
      <c r="E269" s="52">
        <v>44315</v>
      </c>
      <c r="F269" s="54">
        <v>14894.900390625</v>
      </c>
      <c r="G269" s="53">
        <f t="shared" si="9"/>
        <v>2.0418099664161384E-3</v>
      </c>
    </row>
    <row r="270" spans="1:7" ht="13.5" customHeight="1" x14ac:dyDescent="0.3">
      <c r="A270" s="52">
        <v>44316</v>
      </c>
      <c r="B270" s="27">
        <v>64.650000000000006</v>
      </c>
      <c r="C270" s="53">
        <f t="shared" si="8"/>
        <v>-1.5444015444014566E-3</v>
      </c>
      <c r="E270" s="52">
        <v>44316</v>
      </c>
      <c r="F270" s="54">
        <v>14631.099609375</v>
      </c>
      <c r="G270" s="53">
        <f t="shared" si="9"/>
        <v>-1.7710812045177479E-2</v>
      </c>
    </row>
    <row r="271" spans="1:7" ht="13.5" customHeight="1" x14ac:dyDescent="0.3">
      <c r="A271" s="52">
        <v>44319</v>
      </c>
      <c r="B271" s="27">
        <v>67.650000000000006</v>
      </c>
      <c r="C271" s="53">
        <f t="shared" si="8"/>
        <v>4.6403712296983757E-2</v>
      </c>
      <c r="E271" s="52">
        <v>44319</v>
      </c>
      <c r="F271" s="54">
        <v>14634.150390625</v>
      </c>
      <c r="G271" s="53">
        <f t="shared" si="9"/>
        <v>2.0851346320171222E-4</v>
      </c>
    </row>
    <row r="272" spans="1:7" ht="13.5" customHeight="1" x14ac:dyDescent="0.3">
      <c r="A272" s="52">
        <v>44320</v>
      </c>
      <c r="B272" s="27">
        <v>66.5</v>
      </c>
      <c r="C272" s="53">
        <f t="shared" si="8"/>
        <v>-1.6999260901700008E-2</v>
      </c>
      <c r="E272" s="52">
        <v>44320</v>
      </c>
      <c r="F272" s="54">
        <v>14496.5</v>
      </c>
      <c r="G272" s="53">
        <f t="shared" si="9"/>
        <v>-9.4061074234403283E-3</v>
      </c>
    </row>
    <row r="273" spans="1:7" ht="13.5" customHeight="1" x14ac:dyDescent="0.3">
      <c r="A273" s="52">
        <v>44321</v>
      </c>
      <c r="B273" s="27">
        <v>66.7</v>
      </c>
      <c r="C273" s="53">
        <f t="shared" si="8"/>
        <v>3.0075187969925239E-3</v>
      </c>
      <c r="E273" s="52">
        <v>44321</v>
      </c>
      <c r="F273" s="54">
        <v>14617.849609375</v>
      </c>
      <c r="G273" s="53">
        <f t="shared" si="9"/>
        <v>8.3709591539337085E-3</v>
      </c>
    </row>
    <row r="274" spans="1:7" ht="13.5" customHeight="1" x14ac:dyDescent="0.3">
      <c r="A274" s="52">
        <v>44322</v>
      </c>
      <c r="B274" s="27">
        <v>68.55</v>
      </c>
      <c r="C274" s="53">
        <f t="shared" si="8"/>
        <v>2.7736131934032897E-2</v>
      </c>
      <c r="E274" s="52">
        <v>44322</v>
      </c>
      <c r="F274" s="54">
        <v>14724.7998046875</v>
      </c>
      <c r="G274" s="53">
        <f t="shared" si="9"/>
        <v>7.3164109749705355E-3</v>
      </c>
    </row>
    <row r="275" spans="1:7" ht="13.5" customHeight="1" x14ac:dyDescent="0.3">
      <c r="A275" s="52">
        <v>44323</v>
      </c>
      <c r="B275" s="27">
        <v>76</v>
      </c>
      <c r="C275" s="53">
        <f t="shared" si="8"/>
        <v>0.10867979576951135</v>
      </c>
      <c r="E275" s="52">
        <v>44323</v>
      </c>
      <c r="F275" s="54">
        <v>14823.150390625</v>
      </c>
      <c r="G275" s="53">
        <f t="shared" si="9"/>
        <v>6.6792477481555316E-3</v>
      </c>
    </row>
    <row r="276" spans="1:7" ht="13.5" customHeight="1" x14ac:dyDescent="0.3">
      <c r="A276" s="52">
        <v>44326</v>
      </c>
      <c r="B276" s="27">
        <v>81.5</v>
      </c>
      <c r="C276" s="53">
        <f t="shared" si="8"/>
        <v>7.2368421052631582E-2</v>
      </c>
      <c r="E276" s="52">
        <v>44326</v>
      </c>
      <c r="F276" s="54">
        <v>14942.349609375</v>
      </c>
      <c r="G276" s="53">
        <f t="shared" si="9"/>
        <v>8.041422748121637E-3</v>
      </c>
    </row>
    <row r="277" spans="1:7" ht="13.5" customHeight="1" x14ac:dyDescent="0.3">
      <c r="A277" s="52">
        <v>44327</v>
      </c>
      <c r="B277" s="27">
        <v>79.5</v>
      </c>
      <c r="C277" s="53">
        <f t="shared" si="8"/>
        <v>-2.4539877300613498E-2</v>
      </c>
      <c r="E277" s="52">
        <v>44327</v>
      </c>
      <c r="F277" s="54">
        <v>14850.75</v>
      </c>
      <c r="G277" s="53">
        <f t="shared" si="9"/>
        <v>-6.1302011912189071E-3</v>
      </c>
    </row>
    <row r="278" spans="1:7" ht="13.5" customHeight="1" x14ac:dyDescent="0.3">
      <c r="A278" s="52">
        <v>44328</v>
      </c>
      <c r="B278" s="27">
        <v>74.900000000000006</v>
      </c>
      <c r="C278" s="53">
        <f t="shared" si="8"/>
        <v>-5.7861635220125718E-2</v>
      </c>
      <c r="E278" s="52">
        <v>44328</v>
      </c>
      <c r="F278" s="54">
        <v>14696.5</v>
      </c>
      <c r="G278" s="53">
        <f t="shared" si="9"/>
        <v>-1.0386680807366631E-2</v>
      </c>
    </row>
    <row r="279" spans="1:7" ht="13.5" customHeight="1" x14ac:dyDescent="0.3">
      <c r="A279" s="52">
        <v>44330</v>
      </c>
      <c r="B279" s="27">
        <v>71.349999999999994</v>
      </c>
      <c r="C279" s="53">
        <f t="shared" si="8"/>
        <v>-4.7396528704940065E-2</v>
      </c>
      <c r="E279" s="52">
        <v>44330</v>
      </c>
      <c r="F279" s="54">
        <v>14677.7998046875</v>
      </c>
      <c r="G279" s="53">
        <f t="shared" si="9"/>
        <v>-1.2724250884564353E-3</v>
      </c>
    </row>
    <row r="280" spans="1:7" ht="13.5" customHeight="1" x14ac:dyDescent="0.3">
      <c r="A280" s="52">
        <v>44333</v>
      </c>
      <c r="B280" s="27">
        <v>76</v>
      </c>
      <c r="C280" s="53">
        <f t="shared" si="8"/>
        <v>6.5171688857743604E-2</v>
      </c>
      <c r="E280" s="52">
        <v>44333</v>
      </c>
      <c r="F280" s="54">
        <v>14923.150390625</v>
      </c>
      <c r="G280" s="53">
        <f t="shared" si="9"/>
        <v>1.6715760481972569E-2</v>
      </c>
    </row>
    <row r="281" spans="1:7" ht="13.5" customHeight="1" x14ac:dyDescent="0.3">
      <c r="A281" s="52">
        <v>44334</v>
      </c>
      <c r="B281" s="27">
        <v>76.2</v>
      </c>
      <c r="C281" s="53">
        <f t="shared" si="8"/>
        <v>2.6315789473684583E-3</v>
      </c>
      <c r="E281" s="52">
        <v>44334</v>
      </c>
      <c r="F281" s="54">
        <v>15108.099609375</v>
      </c>
      <c r="G281" s="53">
        <f t="shared" si="9"/>
        <v>1.239344333527514E-2</v>
      </c>
    </row>
    <row r="282" spans="1:7" ht="13.5" customHeight="1" x14ac:dyDescent="0.3">
      <c r="A282" s="52">
        <v>44335</v>
      </c>
      <c r="B282" s="27">
        <v>73.8</v>
      </c>
      <c r="C282" s="53">
        <f t="shared" si="8"/>
        <v>-3.149606299212606E-2</v>
      </c>
      <c r="E282" s="52">
        <v>44335</v>
      </c>
      <c r="F282" s="54">
        <v>15030.150390625</v>
      </c>
      <c r="G282" s="53">
        <f t="shared" si="9"/>
        <v>-5.1594324081388979E-3</v>
      </c>
    </row>
    <row r="283" spans="1:7" ht="13.5" customHeight="1" x14ac:dyDescent="0.3">
      <c r="A283" s="52">
        <v>44336</v>
      </c>
      <c r="B283" s="27">
        <v>71.650000000000006</v>
      </c>
      <c r="C283" s="53">
        <f t="shared" si="8"/>
        <v>-2.9132791327913164E-2</v>
      </c>
      <c r="E283" s="52">
        <v>44336</v>
      </c>
      <c r="F283" s="54">
        <v>14906.0498046875</v>
      </c>
      <c r="G283" s="53">
        <f t="shared" si="9"/>
        <v>-8.2567760609306533E-3</v>
      </c>
    </row>
    <row r="284" spans="1:7" ht="13.5" customHeight="1" x14ac:dyDescent="0.3">
      <c r="A284" s="52">
        <v>44337</v>
      </c>
      <c r="B284" s="27">
        <v>70.8</v>
      </c>
      <c r="C284" s="53">
        <f t="shared" si="8"/>
        <v>-1.1863224005582812E-2</v>
      </c>
      <c r="E284" s="52">
        <v>44337</v>
      </c>
      <c r="F284" s="54">
        <v>15175.2998046875</v>
      </c>
      <c r="G284" s="53">
        <f t="shared" si="9"/>
        <v>1.8063135674974671E-2</v>
      </c>
    </row>
    <row r="285" spans="1:7" ht="13.5" customHeight="1" x14ac:dyDescent="0.3">
      <c r="A285" s="52">
        <v>44340</v>
      </c>
      <c r="B285" s="27">
        <v>73.2</v>
      </c>
      <c r="C285" s="53">
        <f t="shared" si="8"/>
        <v>3.3898305084745846E-2</v>
      </c>
      <c r="E285" s="52">
        <v>44340</v>
      </c>
      <c r="F285" s="54">
        <v>15197.7001953125</v>
      </c>
      <c r="G285" s="53">
        <f t="shared" si="9"/>
        <v>1.4761086049898495E-3</v>
      </c>
    </row>
    <row r="286" spans="1:7" ht="13.5" customHeight="1" x14ac:dyDescent="0.3">
      <c r="A286" s="52">
        <v>44341</v>
      </c>
      <c r="B286" s="27">
        <v>72.599999999999994</v>
      </c>
      <c r="C286" s="53">
        <f t="shared" si="8"/>
        <v>-8.1967213114755265E-3</v>
      </c>
      <c r="E286" s="52">
        <v>44341</v>
      </c>
      <c r="F286" s="54">
        <v>15208.4501953125</v>
      </c>
      <c r="G286" s="53">
        <f t="shared" si="9"/>
        <v>7.0734386531165255E-4</v>
      </c>
    </row>
    <row r="287" spans="1:7" ht="13.5" customHeight="1" x14ac:dyDescent="0.3">
      <c r="A287" s="52">
        <v>44342</v>
      </c>
      <c r="B287" s="27">
        <v>71.8</v>
      </c>
      <c r="C287" s="53">
        <f t="shared" si="8"/>
        <v>-1.1019283746556436E-2</v>
      </c>
      <c r="E287" s="52">
        <v>44342</v>
      </c>
      <c r="F287" s="54">
        <v>15301.4501953125</v>
      </c>
      <c r="G287" s="53">
        <f t="shared" si="9"/>
        <v>6.1150215048647203E-3</v>
      </c>
    </row>
    <row r="288" spans="1:7" ht="13.5" customHeight="1" x14ac:dyDescent="0.3">
      <c r="A288" s="52">
        <v>44343</v>
      </c>
      <c r="B288" s="27">
        <v>73.8</v>
      </c>
      <c r="C288" s="53">
        <f t="shared" si="8"/>
        <v>2.7855153203342621E-2</v>
      </c>
      <c r="E288" s="52">
        <v>44343</v>
      </c>
      <c r="F288" s="54">
        <v>15337.849609375</v>
      </c>
      <c r="G288" s="53">
        <f t="shared" si="9"/>
        <v>2.3788211965458492E-3</v>
      </c>
    </row>
    <row r="289" spans="1:7" ht="13.5" customHeight="1" x14ac:dyDescent="0.3">
      <c r="A289" s="52">
        <v>44344</v>
      </c>
      <c r="B289" s="27">
        <v>72.099999999999994</v>
      </c>
      <c r="C289" s="53">
        <f t="shared" si="8"/>
        <v>-2.3035230352303562E-2</v>
      </c>
      <c r="E289" s="52">
        <v>44344</v>
      </c>
      <c r="F289" s="54">
        <v>15435.650390625</v>
      </c>
      <c r="G289" s="53">
        <f t="shared" si="9"/>
        <v>6.3764337075140533E-3</v>
      </c>
    </row>
    <row r="290" spans="1:7" ht="13.5" customHeight="1" x14ac:dyDescent="0.3">
      <c r="A290" s="52">
        <v>44347</v>
      </c>
      <c r="B290" s="27">
        <v>73.8</v>
      </c>
      <c r="C290" s="53">
        <f t="shared" si="8"/>
        <v>2.3578363384188668E-2</v>
      </c>
      <c r="E290" s="52">
        <v>44347</v>
      </c>
      <c r="F290" s="54">
        <v>15582.7998046875</v>
      </c>
      <c r="G290" s="53">
        <f t="shared" si="9"/>
        <v>9.5330880357249285E-3</v>
      </c>
    </row>
    <row r="291" spans="1:7" ht="13.5" customHeight="1" x14ac:dyDescent="0.3">
      <c r="A291" s="52">
        <v>44348</v>
      </c>
      <c r="B291" s="27">
        <v>72.349999999999994</v>
      </c>
      <c r="C291" s="53">
        <f t="shared" si="8"/>
        <v>-1.9647696476964811E-2</v>
      </c>
      <c r="E291" s="52">
        <v>44348</v>
      </c>
      <c r="F291" s="54">
        <v>15574.849609375</v>
      </c>
      <c r="G291" s="53">
        <f t="shared" si="9"/>
        <v>-5.1019042868717874E-4</v>
      </c>
    </row>
    <row r="292" spans="1:7" ht="13.5" customHeight="1" x14ac:dyDescent="0.3">
      <c r="A292" s="52">
        <v>44349</v>
      </c>
      <c r="B292" s="27">
        <v>72.849999999999994</v>
      </c>
      <c r="C292" s="53">
        <f t="shared" si="8"/>
        <v>6.9108500345542506E-3</v>
      </c>
      <c r="E292" s="52">
        <v>44349</v>
      </c>
      <c r="F292" s="54">
        <v>15576.2001953125</v>
      </c>
      <c r="G292" s="53">
        <f t="shared" si="9"/>
        <v>8.6715825280716621E-5</v>
      </c>
    </row>
    <row r="293" spans="1:7" ht="13.5" customHeight="1" x14ac:dyDescent="0.3">
      <c r="A293" s="52">
        <v>44350</v>
      </c>
      <c r="B293" s="27">
        <v>73.05</v>
      </c>
      <c r="C293" s="53">
        <f t="shared" si="8"/>
        <v>2.7453671928620847E-3</v>
      </c>
      <c r="E293" s="52">
        <v>44350</v>
      </c>
      <c r="F293" s="54">
        <v>15690.349609375</v>
      </c>
      <c r="G293" s="53">
        <f t="shared" si="9"/>
        <v>7.3284506253875779E-3</v>
      </c>
    </row>
    <row r="294" spans="1:7" ht="13.5" customHeight="1" x14ac:dyDescent="0.3">
      <c r="A294" s="52">
        <v>44351</v>
      </c>
      <c r="B294" s="27">
        <v>72.75</v>
      </c>
      <c r="C294" s="53">
        <f t="shared" si="8"/>
        <v>-4.1067761806981131E-3</v>
      </c>
      <c r="E294" s="52">
        <v>44351</v>
      </c>
      <c r="F294" s="54">
        <v>15670.25</v>
      </c>
      <c r="G294" s="53">
        <f t="shared" si="9"/>
        <v>-1.2810173052479636E-3</v>
      </c>
    </row>
    <row r="295" spans="1:7" ht="13.5" customHeight="1" x14ac:dyDescent="0.3">
      <c r="A295" s="52">
        <v>44354</v>
      </c>
      <c r="B295" s="27">
        <v>74.2</v>
      </c>
      <c r="C295" s="53">
        <f t="shared" si="8"/>
        <v>1.993127147766327E-2</v>
      </c>
      <c r="E295" s="52">
        <v>44354</v>
      </c>
      <c r="F295" s="54">
        <v>15751.650390625</v>
      </c>
      <c r="G295" s="53">
        <f t="shared" si="9"/>
        <v>5.1945814919991708E-3</v>
      </c>
    </row>
    <row r="296" spans="1:7" ht="13.5" customHeight="1" x14ac:dyDescent="0.3">
      <c r="A296" s="52">
        <v>44355</v>
      </c>
      <c r="B296" s="27">
        <v>72.7</v>
      </c>
      <c r="C296" s="53">
        <f t="shared" si="8"/>
        <v>-2.0215633423180591E-2</v>
      </c>
      <c r="E296" s="52">
        <v>44355</v>
      </c>
      <c r="F296" s="54">
        <v>15740.099609375</v>
      </c>
      <c r="G296" s="53">
        <f t="shared" si="9"/>
        <v>-7.3330609577741419E-4</v>
      </c>
    </row>
    <row r="297" spans="1:7" ht="13.5" customHeight="1" x14ac:dyDescent="0.3">
      <c r="A297" s="52">
        <v>44356</v>
      </c>
      <c r="B297" s="27">
        <v>70.45</v>
      </c>
      <c r="C297" s="53">
        <f t="shared" si="8"/>
        <v>-3.0949105914718018E-2</v>
      </c>
      <c r="E297" s="52">
        <v>44356</v>
      </c>
      <c r="F297" s="54">
        <v>15635.349609375</v>
      </c>
      <c r="G297" s="53">
        <f t="shared" si="9"/>
        <v>-6.6549769442125761E-3</v>
      </c>
    </row>
    <row r="298" spans="1:7" ht="13.5" customHeight="1" x14ac:dyDescent="0.3">
      <c r="A298" s="52">
        <v>44357</v>
      </c>
      <c r="B298" s="27">
        <v>71.2</v>
      </c>
      <c r="C298" s="53">
        <f t="shared" si="8"/>
        <v>1.0645848119233499E-2</v>
      </c>
      <c r="E298" s="52">
        <v>44357</v>
      </c>
      <c r="F298" s="54">
        <v>15737.75</v>
      </c>
      <c r="G298" s="53">
        <f t="shared" si="9"/>
        <v>6.5492869160789623E-3</v>
      </c>
    </row>
    <row r="299" spans="1:7" ht="13.5" customHeight="1" x14ac:dyDescent="0.3">
      <c r="A299" s="52">
        <v>44358</v>
      </c>
      <c r="B299" s="27">
        <v>72.150000000000006</v>
      </c>
      <c r="C299" s="53">
        <f t="shared" si="8"/>
        <v>1.3342696629213523E-2</v>
      </c>
      <c r="E299" s="52">
        <v>44358</v>
      </c>
      <c r="F299" s="54">
        <v>15799.349609375</v>
      </c>
      <c r="G299" s="53">
        <f t="shared" si="9"/>
        <v>3.9141306333497486E-3</v>
      </c>
    </row>
    <row r="300" spans="1:7" ht="13.5" customHeight="1" x14ac:dyDescent="0.3">
      <c r="A300" s="52">
        <v>44361</v>
      </c>
      <c r="B300" s="27">
        <v>71.8</v>
      </c>
      <c r="C300" s="53">
        <f t="shared" si="8"/>
        <v>-4.8510048510049687E-3</v>
      </c>
      <c r="E300" s="52">
        <v>44361</v>
      </c>
      <c r="F300" s="54">
        <v>15811.849609375</v>
      </c>
      <c r="G300" s="53">
        <f t="shared" si="9"/>
        <v>7.9117180827385227E-4</v>
      </c>
    </row>
    <row r="301" spans="1:7" ht="13.5" customHeight="1" x14ac:dyDescent="0.3">
      <c r="A301" s="52">
        <v>44362</v>
      </c>
      <c r="B301" s="27">
        <v>71.849999999999994</v>
      </c>
      <c r="C301" s="53">
        <f t="shared" si="8"/>
        <v>6.9637883008352589E-4</v>
      </c>
      <c r="E301" s="52">
        <v>44362</v>
      </c>
      <c r="F301" s="54">
        <v>15869.25</v>
      </c>
      <c r="G301" s="53">
        <f t="shared" si="9"/>
        <v>3.630213545097643E-3</v>
      </c>
    </row>
    <row r="302" spans="1:7" ht="13.5" customHeight="1" x14ac:dyDescent="0.3">
      <c r="A302" s="52">
        <v>44363</v>
      </c>
      <c r="B302" s="27">
        <v>69.95</v>
      </c>
      <c r="C302" s="53">
        <f t="shared" si="8"/>
        <v>-2.644398051496161E-2</v>
      </c>
      <c r="E302" s="52">
        <v>44363</v>
      </c>
      <c r="F302" s="54">
        <v>15767.5498046875</v>
      </c>
      <c r="G302" s="53">
        <f t="shared" si="9"/>
        <v>-6.4086327528081041E-3</v>
      </c>
    </row>
    <row r="303" spans="1:7" ht="13.5" customHeight="1" x14ac:dyDescent="0.3">
      <c r="A303" s="52">
        <v>44364</v>
      </c>
      <c r="B303" s="27">
        <v>68.650000000000006</v>
      </c>
      <c r="C303" s="53">
        <f t="shared" si="8"/>
        <v>-1.8584703359542491E-2</v>
      </c>
      <c r="E303" s="52">
        <v>44364</v>
      </c>
      <c r="F303" s="54">
        <v>15691.400390625</v>
      </c>
      <c r="G303" s="53">
        <f t="shared" si="9"/>
        <v>-4.829502047290931E-3</v>
      </c>
    </row>
    <row r="304" spans="1:7" ht="13.5" customHeight="1" x14ac:dyDescent="0.3">
      <c r="A304" s="52">
        <v>44365</v>
      </c>
      <c r="B304" s="27">
        <v>67.650000000000006</v>
      </c>
      <c r="C304" s="53">
        <f t="shared" si="8"/>
        <v>-1.456664238892935E-2</v>
      </c>
      <c r="E304" s="52">
        <v>44365</v>
      </c>
      <c r="F304" s="54">
        <v>15683.349609375</v>
      </c>
      <c r="G304" s="53">
        <f t="shared" si="9"/>
        <v>-5.1306964640390079E-4</v>
      </c>
    </row>
    <row r="305" spans="1:7" ht="13.5" customHeight="1" x14ac:dyDescent="0.3">
      <c r="A305" s="52">
        <v>44368</v>
      </c>
      <c r="B305" s="27">
        <v>68.8</v>
      </c>
      <c r="C305" s="53">
        <f t="shared" si="8"/>
        <v>1.69992609016998E-2</v>
      </c>
      <c r="E305" s="52">
        <v>44368</v>
      </c>
      <c r="F305" s="54">
        <v>15746.5</v>
      </c>
      <c r="G305" s="53">
        <f t="shared" si="9"/>
        <v>4.0265882096545708E-3</v>
      </c>
    </row>
    <row r="306" spans="1:7" ht="13.5" customHeight="1" x14ac:dyDescent="0.3">
      <c r="A306" s="52">
        <v>44369</v>
      </c>
      <c r="B306" s="27">
        <v>69.2</v>
      </c>
      <c r="C306" s="53">
        <f t="shared" si="8"/>
        <v>5.8139534883721762E-3</v>
      </c>
      <c r="E306" s="52">
        <v>44369</v>
      </c>
      <c r="F306" s="54">
        <v>15772.75</v>
      </c>
      <c r="G306" s="53">
        <f t="shared" si="9"/>
        <v>1.6670371193598578E-3</v>
      </c>
    </row>
    <row r="307" spans="1:7" ht="13.5" customHeight="1" x14ac:dyDescent="0.3">
      <c r="A307" s="52">
        <v>44370</v>
      </c>
      <c r="B307" s="27">
        <v>69</v>
      </c>
      <c r="C307" s="53">
        <f t="shared" si="8"/>
        <v>-2.8901734104046653E-3</v>
      </c>
      <c r="E307" s="52">
        <v>44370</v>
      </c>
      <c r="F307" s="54">
        <v>15686.9501953125</v>
      </c>
      <c r="G307" s="53">
        <f t="shared" si="9"/>
        <v>-5.4397492312691191E-3</v>
      </c>
    </row>
    <row r="308" spans="1:7" ht="13.5" customHeight="1" x14ac:dyDescent="0.3">
      <c r="A308" s="52">
        <v>44371</v>
      </c>
      <c r="B308" s="27">
        <v>68.45</v>
      </c>
      <c r="C308" s="53">
        <f t="shared" si="8"/>
        <v>-7.9710144927535812E-3</v>
      </c>
      <c r="E308" s="52">
        <v>44371</v>
      </c>
      <c r="F308" s="54">
        <v>15790.4501953125</v>
      </c>
      <c r="G308" s="53">
        <f t="shared" si="9"/>
        <v>6.5978407983297719E-3</v>
      </c>
    </row>
    <row r="309" spans="1:7" ht="13.5" customHeight="1" x14ac:dyDescent="0.3">
      <c r="A309" s="52">
        <v>44372</v>
      </c>
      <c r="B309" s="27">
        <v>73.45</v>
      </c>
      <c r="C309" s="53">
        <f t="shared" si="8"/>
        <v>7.3046018991964931E-2</v>
      </c>
      <c r="E309" s="52">
        <v>44372</v>
      </c>
      <c r="F309" s="54">
        <v>15860.349609375</v>
      </c>
      <c r="G309" s="53">
        <f t="shared" si="9"/>
        <v>4.4266891189239247E-3</v>
      </c>
    </row>
    <row r="310" spans="1:7" ht="13.5" customHeight="1" x14ac:dyDescent="0.3">
      <c r="A310" s="52">
        <v>44375</v>
      </c>
      <c r="B310" s="27">
        <v>80.05</v>
      </c>
      <c r="C310" s="53">
        <f t="shared" si="8"/>
        <v>8.9857045609257918E-2</v>
      </c>
      <c r="E310" s="52">
        <v>44375</v>
      </c>
      <c r="F310" s="54">
        <v>15814.7001953125</v>
      </c>
      <c r="G310" s="53">
        <f t="shared" si="9"/>
        <v>-2.8782098242977434E-3</v>
      </c>
    </row>
    <row r="311" spans="1:7" ht="13.5" customHeight="1" x14ac:dyDescent="0.3">
      <c r="A311" s="52">
        <v>44376</v>
      </c>
      <c r="B311" s="27">
        <v>77.150000000000006</v>
      </c>
      <c r="C311" s="53">
        <f t="shared" si="8"/>
        <v>-3.6227357901311576E-2</v>
      </c>
      <c r="E311" s="52">
        <v>44376</v>
      </c>
      <c r="F311" s="54">
        <v>15748.4501953125</v>
      </c>
      <c r="G311" s="53">
        <f t="shared" si="9"/>
        <v>-4.1891404314851697E-3</v>
      </c>
    </row>
    <row r="312" spans="1:7" ht="13.5" customHeight="1" x14ac:dyDescent="0.3">
      <c r="A312" s="52">
        <v>44377</v>
      </c>
      <c r="B312" s="27">
        <v>78.349999999999994</v>
      </c>
      <c r="C312" s="53">
        <f t="shared" si="8"/>
        <v>1.5554115359688769E-2</v>
      </c>
      <c r="E312" s="52">
        <v>44377</v>
      </c>
      <c r="F312" s="54">
        <v>15721.5</v>
      </c>
      <c r="G312" s="53">
        <f t="shared" si="9"/>
        <v>-1.7112919035373831E-3</v>
      </c>
    </row>
    <row r="313" spans="1:7" ht="13.5" customHeight="1" x14ac:dyDescent="0.3">
      <c r="A313" s="52">
        <v>44378</v>
      </c>
      <c r="B313" s="27">
        <v>77.95</v>
      </c>
      <c r="C313" s="53">
        <f t="shared" si="8"/>
        <v>-5.1052967453732168E-3</v>
      </c>
      <c r="E313" s="52">
        <v>44378</v>
      </c>
      <c r="F313" s="54">
        <v>15680</v>
      </c>
      <c r="G313" s="53">
        <f t="shared" si="9"/>
        <v>-2.6396972299080877E-3</v>
      </c>
    </row>
    <row r="314" spans="1:7" ht="13.5" customHeight="1" x14ac:dyDescent="0.3">
      <c r="A314" s="52">
        <v>44379</v>
      </c>
      <c r="B314" s="27">
        <v>79</v>
      </c>
      <c r="C314" s="53">
        <f t="shared" si="8"/>
        <v>1.3470173187940951E-2</v>
      </c>
      <c r="E314" s="52">
        <v>44379</v>
      </c>
      <c r="F314" s="54">
        <v>15722.2001953125</v>
      </c>
      <c r="G314" s="53">
        <f t="shared" si="9"/>
        <v>2.6913389867665818E-3</v>
      </c>
    </row>
    <row r="315" spans="1:7" ht="13.5" customHeight="1" x14ac:dyDescent="0.3">
      <c r="A315" s="52">
        <v>44382</v>
      </c>
      <c r="B315" s="27">
        <v>81.45</v>
      </c>
      <c r="C315" s="53">
        <f t="shared" si="8"/>
        <v>3.1012658227848138E-2</v>
      </c>
      <c r="E315" s="52">
        <v>44382</v>
      </c>
      <c r="F315" s="54">
        <v>15834.349609375</v>
      </c>
      <c r="G315" s="53">
        <f t="shared" si="9"/>
        <v>7.1331882732250679E-3</v>
      </c>
    </row>
    <row r="316" spans="1:7" ht="13.5" customHeight="1" x14ac:dyDescent="0.3">
      <c r="A316" s="52">
        <v>44383</v>
      </c>
      <c r="B316" s="27">
        <v>80.05</v>
      </c>
      <c r="C316" s="53">
        <f t="shared" si="8"/>
        <v>-1.7188459177409524E-2</v>
      </c>
      <c r="E316" s="52">
        <v>44383</v>
      </c>
      <c r="F316" s="54">
        <v>15818.25</v>
      </c>
      <c r="G316" s="53">
        <f t="shared" si="9"/>
        <v>-1.016752173102705E-3</v>
      </c>
    </row>
    <row r="317" spans="1:7" ht="13.5" customHeight="1" x14ac:dyDescent="0.3">
      <c r="A317" s="52">
        <v>44384</v>
      </c>
      <c r="B317" s="27">
        <v>84.95</v>
      </c>
      <c r="C317" s="53">
        <f t="shared" si="8"/>
        <v>6.1211742660837051E-2</v>
      </c>
      <c r="E317" s="52">
        <v>44384</v>
      </c>
      <c r="F317" s="54">
        <v>15879.650390625</v>
      </c>
      <c r="G317" s="53">
        <f t="shared" si="9"/>
        <v>3.8816171589777632E-3</v>
      </c>
    </row>
    <row r="318" spans="1:7" ht="13.5" customHeight="1" x14ac:dyDescent="0.3">
      <c r="A318" s="52">
        <v>44385</v>
      </c>
      <c r="B318" s="27">
        <v>83.2</v>
      </c>
      <c r="C318" s="53">
        <f t="shared" si="8"/>
        <v>-2.0600353148911125E-2</v>
      </c>
      <c r="E318" s="52">
        <v>44385</v>
      </c>
      <c r="F318" s="54">
        <v>15727.900390625</v>
      </c>
      <c r="G318" s="53">
        <f t="shared" si="9"/>
        <v>-9.5562557277451086E-3</v>
      </c>
    </row>
    <row r="319" spans="1:7" ht="13.5" customHeight="1" x14ac:dyDescent="0.3">
      <c r="A319" s="52">
        <v>44386</v>
      </c>
      <c r="B319" s="27">
        <v>85.35</v>
      </c>
      <c r="C319" s="53">
        <f t="shared" si="8"/>
        <v>2.5841346153846052E-2</v>
      </c>
      <c r="E319" s="52">
        <v>44386</v>
      </c>
      <c r="F319" s="54">
        <v>15689.7998046875</v>
      </c>
      <c r="G319" s="53">
        <f t="shared" si="9"/>
        <v>-2.4224839292732799E-3</v>
      </c>
    </row>
    <row r="320" spans="1:7" ht="13.5" customHeight="1" x14ac:dyDescent="0.3">
      <c r="A320" s="52">
        <v>44389</v>
      </c>
      <c r="B320" s="27">
        <v>84.35</v>
      </c>
      <c r="C320" s="53">
        <f t="shared" si="8"/>
        <v>-1.1716461628588167E-2</v>
      </c>
      <c r="E320" s="52">
        <v>44389</v>
      </c>
      <c r="F320" s="54">
        <v>15692.599609375</v>
      </c>
      <c r="G320" s="53">
        <f t="shared" si="9"/>
        <v>1.7844744498674405E-4</v>
      </c>
    </row>
    <row r="321" spans="1:7" ht="13.5" customHeight="1" x14ac:dyDescent="0.3">
      <c r="A321" s="52">
        <v>44390</v>
      </c>
      <c r="B321" s="27">
        <v>85.3</v>
      </c>
      <c r="C321" s="53">
        <f t="shared" si="8"/>
        <v>1.1262596324837023E-2</v>
      </c>
      <c r="E321" s="52">
        <v>44390</v>
      </c>
      <c r="F321" s="54">
        <v>15812.349609375</v>
      </c>
      <c r="G321" s="53">
        <f t="shared" si="9"/>
        <v>7.6309854951285136E-3</v>
      </c>
    </row>
    <row r="322" spans="1:7" ht="13.5" customHeight="1" x14ac:dyDescent="0.3">
      <c r="A322" s="52">
        <v>44391</v>
      </c>
      <c r="B322" s="27">
        <v>84.6</v>
      </c>
      <c r="C322" s="53">
        <f t="shared" si="8"/>
        <v>-8.2063305978898344E-3</v>
      </c>
      <c r="E322" s="52">
        <v>44391</v>
      </c>
      <c r="F322" s="54">
        <v>15853.9501953125</v>
      </c>
      <c r="G322" s="53">
        <f t="shared" si="9"/>
        <v>2.6308921169334244E-3</v>
      </c>
    </row>
    <row r="323" spans="1:7" ht="13.5" customHeight="1" x14ac:dyDescent="0.3">
      <c r="A323" s="52">
        <v>44392</v>
      </c>
      <c r="B323" s="27">
        <v>83.95</v>
      </c>
      <c r="C323" s="53">
        <f t="shared" si="8"/>
        <v>-7.6832151300235407E-3</v>
      </c>
      <c r="E323" s="52">
        <v>44392</v>
      </c>
      <c r="F323" s="54">
        <v>15924.2001953125</v>
      </c>
      <c r="G323" s="53">
        <f t="shared" si="9"/>
        <v>4.4310723280038215E-3</v>
      </c>
    </row>
    <row r="324" spans="1:7" ht="13.5" customHeight="1" x14ac:dyDescent="0.3">
      <c r="A324" s="52">
        <v>44393</v>
      </c>
      <c r="B324" s="27">
        <v>88.3</v>
      </c>
      <c r="C324" s="53">
        <f t="shared" si="8"/>
        <v>5.1816557474687247E-2</v>
      </c>
      <c r="E324" s="52">
        <v>44393</v>
      </c>
      <c r="F324" s="54">
        <v>15923.400390625</v>
      </c>
      <c r="G324" s="53">
        <f t="shared" si="9"/>
        <v>-5.0225736783655429E-5</v>
      </c>
    </row>
    <row r="325" spans="1:7" ht="13.5" customHeight="1" x14ac:dyDescent="0.3">
      <c r="A325" s="52">
        <v>44396</v>
      </c>
      <c r="B325" s="27">
        <v>88.95</v>
      </c>
      <c r="C325" s="53">
        <f t="shared" ref="C325:C388" si="10">(B325-B324)/B324</f>
        <v>7.3612684031710727E-3</v>
      </c>
      <c r="E325" s="52">
        <v>44396</v>
      </c>
      <c r="F325" s="54">
        <v>15752.400390625</v>
      </c>
      <c r="G325" s="53">
        <f t="shared" ref="G325:G388" si="11">(F325-F324)/F324</f>
        <v>-1.0738912280361756E-2</v>
      </c>
    </row>
    <row r="326" spans="1:7" ht="13.5" customHeight="1" x14ac:dyDescent="0.3">
      <c r="A326" s="52">
        <v>44397</v>
      </c>
      <c r="B326" s="27">
        <v>85.2</v>
      </c>
      <c r="C326" s="53">
        <f t="shared" si="10"/>
        <v>-4.2158516020236084E-2</v>
      </c>
      <c r="E326" s="52">
        <v>44397</v>
      </c>
      <c r="F326" s="54">
        <v>15632.099609375</v>
      </c>
      <c r="G326" s="53">
        <f t="shared" si="11"/>
        <v>-7.6369809214344685E-3</v>
      </c>
    </row>
    <row r="327" spans="1:7" ht="13.5" customHeight="1" x14ac:dyDescent="0.3">
      <c r="A327" s="52">
        <v>44399</v>
      </c>
      <c r="B327" s="27">
        <v>85</v>
      </c>
      <c r="C327" s="53">
        <f t="shared" si="10"/>
        <v>-2.3474178403756203E-3</v>
      </c>
      <c r="E327" s="52">
        <v>44399</v>
      </c>
      <c r="F327" s="54">
        <v>15824.0498046875</v>
      </c>
      <c r="G327" s="53">
        <f t="shared" si="11"/>
        <v>1.2279233123449532E-2</v>
      </c>
    </row>
    <row r="328" spans="1:7" ht="13.5" customHeight="1" x14ac:dyDescent="0.3">
      <c r="A328" s="52">
        <v>44400</v>
      </c>
      <c r="B328" s="27">
        <v>82.45</v>
      </c>
      <c r="C328" s="53">
        <f t="shared" si="10"/>
        <v>-2.9999999999999968E-2</v>
      </c>
      <c r="E328" s="52">
        <v>44400</v>
      </c>
      <c r="F328" s="54">
        <v>15856.0498046875</v>
      </c>
      <c r="G328" s="53">
        <f t="shared" si="11"/>
        <v>2.0222383267853947E-3</v>
      </c>
    </row>
    <row r="329" spans="1:7" ht="13.5" customHeight="1" x14ac:dyDescent="0.3">
      <c r="A329" s="52">
        <v>44403</v>
      </c>
      <c r="B329" s="27">
        <v>83.55</v>
      </c>
      <c r="C329" s="53">
        <f t="shared" si="10"/>
        <v>1.3341419041843472E-2</v>
      </c>
      <c r="E329" s="52">
        <v>44403</v>
      </c>
      <c r="F329" s="54">
        <v>15824.4501953125</v>
      </c>
      <c r="G329" s="53">
        <f t="shared" si="11"/>
        <v>-1.9929055322251985E-3</v>
      </c>
    </row>
    <row r="330" spans="1:7" ht="13.5" customHeight="1" x14ac:dyDescent="0.3">
      <c r="A330" s="52">
        <v>44404</v>
      </c>
      <c r="B330" s="27">
        <v>87.15</v>
      </c>
      <c r="C330" s="53">
        <f t="shared" si="10"/>
        <v>4.3087971274685923E-2</v>
      </c>
      <c r="E330" s="52">
        <v>44404</v>
      </c>
      <c r="F330" s="54">
        <v>15746.4501953125</v>
      </c>
      <c r="G330" s="53">
        <f t="shared" si="11"/>
        <v>-4.9290812026508866E-3</v>
      </c>
    </row>
    <row r="331" spans="1:7" ht="13.5" customHeight="1" x14ac:dyDescent="0.3">
      <c r="A331" s="52">
        <v>44405</v>
      </c>
      <c r="B331" s="27">
        <v>85.5</v>
      </c>
      <c r="C331" s="53">
        <f t="shared" si="10"/>
        <v>-1.8932874354561164E-2</v>
      </c>
      <c r="E331" s="52">
        <v>44405</v>
      </c>
      <c r="F331" s="54">
        <v>15709.400390625</v>
      </c>
      <c r="G331" s="53">
        <f t="shared" si="11"/>
        <v>-2.3528988583426387E-3</v>
      </c>
    </row>
    <row r="332" spans="1:7" ht="13.5" customHeight="1" x14ac:dyDescent="0.3">
      <c r="A332" s="52">
        <v>44406</v>
      </c>
      <c r="B332" s="27">
        <v>92.95</v>
      </c>
      <c r="C332" s="53">
        <f t="shared" si="10"/>
        <v>8.7134502923976648E-2</v>
      </c>
      <c r="E332" s="52">
        <v>44406</v>
      </c>
      <c r="F332" s="54">
        <v>15778.4501953125</v>
      </c>
      <c r="G332" s="53">
        <f t="shared" si="11"/>
        <v>4.3954449546468556E-3</v>
      </c>
    </row>
    <row r="333" spans="1:7" ht="13.5" customHeight="1" x14ac:dyDescent="0.3">
      <c r="A333" s="52">
        <v>44407</v>
      </c>
      <c r="B333" s="27">
        <v>93.5</v>
      </c>
      <c r="C333" s="53">
        <f t="shared" si="10"/>
        <v>5.917159763313579E-3</v>
      </c>
      <c r="E333" s="52">
        <v>44407</v>
      </c>
      <c r="F333" s="54">
        <v>15763.0498046875</v>
      </c>
      <c r="G333" s="53">
        <f t="shared" si="11"/>
        <v>-9.7603949908687388E-4</v>
      </c>
    </row>
    <row r="334" spans="1:7" ht="13.5" customHeight="1" x14ac:dyDescent="0.3">
      <c r="A334" s="52">
        <v>44410</v>
      </c>
      <c r="B334" s="27">
        <v>95</v>
      </c>
      <c r="C334" s="53">
        <f t="shared" si="10"/>
        <v>1.6042780748663103E-2</v>
      </c>
      <c r="E334" s="52">
        <v>44410</v>
      </c>
      <c r="F334" s="54">
        <v>15885.150390625</v>
      </c>
      <c r="G334" s="53">
        <f t="shared" si="11"/>
        <v>7.7460001364197065E-3</v>
      </c>
    </row>
    <row r="335" spans="1:7" ht="13.5" customHeight="1" x14ac:dyDescent="0.3">
      <c r="A335" s="52">
        <v>44411</v>
      </c>
      <c r="B335" s="27">
        <v>94.45</v>
      </c>
      <c r="C335" s="53">
        <f t="shared" si="10"/>
        <v>-5.7894736842104963E-3</v>
      </c>
      <c r="E335" s="52">
        <v>44411</v>
      </c>
      <c r="F335" s="54">
        <v>16130.75</v>
      </c>
      <c r="G335" s="53">
        <f t="shared" si="11"/>
        <v>1.5460955882416225E-2</v>
      </c>
    </row>
    <row r="336" spans="1:7" ht="13.5" customHeight="1" x14ac:dyDescent="0.3">
      <c r="A336" s="52">
        <v>44412</v>
      </c>
      <c r="B336" s="27">
        <v>93.35</v>
      </c>
      <c r="C336" s="53">
        <f t="shared" si="10"/>
        <v>-1.1646373742721107E-2</v>
      </c>
      <c r="E336" s="52">
        <v>44412</v>
      </c>
      <c r="F336" s="54">
        <v>16258.7998046875</v>
      </c>
      <c r="G336" s="53">
        <f t="shared" si="11"/>
        <v>7.9382424678021788E-3</v>
      </c>
    </row>
    <row r="337" spans="1:7" ht="13.5" customHeight="1" x14ac:dyDescent="0.3">
      <c r="A337" s="52">
        <v>44413</v>
      </c>
      <c r="B337" s="27">
        <v>96.6</v>
      </c>
      <c r="C337" s="53">
        <f t="shared" si="10"/>
        <v>3.4815211569362618E-2</v>
      </c>
      <c r="E337" s="52">
        <v>44413</v>
      </c>
      <c r="F337" s="54">
        <v>16294.599609375</v>
      </c>
      <c r="G337" s="53">
        <f t="shared" si="11"/>
        <v>2.2018725316476757E-3</v>
      </c>
    </row>
    <row r="338" spans="1:7" ht="13.5" customHeight="1" x14ac:dyDescent="0.3">
      <c r="A338" s="52">
        <v>44414</v>
      </c>
      <c r="B338" s="27">
        <v>94.2</v>
      </c>
      <c r="C338" s="53">
        <f t="shared" si="10"/>
        <v>-2.4844720496894322E-2</v>
      </c>
      <c r="E338" s="52">
        <v>44414</v>
      </c>
      <c r="F338" s="54">
        <v>16238.2001953125</v>
      </c>
      <c r="G338" s="53">
        <f t="shared" si="11"/>
        <v>-3.4612335015615195E-3</v>
      </c>
    </row>
    <row r="339" spans="1:7" ht="13.5" customHeight="1" x14ac:dyDescent="0.3">
      <c r="A339" s="52">
        <v>44417</v>
      </c>
      <c r="B339" s="27">
        <v>82.75</v>
      </c>
      <c r="C339" s="53">
        <f t="shared" si="10"/>
        <v>-0.1215498938428875</v>
      </c>
      <c r="E339" s="52">
        <v>44417</v>
      </c>
      <c r="F339" s="54">
        <v>16258.25</v>
      </c>
      <c r="G339" s="53">
        <f t="shared" si="11"/>
        <v>1.2347307242392418E-3</v>
      </c>
    </row>
    <row r="340" spans="1:7" ht="13.5" customHeight="1" x14ac:dyDescent="0.3">
      <c r="A340" s="52">
        <v>44418</v>
      </c>
      <c r="B340" s="27">
        <v>78.3</v>
      </c>
      <c r="C340" s="53">
        <f t="shared" si="10"/>
        <v>-5.3776435045317254E-2</v>
      </c>
      <c r="E340" s="52">
        <v>44418</v>
      </c>
      <c r="F340" s="54">
        <v>16280.099609375</v>
      </c>
      <c r="G340" s="53">
        <f t="shared" si="11"/>
        <v>1.3439090538649608E-3</v>
      </c>
    </row>
    <row r="341" spans="1:7" ht="13.5" customHeight="1" x14ac:dyDescent="0.3">
      <c r="A341" s="52">
        <v>44419</v>
      </c>
      <c r="B341" s="27">
        <v>82.35</v>
      </c>
      <c r="C341" s="53">
        <f t="shared" si="10"/>
        <v>5.1724137931034447E-2</v>
      </c>
      <c r="E341" s="52">
        <v>44419</v>
      </c>
      <c r="F341" s="54">
        <v>16282.25</v>
      </c>
      <c r="G341" s="53">
        <f t="shared" si="11"/>
        <v>1.3208706805219322E-4</v>
      </c>
    </row>
    <row r="342" spans="1:7" ht="13.5" customHeight="1" x14ac:dyDescent="0.3">
      <c r="A342" s="52">
        <v>44420</v>
      </c>
      <c r="B342" s="27">
        <v>84.55</v>
      </c>
      <c r="C342" s="53">
        <f t="shared" si="10"/>
        <v>2.6715239829993964E-2</v>
      </c>
      <c r="E342" s="52">
        <v>44420</v>
      </c>
      <c r="F342" s="54">
        <v>16364.400390625</v>
      </c>
      <c r="G342" s="53">
        <f t="shared" si="11"/>
        <v>5.0453954843464512E-3</v>
      </c>
    </row>
    <row r="343" spans="1:7" ht="13.5" customHeight="1" x14ac:dyDescent="0.3">
      <c r="A343" s="52">
        <v>44421</v>
      </c>
      <c r="B343" s="27">
        <v>83.75</v>
      </c>
      <c r="C343" s="53">
        <f t="shared" si="10"/>
        <v>-9.4618568894145137E-3</v>
      </c>
      <c r="E343" s="52">
        <v>44421</v>
      </c>
      <c r="F343" s="54">
        <v>16529.099609375</v>
      </c>
      <c r="G343" s="53">
        <f t="shared" si="11"/>
        <v>1.0064482340847301E-2</v>
      </c>
    </row>
    <row r="344" spans="1:7" ht="13.5" customHeight="1" x14ac:dyDescent="0.3">
      <c r="A344" s="52">
        <v>44424</v>
      </c>
      <c r="B344" s="27">
        <v>83.2</v>
      </c>
      <c r="C344" s="53">
        <f t="shared" si="10"/>
        <v>-6.5671641791044434E-3</v>
      </c>
      <c r="E344" s="52">
        <v>44424</v>
      </c>
      <c r="F344" s="54">
        <v>16563.05078125</v>
      </c>
      <c r="G344" s="53">
        <f t="shared" si="11"/>
        <v>2.0540242770237479E-3</v>
      </c>
    </row>
    <row r="345" spans="1:7" ht="13.5" customHeight="1" x14ac:dyDescent="0.3">
      <c r="A345" s="52">
        <v>44425</v>
      </c>
      <c r="B345" s="27">
        <v>80.7</v>
      </c>
      <c r="C345" s="53">
        <f t="shared" si="10"/>
        <v>-3.004807692307692E-2</v>
      </c>
      <c r="E345" s="52">
        <v>44425</v>
      </c>
      <c r="F345" s="54">
        <v>16614.599609375</v>
      </c>
      <c r="G345" s="53">
        <f t="shared" si="11"/>
        <v>3.1122785775284361E-3</v>
      </c>
    </row>
    <row r="346" spans="1:7" ht="13.5" customHeight="1" x14ac:dyDescent="0.3">
      <c r="A346" s="52">
        <v>44426</v>
      </c>
      <c r="B346" s="27">
        <v>78.650000000000006</v>
      </c>
      <c r="C346" s="53">
        <f t="shared" si="10"/>
        <v>-2.5402726146220533E-2</v>
      </c>
      <c r="E346" s="52">
        <v>44426</v>
      </c>
      <c r="F346" s="54">
        <v>16568.849609375</v>
      </c>
      <c r="G346" s="53">
        <f t="shared" si="11"/>
        <v>-2.7536023181795473E-3</v>
      </c>
    </row>
    <row r="347" spans="1:7" ht="13.5" customHeight="1" x14ac:dyDescent="0.3">
      <c r="A347" s="52">
        <v>44428</v>
      </c>
      <c r="B347" s="27">
        <v>73.3</v>
      </c>
      <c r="C347" s="53">
        <f t="shared" si="10"/>
        <v>-6.8022886204704494E-2</v>
      </c>
      <c r="E347" s="52">
        <v>44428</v>
      </c>
      <c r="F347" s="54">
        <v>16450.5</v>
      </c>
      <c r="G347" s="53">
        <f t="shared" si="11"/>
        <v>-7.142898400624949E-3</v>
      </c>
    </row>
    <row r="348" spans="1:7" ht="13.5" customHeight="1" x14ac:dyDescent="0.3">
      <c r="A348" s="52">
        <v>44431</v>
      </c>
      <c r="B348" s="27">
        <v>74.75</v>
      </c>
      <c r="C348" s="53">
        <f t="shared" si="10"/>
        <v>1.9781718963165114E-2</v>
      </c>
      <c r="E348" s="52">
        <v>44431</v>
      </c>
      <c r="F348" s="54">
        <v>16496.44921875</v>
      </c>
      <c r="G348" s="53">
        <f t="shared" si="11"/>
        <v>2.7931806783988329E-3</v>
      </c>
    </row>
    <row r="349" spans="1:7" ht="13.5" customHeight="1" x14ac:dyDescent="0.3">
      <c r="A349" s="52">
        <v>44432</v>
      </c>
      <c r="B349" s="27">
        <v>80.400000000000006</v>
      </c>
      <c r="C349" s="53">
        <f t="shared" si="10"/>
        <v>7.5585284280936527E-2</v>
      </c>
      <c r="E349" s="52">
        <v>44432</v>
      </c>
      <c r="F349" s="54">
        <v>16624.599609375</v>
      </c>
      <c r="G349" s="53">
        <f t="shared" si="11"/>
        <v>7.7683620836017982E-3</v>
      </c>
    </row>
    <row r="350" spans="1:7" ht="13.5" customHeight="1" x14ac:dyDescent="0.3">
      <c r="A350" s="52">
        <v>44433</v>
      </c>
      <c r="B350" s="27">
        <v>81.2</v>
      </c>
      <c r="C350" s="53">
        <f t="shared" si="10"/>
        <v>9.9502487562188689E-3</v>
      </c>
      <c r="E350" s="52">
        <v>44433</v>
      </c>
      <c r="F350" s="54">
        <v>16634.650390625</v>
      </c>
      <c r="G350" s="53">
        <f t="shared" si="11"/>
        <v>6.0457283099510741E-4</v>
      </c>
    </row>
    <row r="351" spans="1:7" ht="13.5" customHeight="1" x14ac:dyDescent="0.3">
      <c r="A351" s="52">
        <v>44434</v>
      </c>
      <c r="B351" s="27">
        <v>78.8</v>
      </c>
      <c r="C351" s="53">
        <f t="shared" si="10"/>
        <v>-2.9556650246305487E-2</v>
      </c>
      <c r="E351" s="52">
        <v>44434</v>
      </c>
      <c r="F351" s="54">
        <v>16636.900390625</v>
      </c>
      <c r="G351" s="53">
        <f t="shared" si="11"/>
        <v>1.3525983096513173E-4</v>
      </c>
    </row>
    <row r="352" spans="1:7" ht="13.5" customHeight="1" x14ac:dyDescent="0.3">
      <c r="A352" s="52">
        <v>44435</v>
      </c>
      <c r="B352" s="27">
        <v>85</v>
      </c>
      <c r="C352" s="53">
        <f t="shared" si="10"/>
        <v>7.8680203045685321E-2</v>
      </c>
      <c r="E352" s="52">
        <v>44435</v>
      </c>
      <c r="F352" s="54">
        <v>16705.19921875</v>
      </c>
      <c r="G352" s="53">
        <f t="shared" si="11"/>
        <v>4.1052615884799564E-3</v>
      </c>
    </row>
    <row r="353" spans="1:7" ht="13.5" customHeight="1" x14ac:dyDescent="0.3">
      <c r="A353" s="52">
        <v>44438</v>
      </c>
      <c r="B353" s="27">
        <v>87.95</v>
      </c>
      <c r="C353" s="53">
        <f t="shared" si="10"/>
        <v>3.4705882352941211E-2</v>
      </c>
      <c r="E353" s="52">
        <v>44438</v>
      </c>
      <c r="F353" s="54">
        <v>16931.05078125</v>
      </c>
      <c r="G353" s="53">
        <f t="shared" si="11"/>
        <v>1.3519836521704158E-2</v>
      </c>
    </row>
    <row r="354" spans="1:7" ht="13.5" customHeight="1" x14ac:dyDescent="0.3">
      <c r="A354" s="52">
        <v>44439</v>
      </c>
      <c r="B354" s="27">
        <v>90.75</v>
      </c>
      <c r="C354" s="53">
        <f t="shared" si="10"/>
        <v>3.1836270608300139E-2</v>
      </c>
      <c r="E354" s="52">
        <v>44439</v>
      </c>
      <c r="F354" s="54">
        <v>17132.19921875</v>
      </c>
      <c r="G354" s="53">
        <f t="shared" si="11"/>
        <v>1.1880446175423345E-2</v>
      </c>
    </row>
    <row r="355" spans="1:7" ht="13.5" customHeight="1" x14ac:dyDescent="0.3">
      <c r="A355" s="52">
        <v>44440</v>
      </c>
      <c r="B355" s="27">
        <v>88.5</v>
      </c>
      <c r="C355" s="53">
        <f t="shared" si="10"/>
        <v>-2.4793388429752067E-2</v>
      </c>
      <c r="E355" s="52">
        <v>44440</v>
      </c>
      <c r="F355" s="54">
        <v>17076.25</v>
      </c>
      <c r="G355" s="53">
        <f t="shared" si="11"/>
        <v>-3.2657347743637881E-3</v>
      </c>
    </row>
    <row r="356" spans="1:7" ht="13.5" customHeight="1" x14ac:dyDescent="0.3">
      <c r="A356" s="52">
        <v>44441</v>
      </c>
      <c r="B356" s="27">
        <v>89.55</v>
      </c>
      <c r="C356" s="53">
        <f t="shared" si="10"/>
        <v>1.1864406779660984E-2</v>
      </c>
      <c r="E356" s="52">
        <v>44441</v>
      </c>
      <c r="F356" s="54">
        <v>17234.150390625</v>
      </c>
      <c r="G356" s="53">
        <f t="shared" si="11"/>
        <v>9.2467837273991649E-3</v>
      </c>
    </row>
    <row r="357" spans="1:7" ht="13.5" customHeight="1" x14ac:dyDescent="0.3">
      <c r="A357" s="52">
        <v>44442</v>
      </c>
      <c r="B357" s="27">
        <v>93.9</v>
      </c>
      <c r="C357" s="53">
        <f t="shared" si="10"/>
        <v>4.8576214405360231E-2</v>
      </c>
      <c r="E357" s="52">
        <v>44442</v>
      </c>
      <c r="F357" s="54">
        <v>17323.599609375</v>
      </c>
      <c r="G357" s="53">
        <f t="shared" si="11"/>
        <v>5.1902308336974016E-3</v>
      </c>
    </row>
    <row r="358" spans="1:7" ht="13.5" customHeight="1" x14ac:dyDescent="0.3">
      <c r="A358" s="52">
        <v>44445</v>
      </c>
      <c r="B358" s="27">
        <v>99.2</v>
      </c>
      <c r="C358" s="53">
        <f t="shared" si="10"/>
        <v>5.6443024494142673E-2</v>
      </c>
      <c r="E358" s="52">
        <v>44445</v>
      </c>
      <c r="F358" s="54">
        <v>17377.80078125</v>
      </c>
      <c r="G358" s="53">
        <f t="shared" si="11"/>
        <v>3.1287476677576867E-3</v>
      </c>
    </row>
    <row r="359" spans="1:7" ht="13.5" customHeight="1" x14ac:dyDescent="0.3">
      <c r="A359" s="52">
        <v>44446</v>
      </c>
      <c r="B359" s="27">
        <v>96.3</v>
      </c>
      <c r="C359" s="53">
        <f t="shared" si="10"/>
        <v>-2.9233870967741993E-2</v>
      </c>
      <c r="E359" s="52">
        <v>44446</v>
      </c>
      <c r="F359" s="54">
        <v>17362.099609375</v>
      </c>
      <c r="G359" s="53">
        <f t="shared" si="11"/>
        <v>-9.0351892466974189E-4</v>
      </c>
    </row>
    <row r="360" spans="1:7" ht="13.5" customHeight="1" x14ac:dyDescent="0.3">
      <c r="A360" s="52">
        <v>44447</v>
      </c>
      <c r="B360" s="27">
        <v>96.4</v>
      </c>
      <c r="C360" s="53">
        <f t="shared" si="10"/>
        <v>1.0384215991693514E-3</v>
      </c>
      <c r="E360" s="52">
        <v>44447</v>
      </c>
      <c r="F360" s="54">
        <v>17353.5</v>
      </c>
      <c r="G360" s="53">
        <f t="shared" si="11"/>
        <v>-4.9530929832682655E-4</v>
      </c>
    </row>
    <row r="361" spans="1:7" ht="13.5" customHeight="1" x14ac:dyDescent="0.3">
      <c r="A361" s="52">
        <v>44448</v>
      </c>
      <c r="B361" s="27">
        <v>97.95</v>
      </c>
      <c r="C361" s="53">
        <f t="shared" si="10"/>
        <v>1.607883817427383E-2</v>
      </c>
      <c r="E361" s="52">
        <v>44448</v>
      </c>
      <c r="F361" s="54">
        <v>17369.25</v>
      </c>
      <c r="G361" s="53">
        <f t="shared" si="11"/>
        <v>9.0759789091537728E-4</v>
      </c>
    </row>
    <row r="362" spans="1:7" ht="13.5" customHeight="1" x14ac:dyDescent="0.3">
      <c r="A362" s="52">
        <v>44452</v>
      </c>
      <c r="B362" s="27">
        <v>100.75</v>
      </c>
      <c r="C362" s="53">
        <f t="shared" si="10"/>
        <v>2.8586013272077562E-2</v>
      </c>
      <c r="E362" s="52">
        <v>44452</v>
      </c>
      <c r="F362" s="54">
        <v>17355.30078125</v>
      </c>
      <c r="G362" s="53">
        <f t="shared" si="11"/>
        <v>-8.0309850741972161E-4</v>
      </c>
    </row>
    <row r="363" spans="1:7" ht="13.5" customHeight="1" x14ac:dyDescent="0.3">
      <c r="A363" s="52">
        <v>44453</v>
      </c>
      <c r="B363" s="27">
        <v>98.15</v>
      </c>
      <c r="C363" s="53">
        <f t="shared" si="10"/>
        <v>-2.580645161290317E-2</v>
      </c>
      <c r="E363" s="52">
        <v>44453</v>
      </c>
      <c r="F363" s="54">
        <v>17380</v>
      </c>
      <c r="G363" s="53">
        <f t="shared" si="11"/>
        <v>1.4231512931590379E-3</v>
      </c>
    </row>
    <row r="364" spans="1:7" ht="13.5" customHeight="1" x14ac:dyDescent="0.3">
      <c r="A364" s="52">
        <v>44454</v>
      </c>
      <c r="B364" s="27">
        <v>96</v>
      </c>
      <c r="C364" s="53">
        <f t="shared" si="10"/>
        <v>-2.1905247070810041E-2</v>
      </c>
      <c r="E364" s="52">
        <v>44454</v>
      </c>
      <c r="F364" s="54">
        <v>17519.44921875</v>
      </c>
      <c r="G364" s="53">
        <f t="shared" si="11"/>
        <v>8.0235453826237053E-3</v>
      </c>
    </row>
    <row r="365" spans="1:7" ht="13.5" customHeight="1" x14ac:dyDescent="0.3">
      <c r="A365" s="52">
        <v>44455</v>
      </c>
      <c r="B365" s="27">
        <v>96.4</v>
      </c>
      <c r="C365" s="53">
        <f t="shared" si="10"/>
        <v>4.1666666666667256E-3</v>
      </c>
      <c r="E365" s="52">
        <v>44455</v>
      </c>
      <c r="F365" s="54">
        <v>17629.5</v>
      </c>
      <c r="G365" s="53">
        <f t="shared" si="11"/>
        <v>6.2816347635072543E-3</v>
      </c>
    </row>
    <row r="366" spans="1:7" ht="13.5" customHeight="1" x14ac:dyDescent="0.3">
      <c r="A366" s="52">
        <v>44456</v>
      </c>
      <c r="B366" s="27">
        <v>94.15</v>
      </c>
      <c r="C366" s="53">
        <f t="shared" si="10"/>
        <v>-2.3340248962655602E-2</v>
      </c>
      <c r="E366" s="52">
        <v>44456</v>
      </c>
      <c r="F366" s="54">
        <v>17585.150390625</v>
      </c>
      <c r="G366" s="53">
        <f t="shared" si="11"/>
        <v>-2.5156476006126098E-3</v>
      </c>
    </row>
    <row r="367" spans="1:7" ht="13.5" customHeight="1" x14ac:dyDescent="0.3">
      <c r="A367" s="52">
        <v>44459</v>
      </c>
      <c r="B367" s="27">
        <v>85.75</v>
      </c>
      <c r="C367" s="53">
        <f t="shared" si="10"/>
        <v>-8.9219330855018639E-2</v>
      </c>
      <c r="E367" s="52">
        <v>44459</v>
      </c>
      <c r="F367" s="54">
        <v>17396.900390625</v>
      </c>
      <c r="G367" s="53">
        <f t="shared" si="11"/>
        <v>-1.0705054879733066E-2</v>
      </c>
    </row>
    <row r="368" spans="1:7" ht="13.5" customHeight="1" x14ac:dyDescent="0.3">
      <c r="A368" s="52">
        <v>44460</v>
      </c>
      <c r="B368" s="27">
        <v>88.6</v>
      </c>
      <c r="C368" s="53">
        <f t="shared" si="10"/>
        <v>3.3236151603498479E-2</v>
      </c>
      <c r="E368" s="52">
        <v>44460</v>
      </c>
      <c r="F368" s="54">
        <v>17562</v>
      </c>
      <c r="G368" s="53">
        <f t="shared" si="11"/>
        <v>9.4901738624640509E-3</v>
      </c>
    </row>
    <row r="369" spans="1:7" ht="13.5" customHeight="1" x14ac:dyDescent="0.3">
      <c r="A369" s="52">
        <v>44461</v>
      </c>
      <c r="B369" s="27">
        <v>90.75</v>
      </c>
      <c r="C369" s="53">
        <f t="shared" si="10"/>
        <v>2.426636568848765E-2</v>
      </c>
      <c r="E369" s="52">
        <v>44461</v>
      </c>
      <c r="F369" s="54">
        <v>17546.650390625</v>
      </c>
      <c r="G369" s="53">
        <f t="shared" si="11"/>
        <v>-8.7402399356565307E-4</v>
      </c>
    </row>
    <row r="370" spans="1:7" ht="13.5" customHeight="1" x14ac:dyDescent="0.3">
      <c r="A370" s="52">
        <v>44462</v>
      </c>
      <c r="B370" s="27">
        <v>91.05</v>
      </c>
      <c r="C370" s="53">
        <f t="shared" si="10"/>
        <v>3.3057851239669108E-3</v>
      </c>
      <c r="E370" s="52">
        <v>44462</v>
      </c>
      <c r="F370" s="54">
        <v>17822.94921875</v>
      </c>
      <c r="G370" s="53">
        <f t="shared" si="11"/>
        <v>1.5746528367181906E-2</v>
      </c>
    </row>
    <row r="371" spans="1:7" ht="13.5" customHeight="1" x14ac:dyDescent="0.3">
      <c r="A371" s="52">
        <v>44463</v>
      </c>
      <c r="B371" s="27">
        <v>88.5</v>
      </c>
      <c r="C371" s="53">
        <f t="shared" si="10"/>
        <v>-2.8006589785831929E-2</v>
      </c>
      <c r="E371" s="52">
        <v>44463</v>
      </c>
      <c r="F371" s="54">
        <v>17853.19921875</v>
      </c>
      <c r="G371" s="53">
        <f t="shared" si="11"/>
        <v>1.6972499684943592E-3</v>
      </c>
    </row>
    <row r="372" spans="1:7" ht="13.5" customHeight="1" x14ac:dyDescent="0.3">
      <c r="A372" s="52">
        <v>44466</v>
      </c>
      <c r="B372" s="27">
        <v>90.05</v>
      </c>
      <c r="C372" s="53">
        <f t="shared" si="10"/>
        <v>1.751412429378528E-2</v>
      </c>
      <c r="E372" s="52">
        <v>44466</v>
      </c>
      <c r="F372" s="54">
        <v>17855.099609375</v>
      </c>
      <c r="G372" s="53">
        <f t="shared" si="11"/>
        <v>1.0644538279750718E-4</v>
      </c>
    </row>
    <row r="373" spans="1:7" ht="13.5" customHeight="1" x14ac:dyDescent="0.3">
      <c r="A373" s="52">
        <v>44467</v>
      </c>
      <c r="B373" s="27">
        <v>89</v>
      </c>
      <c r="C373" s="53">
        <f t="shared" si="10"/>
        <v>-1.1660188784008853E-2</v>
      </c>
      <c r="E373" s="52">
        <v>44467</v>
      </c>
      <c r="F373" s="54">
        <v>17748.599609375</v>
      </c>
      <c r="G373" s="53">
        <f t="shared" si="11"/>
        <v>-5.9646824901543032E-3</v>
      </c>
    </row>
    <row r="374" spans="1:7" ht="13.5" customHeight="1" x14ac:dyDescent="0.3">
      <c r="A374" s="52">
        <v>44468</v>
      </c>
      <c r="B374" s="27">
        <v>94.4</v>
      </c>
      <c r="C374" s="53">
        <f t="shared" si="10"/>
        <v>6.0674157303370849E-2</v>
      </c>
      <c r="E374" s="52">
        <v>44468</v>
      </c>
      <c r="F374" s="54">
        <v>17711.30078125</v>
      </c>
      <c r="G374" s="53">
        <f t="shared" si="11"/>
        <v>-2.1015082285871364E-3</v>
      </c>
    </row>
    <row r="375" spans="1:7" ht="13.5" customHeight="1" x14ac:dyDescent="0.3">
      <c r="A375" s="52">
        <v>44469</v>
      </c>
      <c r="B375" s="27">
        <v>93.4</v>
      </c>
      <c r="C375" s="53">
        <f t="shared" si="10"/>
        <v>-1.059322033898305E-2</v>
      </c>
      <c r="E375" s="52">
        <v>44469</v>
      </c>
      <c r="F375" s="54">
        <v>17618.150390625</v>
      </c>
      <c r="G375" s="53">
        <f t="shared" si="11"/>
        <v>-5.2593760207388773E-3</v>
      </c>
    </row>
    <row r="376" spans="1:7" ht="13.5" customHeight="1" x14ac:dyDescent="0.3">
      <c r="A376" s="52">
        <v>44470</v>
      </c>
      <c r="B376" s="27">
        <v>95.5</v>
      </c>
      <c r="C376" s="53">
        <f t="shared" si="10"/>
        <v>2.248394004282649E-2</v>
      </c>
      <c r="E376" s="52">
        <v>44470</v>
      </c>
      <c r="F376" s="54">
        <v>17532.05078125</v>
      </c>
      <c r="G376" s="53">
        <f t="shared" si="11"/>
        <v>-4.8869834497959255E-3</v>
      </c>
    </row>
    <row r="377" spans="1:7" ht="13.5" customHeight="1" x14ac:dyDescent="0.3">
      <c r="A377" s="52">
        <v>44473</v>
      </c>
      <c r="B377" s="27">
        <v>105.05</v>
      </c>
      <c r="C377" s="53">
        <f t="shared" si="10"/>
        <v>9.9999999999999964E-2</v>
      </c>
      <c r="E377" s="52">
        <v>44473</v>
      </c>
      <c r="F377" s="54">
        <v>17691.25</v>
      </c>
      <c r="G377" s="53">
        <f t="shared" si="11"/>
        <v>9.080467581137671E-3</v>
      </c>
    </row>
    <row r="378" spans="1:7" ht="13.5" customHeight="1" x14ac:dyDescent="0.3">
      <c r="A378" s="52">
        <v>44474</v>
      </c>
      <c r="B378" s="27">
        <v>102.4</v>
      </c>
      <c r="C378" s="53">
        <f t="shared" si="10"/>
        <v>-2.5226082817705775E-2</v>
      </c>
      <c r="E378" s="52">
        <v>44474</v>
      </c>
      <c r="F378" s="54">
        <v>17822.30078125</v>
      </c>
      <c r="G378" s="53">
        <f t="shared" si="11"/>
        <v>7.4076609199463014E-3</v>
      </c>
    </row>
    <row r="379" spans="1:7" ht="13.5" customHeight="1" x14ac:dyDescent="0.3">
      <c r="A379" s="52">
        <v>44475</v>
      </c>
      <c r="B379" s="27">
        <v>96.65</v>
      </c>
      <c r="C379" s="53">
        <f t="shared" si="10"/>
        <v>-5.615234375E-2</v>
      </c>
      <c r="E379" s="52">
        <v>44475</v>
      </c>
      <c r="F379" s="54">
        <v>17646</v>
      </c>
      <c r="G379" s="53">
        <f t="shared" si="11"/>
        <v>-9.8921448702895716E-3</v>
      </c>
    </row>
    <row r="380" spans="1:7" ht="13.5" customHeight="1" x14ac:dyDescent="0.3">
      <c r="A380" s="52">
        <v>44476</v>
      </c>
      <c r="B380" s="27">
        <v>96.55</v>
      </c>
      <c r="C380" s="53">
        <f t="shared" si="10"/>
        <v>-1.034661148473963E-3</v>
      </c>
      <c r="E380" s="52">
        <v>44476</v>
      </c>
      <c r="F380" s="54">
        <v>17790.349609375</v>
      </c>
      <c r="G380" s="53">
        <f t="shared" si="11"/>
        <v>8.1803020160376282E-3</v>
      </c>
    </row>
    <row r="381" spans="1:7" ht="13.5" customHeight="1" x14ac:dyDescent="0.3">
      <c r="A381" s="52">
        <v>44477</v>
      </c>
      <c r="B381" s="27">
        <v>96.2</v>
      </c>
      <c r="C381" s="53">
        <f t="shared" si="10"/>
        <v>-3.6250647332987502E-3</v>
      </c>
      <c r="E381" s="52">
        <v>44477</v>
      </c>
      <c r="F381" s="54">
        <v>17895.19921875</v>
      </c>
      <c r="G381" s="53">
        <f t="shared" si="11"/>
        <v>5.8936227604963589E-3</v>
      </c>
    </row>
    <row r="382" spans="1:7" ht="13.5" customHeight="1" x14ac:dyDescent="0.3">
      <c r="A382" s="52">
        <v>44480</v>
      </c>
      <c r="B382" s="27">
        <v>96.35</v>
      </c>
      <c r="C382" s="53">
        <f t="shared" si="10"/>
        <v>1.5592515592514707E-3</v>
      </c>
      <c r="E382" s="52">
        <v>44480</v>
      </c>
      <c r="F382" s="54">
        <v>17945.94921875</v>
      </c>
      <c r="G382" s="53">
        <f t="shared" si="11"/>
        <v>2.8359561343595336E-3</v>
      </c>
    </row>
    <row r="383" spans="1:7" ht="13.5" customHeight="1" x14ac:dyDescent="0.3">
      <c r="A383" s="52">
        <v>44481</v>
      </c>
      <c r="B383" s="27">
        <v>101.45</v>
      </c>
      <c r="C383" s="53">
        <f t="shared" si="10"/>
        <v>5.2932018681889036E-2</v>
      </c>
      <c r="E383" s="52">
        <v>44481</v>
      </c>
      <c r="F383" s="54">
        <v>17991.94921875</v>
      </c>
      <c r="G383" s="53">
        <f t="shared" si="11"/>
        <v>2.5632525445875558E-3</v>
      </c>
    </row>
    <row r="384" spans="1:7" ht="13.5" customHeight="1" x14ac:dyDescent="0.3">
      <c r="A384" s="52">
        <v>44482</v>
      </c>
      <c r="B384" s="27">
        <v>105.25</v>
      </c>
      <c r="C384" s="53">
        <f t="shared" si="10"/>
        <v>3.7456875308033488E-2</v>
      </c>
      <c r="E384" s="52">
        <v>44482</v>
      </c>
      <c r="F384" s="54">
        <v>18161.75</v>
      </c>
      <c r="G384" s="53">
        <f t="shared" si="11"/>
        <v>9.4375978492116375E-3</v>
      </c>
    </row>
    <row r="385" spans="1:7" ht="13.5" customHeight="1" x14ac:dyDescent="0.3">
      <c r="A385" s="52">
        <v>44483</v>
      </c>
      <c r="B385" s="27">
        <v>107.6</v>
      </c>
      <c r="C385" s="53">
        <f t="shared" si="10"/>
        <v>2.2327790973871681E-2</v>
      </c>
      <c r="E385" s="52">
        <v>44483</v>
      </c>
      <c r="F385" s="54">
        <v>18338.55078125</v>
      </c>
      <c r="G385" s="53">
        <f t="shared" si="11"/>
        <v>9.7347877407188178E-3</v>
      </c>
    </row>
    <row r="386" spans="1:7" ht="13.5" customHeight="1" x14ac:dyDescent="0.3">
      <c r="A386" s="52">
        <v>44487</v>
      </c>
      <c r="B386" s="27">
        <v>121.7</v>
      </c>
      <c r="C386" s="53">
        <f t="shared" si="10"/>
        <v>0.13104089219330864</v>
      </c>
      <c r="E386" s="52">
        <v>44487</v>
      </c>
      <c r="F386" s="54">
        <v>18477.05078125</v>
      </c>
      <c r="G386" s="53">
        <f t="shared" si="11"/>
        <v>7.5523961327198996E-3</v>
      </c>
    </row>
    <row r="387" spans="1:7" ht="13.5" customHeight="1" x14ac:dyDescent="0.3">
      <c r="A387" s="52">
        <v>44488</v>
      </c>
      <c r="B387" s="27">
        <v>114.05</v>
      </c>
      <c r="C387" s="53">
        <f t="shared" si="10"/>
        <v>-6.285949055053415E-2</v>
      </c>
      <c r="E387" s="52">
        <v>44488</v>
      </c>
      <c r="F387" s="54">
        <v>18418.75</v>
      </c>
      <c r="G387" s="53">
        <f t="shared" si="11"/>
        <v>-3.1553077349964326E-3</v>
      </c>
    </row>
    <row r="388" spans="1:7" ht="13.5" customHeight="1" x14ac:dyDescent="0.3">
      <c r="A388" s="52">
        <v>44489</v>
      </c>
      <c r="B388" s="27">
        <v>109.45</v>
      </c>
      <c r="C388" s="53">
        <f t="shared" si="10"/>
        <v>-4.0333187198597055E-2</v>
      </c>
      <c r="E388" s="52">
        <v>44489</v>
      </c>
      <c r="F388" s="54">
        <v>18266.599609375</v>
      </c>
      <c r="G388" s="53">
        <f t="shared" si="11"/>
        <v>-8.2606252120800815E-3</v>
      </c>
    </row>
    <row r="389" spans="1:7" ht="13.5" customHeight="1" x14ac:dyDescent="0.3">
      <c r="A389" s="52">
        <v>44490</v>
      </c>
      <c r="B389" s="27">
        <v>108.65</v>
      </c>
      <c r="C389" s="53">
        <f t="shared" ref="C389:C452" si="12">(B389-B388)/B388</f>
        <v>-7.3092736409319063E-3</v>
      </c>
      <c r="E389" s="52">
        <v>44490</v>
      </c>
      <c r="F389" s="54">
        <v>18178.099609375</v>
      </c>
      <c r="G389" s="53">
        <f t="shared" ref="G389:G452" si="13">(F389-F388)/F388</f>
        <v>-4.8449082967023036E-3</v>
      </c>
    </row>
    <row r="390" spans="1:7" ht="13.5" customHeight="1" x14ac:dyDescent="0.3">
      <c r="A390" s="52">
        <v>44491</v>
      </c>
      <c r="B390" s="27">
        <v>103.45</v>
      </c>
      <c r="C390" s="53">
        <f t="shared" si="12"/>
        <v>-4.786010124252188E-2</v>
      </c>
      <c r="E390" s="52">
        <v>44491</v>
      </c>
      <c r="F390" s="54">
        <v>18114.900390625</v>
      </c>
      <c r="G390" s="53">
        <f t="shared" si="13"/>
        <v>-3.4766680845673349E-3</v>
      </c>
    </row>
    <row r="391" spans="1:7" ht="13.5" customHeight="1" x14ac:dyDescent="0.3">
      <c r="A391" s="52">
        <v>44494</v>
      </c>
      <c r="B391" s="27">
        <v>103.8</v>
      </c>
      <c r="C391" s="53">
        <f t="shared" si="12"/>
        <v>3.3832769453841886E-3</v>
      </c>
      <c r="E391" s="52">
        <v>44494</v>
      </c>
      <c r="F391" s="54">
        <v>18125.400390625</v>
      </c>
      <c r="G391" s="53">
        <f t="shared" si="13"/>
        <v>5.7963332801068358E-4</v>
      </c>
    </row>
    <row r="392" spans="1:7" ht="13.5" customHeight="1" x14ac:dyDescent="0.3">
      <c r="A392" s="52">
        <v>44495</v>
      </c>
      <c r="B392" s="27">
        <v>106.8</v>
      </c>
      <c r="C392" s="53">
        <f t="shared" si="12"/>
        <v>2.8901734104046242E-2</v>
      </c>
      <c r="E392" s="52">
        <v>44495</v>
      </c>
      <c r="F392" s="54">
        <v>18268.400390625</v>
      </c>
      <c r="G392" s="53">
        <f t="shared" si="13"/>
        <v>7.8894808897001737E-3</v>
      </c>
    </row>
    <row r="393" spans="1:7" ht="13.5" customHeight="1" x14ac:dyDescent="0.3">
      <c r="A393" s="52">
        <v>44496</v>
      </c>
      <c r="B393" s="27">
        <v>101.9</v>
      </c>
      <c r="C393" s="53">
        <f t="shared" si="12"/>
        <v>-4.5880149812734007E-2</v>
      </c>
      <c r="E393" s="52">
        <v>44496</v>
      </c>
      <c r="F393" s="54">
        <v>18210.94921875</v>
      </c>
      <c r="G393" s="53">
        <f t="shared" si="13"/>
        <v>-3.144838663842887E-3</v>
      </c>
    </row>
    <row r="394" spans="1:7" ht="13.5" customHeight="1" x14ac:dyDescent="0.3">
      <c r="A394" s="52">
        <v>44497</v>
      </c>
      <c r="B394" s="27">
        <v>98.55</v>
      </c>
      <c r="C394" s="53">
        <f t="shared" si="12"/>
        <v>-3.2875368007850916E-2</v>
      </c>
      <c r="E394" s="52">
        <v>44497</v>
      </c>
      <c r="F394" s="54">
        <v>17857.25</v>
      </c>
      <c r="G394" s="53">
        <f t="shared" si="13"/>
        <v>-1.942233842406365E-2</v>
      </c>
    </row>
    <row r="395" spans="1:7" ht="13.5" customHeight="1" x14ac:dyDescent="0.3">
      <c r="A395" s="52">
        <v>44498</v>
      </c>
      <c r="B395" s="27">
        <v>96.9</v>
      </c>
      <c r="C395" s="53">
        <f t="shared" si="12"/>
        <v>-1.6742770167427614E-2</v>
      </c>
      <c r="E395" s="52">
        <v>44498</v>
      </c>
      <c r="F395" s="54">
        <v>17671.650390625</v>
      </c>
      <c r="G395" s="53">
        <f t="shared" si="13"/>
        <v>-1.0393515763905417E-2</v>
      </c>
    </row>
    <row r="396" spans="1:7" ht="13.5" customHeight="1" x14ac:dyDescent="0.3">
      <c r="A396" s="52">
        <v>44501</v>
      </c>
      <c r="B396" s="27">
        <v>101.3</v>
      </c>
      <c r="C396" s="53">
        <f t="shared" si="12"/>
        <v>4.5407636738906E-2</v>
      </c>
      <c r="E396" s="52">
        <v>44501</v>
      </c>
      <c r="F396" s="54">
        <v>17929.650390625</v>
      </c>
      <c r="G396" s="53">
        <f t="shared" si="13"/>
        <v>1.4599655057507915E-2</v>
      </c>
    </row>
    <row r="397" spans="1:7" ht="13.5" customHeight="1" x14ac:dyDescent="0.3">
      <c r="A397" s="52">
        <v>44502</v>
      </c>
      <c r="B397" s="27">
        <v>99.75</v>
      </c>
      <c r="C397" s="53">
        <f t="shared" si="12"/>
        <v>-1.5301085883514287E-2</v>
      </c>
      <c r="E397" s="52">
        <v>44502</v>
      </c>
      <c r="F397" s="54">
        <v>17888.94921875</v>
      </c>
      <c r="G397" s="53">
        <f t="shared" si="13"/>
        <v>-2.2700482713417379E-3</v>
      </c>
    </row>
    <row r="398" spans="1:7" ht="13.5" customHeight="1" x14ac:dyDescent="0.3">
      <c r="A398" s="52">
        <v>44503</v>
      </c>
      <c r="B398" s="27">
        <v>99.9</v>
      </c>
      <c r="C398" s="53">
        <f t="shared" si="12"/>
        <v>1.5037593984962975E-3</v>
      </c>
      <c r="E398" s="52">
        <v>44503</v>
      </c>
      <c r="F398" s="54">
        <v>17829.19921875</v>
      </c>
      <c r="G398" s="53">
        <f t="shared" si="13"/>
        <v>-3.3400508475575552E-3</v>
      </c>
    </row>
    <row r="399" spans="1:7" ht="13.5" customHeight="1" x14ac:dyDescent="0.3">
      <c r="A399" s="52">
        <v>44504</v>
      </c>
      <c r="B399" s="27">
        <v>100.1</v>
      </c>
      <c r="C399" s="53">
        <f t="shared" si="12"/>
        <v>2.0020020020018879E-3</v>
      </c>
      <c r="E399" s="52">
        <v>44504</v>
      </c>
      <c r="F399" s="54">
        <v>17916.80078125</v>
      </c>
      <c r="G399" s="53">
        <f t="shared" si="13"/>
        <v>4.9133761659847404E-3</v>
      </c>
    </row>
    <row r="400" spans="1:7" ht="13.5" customHeight="1" x14ac:dyDescent="0.3">
      <c r="A400" s="52">
        <v>44508</v>
      </c>
      <c r="B400" s="27">
        <v>100.3</v>
      </c>
      <c r="C400" s="53">
        <f t="shared" si="12"/>
        <v>1.9980019980020266E-3</v>
      </c>
      <c r="E400" s="52">
        <v>44508</v>
      </c>
      <c r="F400" s="54">
        <v>18068.55078125</v>
      </c>
      <c r="G400" s="53">
        <f t="shared" si="13"/>
        <v>8.4697040421863115E-3</v>
      </c>
    </row>
    <row r="401" spans="1:7" ht="13.5" customHeight="1" x14ac:dyDescent="0.3">
      <c r="A401" s="52">
        <v>44509</v>
      </c>
      <c r="B401" s="27">
        <v>102</v>
      </c>
      <c r="C401" s="53">
        <f t="shared" si="12"/>
        <v>1.6949152542372909E-2</v>
      </c>
      <c r="E401" s="52">
        <v>44509</v>
      </c>
      <c r="F401" s="54">
        <v>18044.25</v>
      </c>
      <c r="G401" s="53">
        <f t="shared" si="13"/>
        <v>-1.3449214352717915E-3</v>
      </c>
    </row>
    <row r="402" spans="1:7" ht="13.5" customHeight="1" x14ac:dyDescent="0.3">
      <c r="A402" s="52">
        <v>44510</v>
      </c>
      <c r="B402" s="27">
        <v>99.25</v>
      </c>
      <c r="C402" s="53">
        <f t="shared" si="12"/>
        <v>-2.6960784313725492E-2</v>
      </c>
      <c r="E402" s="52">
        <v>44510</v>
      </c>
      <c r="F402" s="54">
        <v>18017.19921875</v>
      </c>
      <c r="G402" s="53">
        <f t="shared" si="13"/>
        <v>-1.499135805034845E-3</v>
      </c>
    </row>
    <row r="403" spans="1:7" ht="13.5" customHeight="1" x14ac:dyDescent="0.3">
      <c r="A403" s="52">
        <v>44511</v>
      </c>
      <c r="B403" s="27">
        <v>99.3</v>
      </c>
      <c r="C403" s="53">
        <f t="shared" si="12"/>
        <v>5.0377833753145751E-4</v>
      </c>
      <c r="E403" s="52">
        <v>44511</v>
      </c>
      <c r="F403" s="54">
        <v>17873.599609375</v>
      </c>
      <c r="G403" s="53">
        <f t="shared" si="13"/>
        <v>-7.970140510271978E-3</v>
      </c>
    </row>
    <row r="404" spans="1:7" ht="13.5" customHeight="1" x14ac:dyDescent="0.3">
      <c r="A404" s="52">
        <v>44512</v>
      </c>
      <c r="B404" s="27">
        <v>101.45</v>
      </c>
      <c r="C404" s="53">
        <f t="shared" si="12"/>
        <v>2.1651560926485455E-2</v>
      </c>
      <c r="E404" s="52">
        <v>44512</v>
      </c>
      <c r="F404" s="54">
        <v>18102.75</v>
      </c>
      <c r="G404" s="53">
        <f t="shared" si="13"/>
        <v>1.2820606684330492E-2</v>
      </c>
    </row>
    <row r="405" spans="1:7" ht="13.5" customHeight="1" x14ac:dyDescent="0.3">
      <c r="A405" s="52">
        <v>44515</v>
      </c>
      <c r="B405" s="27">
        <v>99.75</v>
      </c>
      <c r="C405" s="53">
        <f t="shared" si="12"/>
        <v>-1.6757023164120283E-2</v>
      </c>
      <c r="E405" s="52">
        <v>44515</v>
      </c>
      <c r="F405" s="54">
        <v>18109.44921875</v>
      </c>
      <c r="G405" s="53">
        <f t="shared" si="13"/>
        <v>3.7006635732140142E-4</v>
      </c>
    </row>
    <row r="406" spans="1:7" ht="13.5" customHeight="1" x14ac:dyDescent="0.3">
      <c r="A406" s="52">
        <v>44516</v>
      </c>
      <c r="B406" s="27">
        <v>99.8</v>
      </c>
      <c r="C406" s="53">
        <f t="shared" si="12"/>
        <v>5.0125313283205168E-4</v>
      </c>
      <c r="E406" s="52">
        <v>44516</v>
      </c>
      <c r="F406" s="54">
        <v>17999.19921875</v>
      </c>
      <c r="G406" s="53">
        <f t="shared" si="13"/>
        <v>-6.0879819517564533E-3</v>
      </c>
    </row>
    <row r="407" spans="1:7" ht="13.5" customHeight="1" x14ac:dyDescent="0.3">
      <c r="A407" s="52">
        <v>44517</v>
      </c>
      <c r="B407" s="27">
        <v>98.75</v>
      </c>
      <c r="C407" s="53">
        <f t="shared" si="12"/>
        <v>-1.0521042084168309E-2</v>
      </c>
      <c r="E407" s="52">
        <v>44517</v>
      </c>
      <c r="F407" s="54">
        <v>17898.650390625</v>
      </c>
      <c r="G407" s="53">
        <f t="shared" si="13"/>
        <v>-5.5862945291619958E-3</v>
      </c>
    </row>
    <row r="408" spans="1:7" ht="13.5" customHeight="1" x14ac:dyDescent="0.3">
      <c r="A408" s="52">
        <v>44518</v>
      </c>
      <c r="B408" s="27">
        <v>94.75</v>
      </c>
      <c r="C408" s="53">
        <f t="shared" si="12"/>
        <v>-4.0506329113924051E-2</v>
      </c>
      <c r="E408" s="52">
        <v>44518</v>
      </c>
      <c r="F408" s="54">
        <v>17764.80078125</v>
      </c>
      <c r="G408" s="53">
        <f t="shared" si="13"/>
        <v>-7.4781956434608098E-3</v>
      </c>
    </row>
    <row r="409" spans="1:7" ht="13.5" customHeight="1" x14ac:dyDescent="0.3">
      <c r="A409" s="52">
        <v>44522</v>
      </c>
      <c r="B409" s="27">
        <v>96.1</v>
      </c>
      <c r="C409" s="53">
        <f t="shared" si="12"/>
        <v>1.4248021108179359E-2</v>
      </c>
      <c r="E409" s="52">
        <v>44522</v>
      </c>
      <c r="F409" s="54">
        <v>17416.55078125</v>
      </c>
      <c r="G409" s="53">
        <f t="shared" si="13"/>
        <v>-1.96033721001568E-2</v>
      </c>
    </row>
    <row r="410" spans="1:7" ht="13.5" customHeight="1" x14ac:dyDescent="0.3">
      <c r="A410" s="52">
        <v>44523</v>
      </c>
      <c r="B410" s="27">
        <v>99.05</v>
      </c>
      <c r="C410" s="53">
        <f t="shared" si="12"/>
        <v>3.0697190426638949E-2</v>
      </c>
      <c r="E410" s="52">
        <v>44523</v>
      </c>
      <c r="F410" s="54">
        <v>17503.349609375</v>
      </c>
      <c r="G410" s="53">
        <f t="shared" si="13"/>
        <v>4.9836979327987458E-3</v>
      </c>
    </row>
    <row r="411" spans="1:7" ht="13.5" customHeight="1" x14ac:dyDescent="0.3">
      <c r="A411" s="52">
        <v>44524</v>
      </c>
      <c r="B411" s="27">
        <v>95.7</v>
      </c>
      <c r="C411" s="53">
        <f t="shared" si="12"/>
        <v>-3.3821302372539067E-2</v>
      </c>
      <c r="E411" s="52">
        <v>44524</v>
      </c>
      <c r="F411" s="54">
        <v>17415.05078125</v>
      </c>
      <c r="G411" s="53">
        <f t="shared" si="13"/>
        <v>-5.0446817378146927E-3</v>
      </c>
    </row>
    <row r="412" spans="1:7" ht="13.5" customHeight="1" x14ac:dyDescent="0.3">
      <c r="A412" s="52">
        <v>44525</v>
      </c>
      <c r="B412" s="27">
        <v>96.9</v>
      </c>
      <c r="C412" s="53">
        <f t="shared" si="12"/>
        <v>1.2539184952978085E-2</v>
      </c>
      <c r="E412" s="52">
        <v>44525</v>
      </c>
      <c r="F412" s="54">
        <v>17536.25</v>
      </c>
      <c r="G412" s="53">
        <f t="shared" si="13"/>
        <v>6.9594525030320176E-3</v>
      </c>
    </row>
    <row r="413" spans="1:7" ht="13.5" customHeight="1" x14ac:dyDescent="0.3">
      <c r="A413" s="52">
        <v>44526</v>
      </c>
      <c r="B413" s="27">
        <v>88.1</v>
      </c>
      <c r="C413" s="53">
        <f t="shared" si="12"/>
        <v>-9.0815273477812292E-2</v>
      </c>
      <c r="E413" s="52">
        <v>44526</v>
      </c>
      <c r="F413" s="54">
        <v>17026.44921875</v>
      </c>
      <c r="G413" s="53">
        <f t="shared" si="13"/>
        <v>-2.9071254187753939E-2</v>
      </c>
    </row>
    <row r="414" spans="1:7" ht="13.5" customHeight="1" x14ac:dyDescent="0.3">
      <c r="A414" s="52">
        <v>44529</v>
      </c>
      <c r="B414" s="27">
        <v>88.35</v>
      </c>
      <c r="C414" s="53">
        <f t="shared" si="12"/>
        <v>2.8376844494892172E-3</v>
      </c>
      <c r="E414" s="52">
        <v>44529</v>
      </c>
      <c r="F414" s="54">
        <v>17053.94921875</v>
      </c>
      <c r="G414" s="53">
        <f t="shared" si="13"/>
        <v>1.615134174289037E-3</v>
      </c>
    </row>
    <row r="415" spans="1:7" ht="13.5" customHeight="1" x14ac:dyDescent="0.3">
      <c r="A415" s="52">
        <v>44530</v>
      </c>
      <c r="B415" s="27">
        <v>88.35</v>
      </c>
      <c r="C415" s="53">
        <f t="shared" si="12"/>
        <v>0</v>
      </c>
      <c r="E415" s="52">
        <v>44530</v>
      </c>
      <c r="F415" s="54">
        <v>16983.19921875</v>
      </c>
      <c r="G415" s="53">
        <f t="shared" si="13"/>
        <v>-4.1485991949720222E-3</v>
      </c>
    </row>
    <row r="416" spans="1:7" ht="13.5" customHeight="1" x14ac:dyDescent="0.3">
      <c r="A416" s="52">
        <v>44531</v>
      </c>
      <c r="B416" s="27">
        <v>89.95</v>
      </c>
      <c r="C416" s="53">
        <f t="shared" si="12"/>
        <v>1.8109790605546221E-2</v>
      </c>
      <c r="E416" s="52">
        <v>44531</v>
      </c>
      <c r="F416" s="54">
        <v>17166.900390625</v>
      </c>
      <c r="G416" s="53">
        <f t="shared" si="13"/>
        <v>1.0816641170421411E-2</v>
      </c>
    </row>
    <row r="417" spans="1:7" ht="13.5" customHeight="1" x14ac:dyDescent="0.3">
      <c r="A417" s="52">
        <v>44532</v>
      </c>
      <c r="B417" s="27">
        <v>91.3</v>
      </c>
      <c r="C417" s="53">
        <f t="shared" si="12"/>
        <v>1.5008337965536345E-2</v>
      </c>
      <c r="E417" s="52">
        <v>44532</v>
      </c>
      <c r="F417" s="54">
        <v>17401.650390625</v>
      </c>
      <c r="G417" s="53">
        <f t="shared" si="13"/>
        <v>1.3674571102433792E-2</v>
      </c>
    </row>
    <row r="418" spans="1:7" ht="13.5" customHeight="1" x14ac:dyDescent="0.3">
      <c r="A418" s="52">
        <v>44533</v>
      </c>
      <c r="B418" s="27">
        <v>91.7</v>
      </c>
      <c r="C418" s="53">
        <f t="shared" si="12"/>
        <v>4.3811610076670941E-3</v>
      </c>
      <c r="E418" s="52">
        <v>44533</v>
      </c>
      <c r="F418" s="54">
        <v>17196.69921875</v>
      </c>
      <c r="G418" s="53">
        <f t="shared" si="13"/>
        <v>-1.1777685867394267E-2</v>
      </c>
    </row>
    <row r="419" spans="1:7" ht="13.5" customHeight="1" x14ac:dyDescent="0.3">
      <c r="A419" s="52">
        <v>44536</v>
      </c>
      <c r="B419" s="27">
        <v>90.2</v>
      </c>
      <c r="C419" s="53">
        <f t="shared" si="12"/>
        <v>-1.6357688113413305E-2</v>
      </c>
      <c r="E419" s="52">
        <v>44536</v>
      </c>
      <c r="F419" s="54">
        <v>16912.25</v>
      </c>
      <c r="G419" s="53">
        <f t="shared" si="13"/>
        <v>-1.6540919575999662E-2</v>
      </c>
    </row>
    <row r="420" spans="1:7" ht="13.5" customHeight="1" x14ac:dyDescent="0.3">
      <c r="A420" s="52">
        <v>44537</v>
      </c>
      <c r="B420" s="27">
        <v>96.6</v>
      </c>
      <c r="C420" s="53">
        <f t="shared" si="12"/>
        <v>7.0953436807095246E-2</v>
      </c>
      <c r="E420" s="52">
        <v>44537</v>
      </c>
      <c r="F420" s="54">
        <v>17176.69921875</v>
      </c>
      <c r="G420" s="53">
        <f t="shared" si="13"/>
        <v>1.5636548581649395E-2</v>
      </c>
    </row>
    <row r="421" spans="1:7" ht="13.5" customHeight="1" x14ac:dyDescent="0.3">
      <c r="A421" s="52">
        <v>44538</v>
      </c>
      <c r="B421" s="27">
        <v>98.3</v>
      </c>
      <c r="C421" s="53">
        <f t="shared" si="12"/>
        <v>1.7598343685300239E-2</v>
      </c>
      <c r="E421" s="52">
        <v>44538</v>
      </c>
      <c r="F421" s="54">
        <v>17469.75</v>
      </c>
      <c r="G421" s="53">
        <f t="shared" si="13"/>
        <v>1.7060948527881727E-2</v>
      </c>
    </row>
    <row r="422" spans="1:7" ht="13.5" customHeight="1" x14ac:dyDescent="0.3">
      <c r="A422" s="52">
        <v>44539</v>
      </c>
      <c r="B422" s="27">
        <v>99.8</v>
      </c>
      <c r="C422" s="53">
        <f t="shared" si="12"/>
        <v>1.5259409969481181E-2</v>
      </c>
      <c r="E422" s="52">
        <v>44539</v>
      </c>
      <c r="F422" s="54">
        <v>17516.849609375</v>
      </c>
      <c r="G422" s="53">
        <f t="shared" si="13"/>
        <v>2.6960665936833668E-3</v>
      </c>
    </row>
    <row r="423" spans="1:7" ht="13.5" customHeight="1" x14ac:dyDescent="0.3">
      <c r="A423" s="52">
        <v>44540</v>
      </c>
      <c r="B423" s="27">
        <v>98.95</v>
      </c>
      <c r="C423" s="53">
        <f t="shared" si="12"/>
        <v>-8.5170340681362151E-3</v>
      </c>
      <c r="E423" s="52">
        <v>44540</v>
      </c>
      <c r="F423" s="54">
        <v>17511.30078125</v>
      </c>
      <c r="G423" s="53">
        <f t="shared" si="13"/>
        <v>-3.1677089480920548E-4</v>
      </c>
    </row>
    <row r="424" spans="1:7" ht="13.5" customHeight="1" x14ac:dyDescent="0.3">
      <c r="A424" s="52">
        <v>44543</v>
      </c>
      <c r="B424" s="27">
        <v>99.8</v>
      </c>
      <c r="C424" s="53">
        <f t="shared" si="12"/>
        <v>8.5901970692268247E-3</v>
      </c>
      <c r="E424" s="52">
        <v>44543</v>
      </c>
      <c r="F424" s="54">
        <v>17368.25</v>
      </c>
      <c r="G424" s="53">
        <f t="shared" si="13"/>
        <v>-8.1690551168631508E-3</v>
      </c>
    </row>
    <row r="425" spans="1:7" ht="13.5" customHeight="1" x14ac:dyDescent="0.3">
      <c r="A425" s="52">
        <v>44544</v>
      </c>
      <c r="B425" s="27">
        <v>101.9</v>
      </c>
      <c r="C425" s="53">
        <f t="shared" si="12"/>
        <v>2.104208416833676E-2</v>
      </c>
      <c r="E425" s="52">
        <v>44544</v>
      </c>
      <c r="F425" s="54">
        <v>17324.900390625</v>
      </c>
      <c r="G425" s="53">
        <f t="shared" si="13"/>
        <v>-2.4959111813222402E-3</v>
      </c>
    </row>
    <row r="426" spans="1:7" ht="13.5" customHeight="1" x14ac:dyDescent="0.3">
      <c r="A426" s="52">
        <v>44545</v>
      </c>
      <c r="B426" s="27">
        <v>100.3</v>
      </c>
      <c r="C426" s="53">
        <f t="shared" si="12"/>
        <v>-1.5701668302257197E-2</v>
      </c>
      <c r="E426" s="52">
        <v>44545</v>
      </c>
      <c r="F426" s="54">
        <v>17221.400390625</v>
      </c>
      <c r="G426" s="53">
        <f t="shared" si="13"/>
        <v>-5.9740603216401067E-3</v>
      </c>
    </row>
    <row r="427" spans="1:7" ht="13.5" customHeight="1" x14ac:dyDescent="0.3">
      <c r="A427" s="52">
        <v>44546</v>
      </c>
      <c r="B427" s="27">
        <v>100.8</v>
      </c>
      <c r="C427" s="53">
        <f t="shared" si="12"/>
        <v>4.9850448654037887E-3</v>
      </c>
      <c r="E427" s="52">
        <v>44546</v>
      </c>
      <c r="F427" s="54">
        <v>17248.400390625</v>
      </c>
      <c r="G427" s="53">
        <f t="shared" si="13"/>
        <v>1.5678167505296654E-3</v>
      </c>
    </row>
    <row r="428" spans="1:7" ht="13.5" customHeight="1" x14ac:dyDescent="0.3">
      <c r="A428" s="52">
        <v>44547</v>
      </c>
      <c r="B428" s="27">
        <v>98.7</v>
      </c>
      <c r="C428" s="53">
        <f t="shared" si="12"/>
        <v>-2.0833333333333277E-2</v>
      </c>
      <c r="E428" s="52">
        <v>44547</v>
      </c>
      <c r="F428" s="54">
        <v>16985.19921875</v>
      </c>
      <c r="G428" s="53">
        <f t="shared" si="13"/>
        <v>-1.525945397337004E-2</v>
      </c>
    </row>
    <row r="429" spans="1:7" ht="13.5" customHeight="1" x14ac:dyDescent="0.3">
      <c r="A429" s="52">
        <v>44550</v>
      </c>
      <c r="B429" s="27">
        <v>93.4</v>
      </c>
      <c r="C429" s="53">
        <f t="shared" si="12"/>
        <v>-5.369807497467069E-2</v>
      </c>
      <c r="E429" s="52">
        <v>44550</v>
      </c>
      <c r="F429" s="54">
        <v>16614.19921875</v>
      </c>
      <c r="G429" s="53">
        <f t="shared" si="13"/>
        <v>-2.1842546279377886E-2</v>
      </c>
    </row>
    <row r="430" spans="1:7" ht="13.5" customHeight="1" x14ac:dyDescent="0.3">
      <c r="A430" s="52">
        <v>44551</v>
      </c>
      <c r="B430" s="27">
        <v>98.45</v>
      </c>
      <c r="C430" s="53">
        <f t="shared" si="12"/>
        <v>5.4068522483940007E-2</v>
      </c>
      <c r="E430" s="52">
        <v>44551</v>
      </c>
      <c r="F430" s="54">
        <v>16770.849609375</v>
      </c>
      <c r="G430" s="53">
        <f t="shared" si="13"/>
        <v>9.4287054442089378E-3</v>
      </c>
    </row>
    <row r="431" spans="1:7" ht="13.5" customHeight="1" x14ac:dyDescent="0.3">
      <c r="A431" s="52">
        <v>44552</v>
      </c>
      <c r="B431" s="27">
        <v>103.2</v>
      </c>
      <c r="C431" s="53">
        <f t="shared" si="12"/>
        <v>4.8247841543930928E-2</v>
      </c>
      <c r="E431" s="52">
        <v>44552</v>
      </c>
      <c r="F431" s="54">
        <v>16955.44921875</v>
      </c>
      <c r="G431" s="53">
        <f t="shared" si="13"/>
        <v>1.1007170994593368E-2</v>
      </c>
    </row>
    <row r="432" spans="1:7" ht="13.5" customHeight="1" x14ac:dyDescent="0.3">
      <c r="A432" s="52">
        <v>44553</v>
      </c>
      <c r="B432" s="27">
        <v>103.8</v>
      </c>
      <c r="C432" s="53">
        <f t="shared" si="12"/>
        <v>5.8139534883720374E-3</v>
      </c>
      <c r="E432" s="52">
        <v>44553</v>
      </c>
      <c r="F432" s="54">
        <v>17072.599609375</v>
      </c>
      <c r="G432" s="53">
        <f t="shared" si="13"/>
        <v>6.9093062126275315E-3</v>
      </c>
    </row>
    <row r="433" spans="1:7" ht="13.5" customHeight="1" x14ac:dyDescent="0.3">
      <c r="A433" s="52">
        <v>44554</v>
      </c>
      <c r="B433" s="27">
        <v>100.8</v>
      </c>
      <c r="C433" s="53">
        <f t="shared" si="12"/>
        <v>-2.8901734104046242E-2</v>
      </c>
      <c r="E433" s="52">
        <v>44554</v>
      </c>
      <c r="F433" s="54">
        <v>17003.75</v>
      </c>
      <c r="G433" s="53">
        <f t="shared" si="13"/>
        <v>-4.0327548791803756E-3</v>
      </c>
    </row>
    <row r="434" spans="1:7" ht="13.5" customHeight="1" x14ac:dyDescent="0.3">
      <c r="A434" s="52">
        <v>44557</v>
      </c>
      <c r="B434" s="27">
        <v>100.9</v>
      </c>
      <c r="C434" s="53">
        <f t="shared" si="12"/>
        <v>9.9206349206357658E-4</v>
      </c>
      <c r="E434" s="52">
        <v>44557</v>
      </c>
      <c r="F434" s="54">
        <v>17086.25</v>
      </c>
      <c r="G434" s="53">
        <f t="shared" si="13"/>
        <v>4.8518709108284937E-3</v>
      </c>
    </row>
    <row r="435" spans="1:7" ht="13.5" customHeight="1" x14ac:dyDescent="0.3">
      <c r="A435" s="52">
        <v>44558</v>
      </c>
      <c r="B435" s="27">
        <v>100.05</v>
      </c>
      <c r="C435" s="53">
        <f t="shared" si="12"/>
        <v>-8.4241823587711453E-3</v>
      </c>
      <c r="E435" s="52">
        <v>44558</v>
      </c>
      <c r="F435" s="54">
        <v>17233.25</v>
      </c>
      <c r="G435" s="53">
        <f t="shared" si="13"/>
        <v>8.6034091740434561E-3</v>
      </c>
    </row>
    <row r="436" spans="1:7" ht="13.5" customHeight="1" x14ac:dyDescent="0.3">
      <c r="A436" s="52">
        <v>44559</v>
      </c>
      <c r="B436" s="27">
        <v>98.65</v>
      </c>
      <c r="C436" s="53">
        <f t="shared" si="12"/>
        <v>-1.399300349825079E-2</v>
      </c>
      <c r="E436" s="52">
        <v>44559</v>
      </c>
      <c r="F436" s="54">
        <v>17213.599609375</v>
      </c>
      <c r="G436" s="53">
        <f t="shared" si="13"/>
        <v>-1.1402602889762524E-3</v>
      </c>
    </row>
    <row r="437" spans="1:7" ht="13.5" customHeight="1" x14ac:dyDescent="0.3">
      <c r="A437" s="52">
        <v>44560</v>
      </c>
      <c r="B437" s="27">
        <v>97.6</v>
      </c>
      <c r="C437" s="53">
        <f t="shared" si="12"/>
        <v>-1.0643689812468438E-2</v>
      </c>
      <c r="E437" s="52">
        <v>44560</v>
      </c>
      <c r="F437" s="54">
        <v>17203.94921875</v>
      </c>
      <c r="G437" s="53">
        <f t="shared" si="13"/>
        <v>-5.606259494814862E-4</v>
      </c>
    </row>
    <row r="438" spans="1:7" ht="13.5" customHeight="1" x14ac:dyDescent="0.3">
      <c r="A438" s="52">
        <v>44561</v>
      </c>
      <c r="B438" s="27">
        <v>101</v>
      </c>
      <c r="C438" s="53">
        <f t="shared" si="12"/>
        <v>3.4836065573770551E-2</v>
      </c>
      <c r="E438" s="52">
        <v>44561</v>
      </c>
      <c r="F438" s="54">
        <v>17354.05078125</v>
      </c>
      <c r="G438" s="53">
        <f t="shared" si="13"/>
        <v>8.7248317576065267E-3</v>
      </c>
    </row>
    <row r="439" spans="1:7" ht="13.5" customHeight="1" x14ac:dyDescent="0.3">
      <c r="A439" s="52">
        <v>44564</v>
      </c>
      <c r="B439" s="27">
        <v>103.15</v>
      </c>
      <c r="C439" s="53">
        <f t="shared" si="12"/>
        <v>2.1287128712871344E-2</v>
      </c>
      <c r="E439" s="52">
        <v>44564</v>
      </c>
      <c r="F439" s="54">
        <v>17625.69921875</v>
      </c>
      <c r="G439" s="53">
        <f t="shared" si="13"/>
        <v>1.565331581220793E-2</v>
      </c>
    </row>
    <row r="440" spans="1:7" ht="13.5" customHeight="1" x14ac:dyDescent="0.3">
      <c r="A440" s="52">
        <v>44565</v>
      </c>
      <c r="B440" s="27">
        <v>102.1</v>
      </c>
      <c r="C440" s="53">
        <f t="shared" si="12"/>
        <v>-1.0179350460494535E-2</v>
      </c>
      <c r="E440" s="52">
        <v>44565</v>
      </c>
      <c r="F440" s="54">
        <v>17805.25</v>
      </c>
      <c r="G440" s="53">
        <f t="shared" si="13"/>
        <v>1.0186874235264159E-2</v>
      </c>
    </row>
    <row r="441" spans="1:7" ht="13.5" customHeight="1" x14ac:dyDescent="0.3">
      <c r="A441" s="52">
        <v>44566</v>
      </c>
      <c r="B441" s="27">
        <v>103.45</v>
      </c>
      <c r="C441" s="53">
        <f t="shared" si="12"/>
        <v>1.3222331047992249E-2</v>
      </c>
      <c r="E441" s="52">
        <v>44566</v>
      </c>
      <c r="F441" s="54">
        <v>17925.25</v>
      </c>
      <c r="G441" s="53">
        <f t="shared" si="13"/>
        <v>6.7395852346920151E-3</v>
      </c>
    </row>
    <row r="442" spans="1:7" ht="13.5" customHeight="1" x14ac:dyDescent="0.3">
      <c r="A442" s="52">
        <v>44567</v>
      </c>
      <c r="B442" s="27">
        <v>104.9</v>
      </c>
      <c r="C442" s="53">
        <f t="shared" si="12"/>
        <v>1.4016433059449036E-2</v>
      </c>
      <c r="E442" s="52">
        <v>44567</v>
      </c>
      <c r="F442" s="54">
        <v>17745.900390625</v>
      </c>
      <c r="G442" s="53">
        <f t="shared" si="13"/>
        <v>-1.0005417462796892E-2</v>
      </c>
    </row>
    <row r="443" spans="1:7" ht="13.5" customHeight="1" x14ac:dyDescent="0.3">
      <c r="A443" s="52">
        <v>44568</v>
      </c>
      <c r="B443" s="27">
        <v>110.7</v>
      </c>
      <c r="C443" s="53">
        <f t="shared" si="12"/>
        <v>5.5290753098188719E-2</v>
      </c>
      <c r="E443" s="52">
        <v>44568</v>
      </c>
      <c r="F443" s="54">
        <v>17812.69921875</v>
      </c>
      <c r="G443" s="53">
        <f t="shared" si="13"/>
        <v>3.7641836511315718E-3</v>
      </c>
    </row>
    <row r="444" spans="1:7" ht="13.5" customHeight="1" x14ac:dyDescent="0.3">
      <c r="A444" s="52">
        <v>44571</v>
      </c>
      <c r="B444" s="27">
        <v>112.65</v>
      </c>
      <c r="C444" s="53">
        <f t="shared" si="12"/>
        <v>1.7615176151761544E-2</v>
      </c>
      <c r="E444" s="52">
        <v>44571</v>
      </c>
      <c r="F444" s="54">
        <v>18003.30078125</v>
      </c>
      <c r="G444" s="53">
        <f t="shared" si="13"/>
        <v>1.0700318921871708E-2</v>
      </c>
    </row>
    <row r="445" spans="1:7" ht="13.5" customHeight="1" x14ac:dyDescent="0.3">
      <c r="A445" s="52">
        <v>44572</v>
      </c>
      <c r="B445" s="27">
        <v>108.45</v>
      </c>
      <c r="C445" s="53">
        <f t="shared" si="12"/>
        <v>-3.7283621837549956E-2</v>
      </c>
      <c r="E445" s="52">
        <v>44572</v>
      </c>
      <c r="F445" s="54">
        <v>18055.75</v>
      </c>
      <c r="G445" s="53">
        <f t="shared" si="13"/>
        <v>2.9133112526023332E-3</v>
      </c>
    </row>
    <row r="446" spans="1:7" ht="13.5" customHeight="1" x14ac:dyDescent="0.3">
      <c r="A446" s="52">
        <v>44573</v>
      </c>
      <c r="B446" s="27">
        <v>111.3</v>
      </c>
      <c r="C446" s="53">
        <f t="shared" si="12"/>
        <v>2.6279391424619589E-2</v>
      </c>
      <c r="E446" s="52">
        <v>44573</v>
      </c>
      <c r="F446" s="54">
        <v>18212.349609375</v>
      </c>
      <c r="G446" s="53">
        <f t="shared" si="13"/>
        <v>8.6731157318305808E-3</v>
      </c>
    </row>
    <row r="447" spans="1:7" ht="13.5" customHeight="1" x14ac:dyDescent="0.3">
      <c r="A447" s="52">
        <v>44574</v>
      </c>
      <c r="B447" s="27">
        <v>113.7</v>
      </c>
      <c r="C447" s="53">
        <f t="shared" si="12"/>
        <v>2.1563342318059352E-2</v>
      </c>
      <c r="E447" s="52">
        <v>44574</v>
      </c>
      <c r="F447" s="54">
        <v>18257.80078125</v>
      </c>
      <c r="G447" s="53">
        <f t="shared" si="13"/>
        <v>2.495623730592319E-3</v>
      </c>
    </row>
    <row r="448" spans="1:7" ht="13.5" customHeight="1" x14ac:dyDescent="0.3">
      <c r="A448" s="52">
        <v>44575</v>
      </c>
      <c r="B448" s="27">
        <v>113.55</v>
      </c>
      <c r="C448" s="53">
        <f t="shared" si="12"/>
        <v>-1.3192612137203667E-3</v>
      </c>
      <c r="E448" s="52">
        <v>44575</v>
      </c>
      <c r="F448" s="54">
        <v>18255.75</v>
      </c>
      <c r="G448" s="53">
        <f t="shared" si="13"/>
        <v>-1.1232356375068276E-4</v>
      </c>
    </row>
    <row r="449" spans="1:7" ht="13.5" customHeight="1" x14ac:dyDescent="0.3">
      <c r="A449" s="52">
        <v>44578</v>
      </c>
      <c r="B449" s="27">
        <v>110.25</v>
      </c>
      <c r="C449" s="53">
        <f t="shared" si="12"/>
        <v>-2.9062087186261534E-2</v>
      </c>
      <c r="E449" s="52">
        <v>44578</v>
      </c>
      <c r="F449" s="54">
        <v>18308.099609375</v>
      </c>
      <c r="G449" s="53">
        <f t="shared" si="13"/>
        <v>2.867568266162716E-3</v>
      </c>
    </row>
    <row r="450" spans="1:7" ht="13.5" customHeight="1" x14ac:dyDescent="0.3">
      <c r="A450" s="52">
        <v>44579</v>
      </c>
      <c r="B450" s="27">
        <v>107.1</v>
      </c>
      <c r="C450" s="53">
        <f t="shared" si="12"/>
        <v>-2.8571428571428623E-2</v>
      </c>
      <c r="E450" s="52">
        <v>44579</v>
      </c>
      <c r="F450" s="54">
        <v>18113.05078125</v>
      </c>
      <c r="G450" s="53">
        <f t="shared" si="13"/>
        <v>-1.0653690567923372E-2</v>
      </c>
    </row>
    <row r="451" spans="1:7" ht="13.5" customHeight="1" x14ac:dyDescent="0.3">
      <c r="A451" s="52">
        <v>44580</v>
      </c>
      <c r="B451" s="27">
        <v>109.2</v>
      </c>
      <c r="C451" s="53">
        <f t="shared" si="12"/>
        <v>1.9607843137254981E-2</v>
      </c>
      <c r="E451" s="52">
        <v>44580</v>
      </c>
      <c r="F451" s="54">
        <v>17938.400390625</v>
      </c>
      <c r="G451" s="53">
        <f t="shared" si="13"/>
        <v>-9.642240433941256E-3</v>
      </c>
    </row>
    <row r="452" spans="1:7" ht="13.5" customHeight="1" x14ac:dyDescent="0.3">
      <c r="A452" s="52">
        <v>44581</v>
      </c>
      <c r="B452" s="27">
        <v>110.65</v>
      </c>
      <c r="C452" s="53">
        <f t="shared" si="12"/>
        <v>1.3278388278388304E-2</v>
      </c>
      <c r="E452" s="52">
        <v>44581</v>
      </c>
      <c r="F452" s="54">
        <v>17757</v>
      </c>
      <c r="G452" s="53">
        <f t="shared" si="13"/>
        <v>-1.0112406160797024E-2</v>
      </c>
    </row>
    <row r="453" spans="1:7" ht="13.5" customHeight="1" x14ac:dyDescent="0.3">
      <c r="A453" s="52">
        <v>44582</v>
      </c>
      <c r="B453" s="27">
        <v>108.25</v>
      </c>
      <c r="C453" s="53">
        <f t="shared" ref="C453:C516" si="14">(B453-B452)/B452</f>
        <v>-2.1690013556258523E-2</v>
      </c>
      <c r="E453" s="52">
        <v>44582</v>
      </c>
      <c r="F453" s="54">
        <v>17617.150390625</v>
      </c>
      <c r="G453" s="53">
        <f t="shared" ref="G453:G516" si="15">(F453-F452)/F452</f>
        <v>-7.875745304668582E-3</v>
      </c>
    </row>
    <row r="454" spans="1:7" ht="13.5" customHeight="1" x14ac:dyDescent="0.3">
      <c r="A454" s="52">
        <v>44585</v>
      </c>
      <c r="B454" s="27">
        <v>101.2</v>
      </c>
      <c r="C454" s="53">
        <f t="shared" si="14"/>
        <v>-6.5127020785219369E-2</v>
      </c>
      <c r="E454" s="52">
        <v>44585</v>
      </c>
      <c r="F454" s="54">
        <v>17149.099609375</v>
      </c>
      <c r="G454" s="53">
        <f t="shared" si="15"/>
        <v>-2.6567905187383431E-2</v>
      </c>
    </row>
    <row r="455" spans="1:7" ht="13.5" customHeight="1" x14ac:dyDescent="0.3">
      <c r="A455" s="52">
        <v>44586</v>
      </c>
      <c r="B455" s="27">
        <v>107.25</v>
      </c>
      <c r="C455" s="53">
        <f t="shared" si="14"/>
        <v>5.9782608695652141E-2</v>
      </c>
      <c r="E455" s="52">
        <v>44586</v>
      </c>
      <c r="F455" s="54">
        <v>17277.94921875</v>
      </c>
      <c r="G455" s="53">
        <f t="shared" si="15"/>
        <v>7.5134912216942877E-3</v>
      </c>
    </row>
    <row r="456" spans="1:7" ht="13.5" customHeight="1" x14ac:dyDescent="0.3">
      <c r="A456" s="52">
        <v>44588</v>
      </c>
      <c r="B456" s="27">
        <v>106.25</v>
      </c>
      <c r="C456" s="53">
        <f t="shared" si="14"/>
        <v>-9.324009324009324E-3</v>
      </c>
      <c r="E456" s="52">
        <v>44588</v>
      </c>
      <c r="F456" s="54">
        <v>17110.150390625</v>
      </c>
      <c r="G456" s="53">
        <f t="shared" si="15"/>
        <v>-9.7117329146276816E-3</v>
      </c>
    </row>
    <row r="457" spans="1:7" ht="13.5" customHeight="1" x14ac:dyDescent="0.3">
      <c r="A457" s="52">
        <v>44589</v>
      </c>
      <c r="B457" s="27">
        <v>108.8</v>
      </c>
      <c r="C457" s="53">
        <f t="shared" si="14"/>
        <v>2.3999999999999973E-2</v>
      </c>
      <c r="E457" s="52">
        <v>44589</v>
      </c>
      <c r="F457" s="54">
        <v>17101.94921875</v>
      </c>
      <c r="G457" s="53">
        <f t="shared" si="15"/>
        <v>-4.7931617710932507E-4</v>
      </c>
    </row>
    <row r="458" spans="1:7" ht="13.5" customHeight="1" x14ac:dyDescent="0.3">
      <c r="A458" s="52">
        <v>44592</v>
      </c>
      <c r="B458" s="27">
        <v>108.85</v>
      </c>
      <c r="C458" s="53">
        <f t="shared" si="14"/>
        <v>4.5955882352938563E-4</v>
      </c>
      <c r="E458" s="52">
        <v>44592</v>
      </c>
      <c r="F458" s="54">
        <v>17339.849609375</v>
      </c>
      <c r="G458" s="53">
        <f t="shared" si="15"/>
        <v>1.3910717870929826E-2</v>
      </c>
    </row>
    <row r="459" spans="1:7" ht="13.5" customHeight="1" x14ac:dyDescent="0.3">
      <c r="A459" s="52">
        <v>44593</v>
      </c>
      <c r="B459" s="27">
        <v>113.45</v>
      </c>
      <c r="C459" s="53">
        <f t="shared" si="14"/>
        <v>4.2259990813045559E-2</v>
      </c>
      <c r="E459" s="52">
        <v>44593</v>
      </c>
      <c r="F459" s="54">
        <v>17576.849609375</v>
      </c>
      <c r="G459" s="53">
        <f t="shared" si="15"/>
        <v>1.366793861187026E-2</v>
      </c>
    </row>
    <row r="460" spans="1:7" ht="13.5" customHeight="1" x14ac:dyDescent="0.3">
      <c r="A460" s="52">
        <v>44594</v>
      </c>
      <c r="B460" s="27">
        <v>116.05</v>
      </c>
      <c r="C460" s="53">
        <f t="shared" si="14"/>
        <v>2.2917584839136133E-2</v>
      </c>
      <c r="E460" s="52">
        <v>44594</v>
      </c>
      <c r="F460" s="54">
        <v>17780</v>
      </c>
      <c r="G460" s="53">
        <f t="shared" si="15"/>
        <v>1.1557838585399586E-2</v>
      </c>
    </row>
    <row r="461" spans="1:7" ht="13.5" customHeight="1" x14ac:dyDescent="0.3">
      <c r="A461" s="52">
        <v>44595</v>
      </c>
      <c r="B461" s="27">
        <v>116.8</v>
      </c>
      <c r="C461" s="53">
        <f t="shared" si="14"/>
        <v>6.4627315812149939E-3</v>
      </c>
      <c r="E461" s="52">
        <v>44595</v>
      </c>
      <c r="F461" s="54">
        <v>17560.19921875</v>
      </c>
      <c r="G461" s="53">
        <f t="shared" si="15"/>
        <v>-1.2362248664229471E-2</v>
      </c>
    </row>
    <row r="462" spans="1:7" ht="13.5" customHeight="1" x14ac:dyDescent="0.3">
      <c r="A462" s="52">
        <v>44596</v>
      </c>
      <c r="B462" s="27">
        <v>117.85</v>
      </c>
      <c r="C462" s="53">
        <f t="shared" si="14"/>
        <v>8.9897260273972355E-3</v>
      </c>
      <c r="E462" s="52">
        <v>44596</v>
      </c>
      <c r="F462" s="54">
        <v>17516.30078125</v>
      </c>
      <c r="G462" s="53">
        <f t="shared" si="15"/>
        <v>-2.4998826581151311E-3</v>
      </c>
    </row>
    <row r="463" spans="1:7" ht="13.5" customHeight="1" x14ac:dyDescent="0.3">
      <c r="A463" s="52">
        <v>44599</v>
      </c>
      <c r="B463" s="27">
        <v>119</v>
      </c>
      <c r="C463" s="53">
        <f t="shared" si="14"/>
        <v>9.7581671616462085E-3</v>
      </c>
      <c r="E463" s="52">
        <v>44599</v>
      </c>
      <c r="F463" s="54">
        <v>17213.599609375</v>
      </c>
      <c r="G463" s="53">
        <f t="shared" si="15"/>
        <v>-1.7281112927623445E-2</v>
      </c>
    </row>
    <row r="464" spans="1:7" ht="13.5" customHeight="1" x14ac:dyDescent="0.3">
      <c r="A464" s="52">
        <v>44600</v>
      </c>
      <c r="B464" s="27">
        <v>119.2</v>
      </c>
      <c r="C464" s="53">
        <f t="shared" si="14"/>
        <v>1.680672268907587E-3</v>
      </c>
      <c r="E464" s="52">
        <v>44600</v>
      </c>
      <c r="F464" s="54">
        <v>17266.75</v>
      </c>
      <c r="G464" s="53">
        <f t="shared" si="15"/>
        <v>3.0876976246184346E-3</v>
      </c>
    </row>
    <row r="465" spans="1:7" ht="13.5" customHeight="1" x14ac:dyDescent="0.3">
      <c r="A465" s="52">
        <v>44601</v>
      </c>
      <c r="B465" s="27">
        <v>124.7</v>
      </c>
      <c r="C465" s="53">
        <f t="shared" si="14"/>
        <v>4.6140939597315432E-2</v>
      </c>
      <c r="E465" s="52">
        <v>44601</v>
      </c>
      <c r="F465" s="54">
        <v>17463.80078125</v>
      </c>
      <c r="G465" s="53">
        <f t="shared" si="15"/>
        <v>1.1412152330345897E-2</v>
      </c>
    </row>
    <row r="466" spans="1:7" ht="13.5" customHeight="1" x14ac:dyDescent="0.3">
      <c r="A466" s="52">
        <v>44602</v>
      </c>
      <c r="B466" s="27">
        <v>125.9</v>
      </c>
      <c r="C466" s="53">
        <f t="shared" si="14"/>
        <v>9.6230954290296936E-3</v>
      </c>
      <c r="E466" s="52">
        <v>44602</v>
      </c>
      <c r="F466" s="54">
        <v>17605.849609375</v>
      </c>
      <c r="G466" s="53">
        <f t="shared" si="15"/>
        <v>8.1339010851240717E-3</v>
      </c>
    </row>
    <row r="467" spans="1:7" ht="13.5" customHeight="1" x14ac:dyDescent="0.3">
      <c r="A467" s="52">
        <v>44603</v>
      </c>
      <c r="B467" s="27">
        <v>122.5</v>
      </c>
      <c r="C467" s="53">
        <f t="shared" si="14"/>
        <v>-2.7005559968228798E-2</v>
      </c>
      <c r="E467" s="52">
        <v>44603</v>
      </c>
      <c r="F467" s="54">
        <v>17374.75</v>
      </c>
      <c r="G467" s="53">
        <f t="shared" si="15"/>
        <v>-1.3126296912813624E-2</v>
      </c>
    </row>
    <row r="468" spans="1:7" ht="13.5" customHeight="1" x14ac:dyDescent="0.3">
      <c r="A468" s="52">
        <v>44606</v>
      </c>
      <c r="B468" s="27">
        <v>119.3</v>
      </c>
      <c r="C468" s="53">
        <f t="shared" si="14"/>
        <v>-2.6122448979591859E-2</v>
      </c>
      <c r="E468" s="52">
        <v>44606</v>
      </c>
      <c r="F468" s="54">
        <v>16842.80078125</v>
      </c>
      <c r="G468" s="53">
        <f t="shared" si="15"/>
        <v>-3.0616222895293456E-2</v>
      </c>
    </row>
    <row r="469" spans="1:7" ht="13.5" customHeight="1" x14ac:dyDescent="0.3">
      <c r="A469" s="52">
        <v>44607</v>
      </c>
      <c r="B469" s="27">
        <v>122.35</v>
      </c>
      <c r="C469" s="53">
        <f t="shared" si="14"/>
        <v>2.5565800502933757E-2</v>
      </c>
      <c r="E469" s="52">
        <v>44607</v>
      </c>
      <c r="F469" s="54">
        <v>17352.44921875</v>
      </c>
      <c r="G469" s="53">
        <f t="shared" si="15"/>
        <v>3.0259126383977576E-2</v>
      </c>
    </row>
    <row r="470" spans="1:7" ht="13.5" customHeight="1" x14ac:dyDescent="0.3">
      <c r="A470" s="52">
        <v>44608</v>
      </c>
      <c r="B470" s="27">
        <v>120.8</v>
      </c>
      <c r="C470" s="53">
        <f t="shared" si="14"/>
        <v>-1.2668573763792376E-2</v>
      </c>
      <c r="E470" s="52">
        <v>44608</v>
      </c>
      <c r="F470" s="54">
        <v>17322.19921875</v>
      </c>
      <c r="G470" s="53">
        <f t="shared" si="15"/>
        <v>-1.7432697608654399E-3</v>
      </c>
    </row>
    <row r="471" spans="1:7" ht="13.5" customHeight="1" x14ac:dyDescent="0.3">
      <c r="A471" s="52">
        <v>44609</v>
      </c>
      <c r="B471" s="27">
        <v>117.4</v>
      </c>
      <c r="C471" s="53">
        <f t="shared" si="14"/>
        <v>-2.8145695364238339E-2</v>
      </c>
      <c r="E471" s="52">
        <v>44609</v>
      </c>
      <c r="F471" s="54">
        <v>17304.599609375</v>
      </c>
      <c r="G471" s="53">
        <f t="shared" si="15"/>
        <v>-1.0160147191904897E-3</v>
      </c>
    </row>
    <row r="472" spans="1:7" ht="13.5" customHeight="1" x14ac:dyDescent="0.3">
      <c r="A472" s="52">
        <v>44610</v>
      </c>
      <c r="B472" s="27">
        <v>115.15</v>
      </c>
      <c r="C472" s="53">
        <f t="shared" si="14"/>
        <v>-1.916524701873935E-2</v>
      </c>
      <c r="E472" s="52">
        <v>44610</v>
      </c>
      <c r="F472" s="54">
        <v>17276.30078125</v>
      </c>
      <c r="G472" s="53">
        <f t="shared" si="15"/>
        <v>-1.6353356196504385E-3</v>
      </c>
    </row>
    <row r="473" spans="1:7" ht="13.5" customHeight="1" x14ac:dyDescent="0.3">
      <c r="A473" s="52">
        <v>44613</v>
      </c>
      <c r="B473" s="27">
        <v>111.65</v>
      </c>
      <c r="C473" s="53">
        <f t="shared" si="14"/>
        <v>-3.0395136778115499E-2</v>
      </c>
      <c r="E473" s="52">
        <v>44613</v>
      </c>
      <c r="F473" s="54">
        <v>17206.650390625</v>
      </c>
      <c r="G473" s="53">
        <f t="shared" si="15"/>
        <v>-4.0315569581071253E-3</v>
      </c>
    </row>
    <row r="474" spans="1:7" ht="13.5" customHeight="1" x14ac:dyDescent="0.3">
      <c r="A474" s="52">
        <v>44614</v>
      </c>
      <c r="B474" s="27">
        <v>115.5</v>
      </c>
      <c r="C474" s="53">
        <f t="shared" si="14"/>
        <v>3.4482758620689599E-2</v>
      </c>
      <c r="E474" s="52">
        <v>44614</v>
      </c>
      <c r="F474" s="54">
        <v>17092.19921875</v>
      </c>
      <c r="G474" s="53">
        <f t="shared" si="15"/>
        <v>-6.6515660675803834E-3</v>
      </c>
    </row>
    <row r="475" spans="1:7" ht="13.5" customHeight="1" x14ac:dyDescent="0.3">
      <c r="A475" s="52">
        <v>44615</v>
      </c>
      <c r="B475" s="27">
        <v>116.1</v>
      </c>
      <c r="C475" s="53">
        <f t="shared" si="14"/>
        <v>5.1948051948051454E-3</v>
      </c>
      <c r="E475" s="52">
        <v>44615</v>
      </c>
      <c r="F475" s="54">
        <v>17063.25</v>
      </c>
      <c r="G475" s="53">
        <f t="shared" si="15"/>
        <v>-1.6937094155936908E-3</v>
      </c>
    </row>
    <row r="476" spans="1:7" ht="13.5" customHeight="1" x14ac:dyDescent="0.3">
      <c r="A476" s="52">
        <v>44616</v>
      </c>
      <c r="B476" s="27">
        <v>112.05</v>
      </c>
      <c r="C476" s="53">
        <f t="shared" si="14"/>
        <v>-3.4883720930232537E-2</v>
      </c>
      <c r="E476" s="52">
        <v>44616</v>
      </c>
      <c r="F476" s="54">
        <v>16247.9501953125</v>
      </c>
      <c r="G476" s="53">
        <f t="shared" si="15"/>
        <v>-4.7781038470836444E-2</v>
      </c>
    </row>
    <row r="477" spans="1:7" ht="13.5" customHeight="1" x14ac:dyDescent="0.3">
      <c r="A477" s="52">
        <v>44617</v>
      </c>
      <c r="B477" s="27">
        <v>117.3</v>
      </c>
      <c r="C477" s="53">
        <f t="shared" si="14"/>
        <v>4.6854082998661312E-2</v>
      </c>
      <c r="E477" s="52">
        <v>44617</v>
      </c>
      <c r="F477" s="54">
        <v>16658.400390625</v>
      </c>
      <c r="G477" s="53">
        <f t="shared" si="15"/>
        <v>2.5261660109649649E-2</v>
      </c>
    </row>
    <row r="478" spans="1:7" ht="13.5" customHeight="1" x14ac:dyDescent="0.3">
      <c r="A478" s="52">
        <v>44620</v>
      </c>
      <c r="B478" s="27">
        <v>121.3</v>
      </c>
      <c r="C478" s="53">
        <f t="shared" si="14"/>
        <v>3.4100596760443309E-2</v>
      </c>
      <c r="E478" s="52">
        <v>44620</v>
      </c>
      <c r="F478" s="54">
        <v>16793.900390625</v>
      </c>
      <c r="G478" s="53">
        <f t="shared" si="15"/>
        <v>8.1340342903665937E-3</v>
      </c>
    </row>
    <row r="479" spans="1:7" ht="13.5" customHeight="1" x14ac:dyDescent="0.3">
      <c r="A479" s="52">
        <v>44622</v>
      </c>
      <c r="B479" s="27">
        <v>125.95</v>
      </c>
      <c r="C479" s="53">
        <f t="shared" si="14"/>
        <v>3.8334707337180592E-2</v>
      </c>
      <c r="E479" s="52">
        <v>44622</v>
      </c>
      <c r="F479" s="54">
        <v>16605.94921875</v>
      </c>
      <c r="G479" s="53">
        <f t="shared" si="15"/>
        <v>-1.1191633122935609E-2</v>
      </c>
    </row>
    <row r="480" spans="1:7" ht="13.5" customHeight="1" x14ac:dyDescent="0.3">
      <c r="A480" s="52">
        <v>44623</v>
      </c>
      <c r="B480" s="27">
        <v>129</v>
      </c>
      <c r="C480" s="53">
        <f t="shared" si="14"/>
        <v>2.4215958713775285E-2</v>
      </c>
      <c r="E480" s="52">
        <v>44623</v>
      </c>
      <c r="F480" s="54">
        <v>16498.05078125</v>
      </c>
      <c r="G480" s="53">
        <f t="shared" si="15"/>
        <v>-6.4975772284170561E-3</v>
      </c>
    </row>
    <row r="481" spans="1:7" ht="13.5" customHeight="1" x14ac:dyDescent="0.3">
      <c r="A481" s="52">
        <v>44624</v>
      </c>
      <c r="B481" s="27">
        <v>122.8</v>
      </c>
      <c r="C481" s="53">
        <f t="shared" si="14"/>
        <v>-4.8062015503875989E-2</v>
      </c>
      <c r="E481" s="52">
        <v>44624</v>
      </c>
      <c r="F481" s="54">
        <v>16245.349609375</v>
      </c>
      <c r="G481" s="53">
        <f t="shared" si="15"/>
        <v>-1.5317032007332306E-2</v>
      </c>
    </row>
    <row r="482" spans="1:7" ht="13.5" customHeight="1" x14ac:dyDescent="0.3">
      <c r="A482" s="52">
        <v>44627</v>
      </c>
      <c r="B482" s="27">
        <v>127.1</v>
      </c>
      <c r="C482" s="53">
        <f t="shared" si="14"/>
        <v>3.5016286644951121E-2</v>
      </c>
      <c r="E482" s="52">
        <v>44627</v>
      </c>
      <c r="F482" s="54">
        <v>15863.150390625</v>
      </c>
      <c r="G482" s="53">
        <f t="shared" si="15"/>
        <v>-2.3526684739947814E-2</v>
      </c>
    </row>
    <row r="483" spans="1:7" ht="13.5" customHeight="1" x14ac:dyDescent="0.3">
      <c r="A483" s="52">
        <v>44628</v>
      </c>
      <c r="B483" s="27">
        <v>122.15</v>
      </c>
      <c r="C483" s="53">
        <f t="shared" si="14"/>
        <v>-3.8945712037765451E-2</v>
      </c>
      <c r="E483" s="52">
        <v>44628</v>
      </c>
      <c r="F483" s="54">
        <v>16013.4501953125</v>
      </c>
      <c r="G483" s="53">
        <f t="shared" si="15"/>
        <v>9.4747765094836418E-3</v>
      </c>
    </row>
    <row r="484" spans="1:7" ht="13.5" customHeight="1" x14ac:dyDescent="0.3">
      <c r="A484" s="52">
        <v>44629</v>
      </c>
      <c r="B484" s="27">
        <v>122.35</v>
      </c>
      <c r="C484" s="53">
        <f t="shared" si="14"/>
        <v>1.63733115022504E-3</v>
      </c>
      <c r="E484" s="52">
        <v>44629</v>
      </c>
      <c r="F484" s="54">
        <v>16345.349609375</v>
      </c>
      <c r="G484" s="53">
        <f t="shared" si="15"/>
        <v>2.0726290088294307E-2</v>
      </c>
    </row>
    <row r="485" spans="1:7" ht="13.5" customHeight="1" x14ac:dyDescent="0.3">
      <c r="A485" s="52">
        <v>44630</v>
      </c>
      <c r="B485" s="27">
        <v>122.2</v>
      </c>
      <c r="C485" s="53">
        <f t="shared" si="14"/>
        <v>-1.2259910093991948E-3</v>
      </c>
      <c r="E485" s="52">
        <v>44630</v>
      </c>
      <c r="F485" s="54">
        <v>16594.900390625</v>
      </c>
      <c r="G485" s="53">
        <f t="shared" si="15"/>
        <v>1.5267387190474546E-2</v>
      </c>
    </row>
    <row r="486" spans="1:7" ht="13.5" customHeight="1" x14ac:dyDescent="0.3">
      <c r="A486" s="52">
        <v>44631</v>
      </c>
      <c r="B486" s="27">
        <v>121.9</v>
      </c>
      <c r="C486" s="53">
        <f t="shared" si="14"/>
        <v>-2.4549918166939209E-3</v>
      </c>
      <c r="E486" s="52">
        <v>44631</v>
      </c>
      <c r="F486" s="54">
        <v>16630.44921875</v>
      </c>
      <c r="G486" s="53">
        <f t="shared" si="15"/>
        <v>2.14215375134657E-3</v>
      </c>
    </row>
    <row r="487" spans="1:7" ht="13.5" customHeight="1" x14ac:dyDescent="0.3">
      <c r="A487" s="52">
        <v>44634</v>
      </c>
      <c r="B487" s="27">
        <v>117.75</v>
      </c>
      <c r="C487" s="53">
        <f t="shared" si="14"/>
        <v>-3.4044298605414317E-2</v>
      </c>
      <c r="E487" s="52">
        <v>44634</v>
      </c>
      <c r="F487" s="54">
        <v>16871.30078125</v>
      </c>
      <c r="G487" s="53">
        <f t="shared" si="15"/>
        <v>1.4482565042708041E-2</v>
      </c>
    </row>
    <row r="488" spans="1:7" ht="13.5" customHeight="1" x14ac:dyDescent="0.3">
      <c r="A488" s="52">
        <v>44635</v>
      </c>
      <c r="B488" s="27">
        <v>113.65</v>
      </c>
      <c r="C488" s="53">
        <f t="shared" si="14"/>
        <v>-3.4819532908704834E-2</v>
      </c>
      <c r="E488" s="52">
        <v>44635</v>
      </c>
      <c r="F488" s="54">
        <v>16663</v>
      </c>
      <c r="G488" s="53">
        <f t="shared" si="15"/>
        <v>-1.2346456503312184E-2</v>
      </c>
    </row>
    <row r="489" spans="1:7" ht="13.5" customHeight="1" x14ac:dyDescent="0.3">
      <c r="A489" s="52">
        <v>44636</v>
      </c>
      <c r="B489" s="27">
        <v>117</v>
      </c>
      <c r="C489" s="53">
        <f t="shared" si="14"/>
        <v>2.9476462824461012E-2</v>
      </c>
      <c r="E489" s="52">
        <v>44636</v>
      </c>
      <c r="F489" s="54">
        <v>16975.349609375</v>
      </c>
      <c r="G489" s="53">
        <f t="shared" si="15"/>
        <v>1.8745100484606612E-2</v>
      </c>
    </row>
    <row r="490" spans="1:7" ht="13.5" customHeight="1" x14ac:dyDescent="0.3">
      <c r="A490" s="52">
        <v>44637</v>
      </c>
      <c r="B490" s="27">
        <v>116.75</v>
      </c>
      <c r="C490" s="53">
        <f t="shared" si="14"/>
        <v>-2.136752136752137E-3</v>
      </c>
      <c r="E490" s="52">
        <v>44637</v>
      </c>
      <c r="F490" s="54">
        <v>17287.05078125</v>
      </c>
      <c r="G490" s="53">
        <f t="shared" si="15"/>
        <v>1.8361988356508215E-2</v>
      </c>
    </row>
    <row r="491" spans="1:7" ht="13.5" customHeight="1" x14ac:dyDescent="0.3">
      <c r="A491" s="52">
        <v>44641</v>
      </c>
      <c r="B491" s="27">
        <v>122.8</v>
      </c>
      <c r="C491" s="53">
        <f t="shared" si="14"/>
        <v>5.1820128479657362E-2</v>
      </c>
      <c r="E491" s="52">
        <v>44641</v>
      </c>
      <c r="F491" s="54">
        <v>17117.599609375</v>
      </c>
      <c r="G491" s="53">
        <f t="shared" si="15"/>
        <v>-9.80220247046369E-3</v>
      </c>
    </row>
    <row r="492" spans="1:7" ht="13.5" customHeight="1" x14ac:dyDescent="0.3">
      <c r="A492" s="52">
        <v>44642</v>
      </c>
      <c r="B492" s="27">
        <v>122.2</v>
      </c>
      <c r="C492" s="53">
        <f t="shared" si="14"/>
        <v>-4.8859934853419731E-3</v>
      </c>
      <c r="E492" s="52">
        <v>44642</v>
      </c>
      <c r="F492" s="54">
        <v>17315.5</v>
      </c>
      <c r="G492" s="53">
        <f t="shared" si="15"/>
        <v>1.1561223252155842E-2</v>
      </c>
    </row>
    <row r="493" spans="1:7" ht="13.5" customHeight="1" x14ac:dyDescent="0.3">
      <c r="A493" s="52">
        <v>44643</v>
      </c>
      <c r="B493" s="27">
        <v>123.15</v>
      </c>
      <c r="C493" s="53">
        <f t="shared" si="14"/>
        <v>7.7741407528641804E-3</v>
      </c>
      <c r="E493" s="52">
        <v>44643</v>
      </c>
      <c r="F493" s="54">
        <v>17245.650390625</v>
      </c>
      <c r="G493" s="53">
        <f t="shared" si="15"/>
        <v>-4.0339354552279749E-3</v>
      </c>
    </row>
    <row r="494" spans="1:7" ht="13.5" customHeight="1" x14ac:dyDescent="0.3">
      <c r="A494" s="52">
        <v>44644</v>
      </c>
      <c r="B494" s="27">
        <v>124.1</v>
      </c>
      <c r="C494" s="53">
        <f t="shared" si="14"/>
        <v>7.7141697117335652E-3</v>
      </c>
      <c r="E494" s="52">
        <v>44644</v>
      </c>
      <c r="F494" s="54">
        <v>17222.75</v>
      </c>
      <c r="G494" s="53">
        <f t="shared" si="15"/>
        <v>-1.3278937068937106E-3</v>
      </c>
    </row>
    <row r="495" spans="1:7" ht="13.5" customHeight="1" x14ac:dyDescent="0.3">
      <c r="A495" s="52">
        <v>44645</v>
      </c>
      <c r="B495" s="27">
        <v>121.7</v>
      </c>
      <c r="C495" s="53">
        <f t="shared" si="14"/>
        <v>-1.9339242546333534E-2</v>
      </c>
      <c r="E495" s="52">
        <v>44645</v>
      </c>
      <c r="F495" s="54">
        <v>17153</v>
      </c>
      <c r="G495" s="53">
        <f t="shared" si="15"/>
        <v>-4.0498758909001172E-3</v>
      </c>
    </row>
    <row r="496" spans="1:7" ht="13.5" customHeight="1" x14ac:dyDescent="0.3">
      <c r="A496" s="52">
        <v>44648</v>
      </c>
      <c r="B496" s="27">
        <v>122.7</v>
      </c>
      <c r="C496" s="53">
        <f t="shared" si="14"/>
        <v>8.2169268693508633E-3</v>
      </c>
      <c r="E496" s="52">
        <v>44648</v>
      </c>
      <c r="F496" s="54">
        <v>17222</v>
      </c>
      <c r="G496" s="53">
        <f t="shared" si="15"/>
        <v>4.022619949862998E-3</v>
      </c>
    </row>
    <row r="497" spans="1:7" ht="13.5" customHeight="1" x14ac:dyDescent="0.3">
      <c r="A497" s="52">
        <v>44649</v>
      </c>
      <c r="B497" s="27">
        <v>121.15</v>
      </c>
      <c r="C497" s="53">
        <f t="shared" si="14"/>
        <v>-1.2632436837815788E-2</v>
      </c>
      <c r="E497" s="52">
        <v>44649</v>
      </c>
      <c r="F497" s="54">
        <v>17325.30078125</v>
      </c>
      <c r="G497" s="53">
        <f t="shared" si="15"/>
        <v>5.9981872749970966E-3</v>
      </c>
    </row>
    <row r="498" spans="1:7" ht="13.5" customHeight="1" x14ac:dyDescent="0.3">
      <c r="A498" s="52">
        <v>44650</v>
      </c>
      <c r="B498" s="27">
        <v>116.8</v>
      </c>
      <c r="C498" s="53">
        <f t="shared" si="14"/>
        <v>-3.5905901774659583E-2</v>
      </c>
      <c r="E498" s="52">
        <v>44650</v>
      </c>
      <c r="F498" s="54">
        <v>17498.25</v>
      </c>
      <c r="G498" s="53">
        <f t="shared" si="15"/>
        <v>9.9824655821947536E-3</v>
      </c>
    </row>
    <row r="499" spans="1:7" ht="13.5" customHeight="1" x14ac:dyDescent="0.3">
      <c r="A499" s="52">
        <v>44651</v>
      </c>
      <c r="B499" s="27">
        <v>121.8</v>
      </c>
      <c r="C499" s="53">
        <f t="shared" si="14"/>
        <v>4.2808219178082189E-2</v>
      </c>
      <c r="E499" s="52">
        <v>44651</v>
      </c>
      <c r="F499" s="54">
        <v>17464.75</v>
      </c>
      <c r="G499" s="53">
        <f t="shared" si="15"/>
        <v>-1.9144771620019144E-3</v>
      </c>
    </row>
    <row r="500" spans="1:7" ht="13.5" customHeight="1" x14ac:dyDescent="0.3">
      <c r="A500" s="52">
        <v>44652</v>
      </c>
      <c r="B500" s="27">
        <v>122.05</v>
      </c>
      <c r="C500" s="53">
        <f t="shared" si="14"/>
        <v>2.052545155993432E-3</v>
      </c>
      <c r="E500" s="52">
        <v>44652</v>
      </c>
      <c r="F500" s="54">
        <v>17670.44921875</v>
      </c>
      <c r="G500" s="53">
        <f t="shared" si="15"/>
        <v>1.1777965258592307E-2</v>
      </c>
    </row>
    <row r="501" spans="1:7" ht="13.5" customHeight="1" x14ac:dyDescent="0.3">
      <c r="A501" s="52">
        <v>44655</v>
      </c>
      <c r="B501" s="27">
        <v>125.95</v>
      </c>
      <c r="C501" s="53">
        <f t="shared" si="14"/>
        <v>3.1954117165096323E-2</v>
      </c>
      <c r="E501" s="52">
        <v>44655</v>
      </c>
      <c r="F501" s="54">
        <v>18053.400390625</v>
      </c>
      <c r="G501" s="53">
        <f t="shared" si="15"/>
        <v>2.1671841339984326E-2</v>
      </c>
    </row>
    <row r="502" spans="1:7" ht="13.5" customHeight="1" x14ac:dyDescent="0.3">
      <c r="A502" s="52">
        <v>44656</v>
      </c>
      <c r="B502" s="27">
        <v>125.6</v>
      </c>
      <c r="C502" s="53">
        <f t="shared" si="14"/>
        <v>-2.7788805081382178E-3</v>
      </c>
      <c r="E502" s="52">
        <v>44656</v>
      </c>
      <c r="F502" s="54">
        <v>17957.400390625</v>
      </c>
      <c r="G502" s="53">
        <f t="shared" si="15"/>
        <v>-5.3175577964720763E-3</v>
      </c>
    </row>
    <row r="503" spans="1:7" ht="13.5" customHeight="1" x14ac:dyDescent="0.3">
      <c r="A503" s="52">
        <v>44657</v>
      </c>
      <c r="B503" s="27">
        <v>130</v>
      </c>
      <c r="C503" s="53">
        <f t="shared" si="14"/>
        <v>3.503184713375801E-2</v>
      </c>
      <c r="E503" s="52">
        <v>44657</v>
      </c>
      <c r="F503" s="54">
        <v>17807.650390625</v>
      </c>
      <c r="G503" s="53">
        <f t="shared" si="15"/>
        <v>-8.3391803235717699E-3</v>
      </c>
    </row>
    <row r="504" spans="1:7" ht="13.5" customHeight="1" x14ac:dyDescent="0.3">
      <c r="A504" s="52">
        <v>44658</v>
      </c>
      <c r="B504" s="27">
        <v>124.45</v>
      </c>
      <c r="C504" s="53">
        <f t="shared" si="14"/>
        <v>-4.2692307692307668E-2</v>
      </c>
      <c r="E504" s="52">
        <v>44658</v>
      </c>
      <c r="F504" s="54">
        <v>17639.55078125</v>
      </c>
      <c r="G504" s="53">
        <f t="shared" si="15"/>
        <v>-9.4397411049521492E-3</v>
      </c>
    </row>
    <row r="505" spans="1:7" ht="13.5" customHeight="1" x14ac:dyDescent="0.3">
      <c r="A505" s="52">
        <v>44659</v>
      </c>
      <c r="B505" s="27">
        <v>126.85</v>
      </c>
      <c r="C505" s="53">
        <f t="shared" si="14"/>
        <v>1.9284853354760878E-2</v>
      </c>
      <c r="E505" s="52">
        <v>44659</v>
      </c>
      <c r="F505" s="54">
        <v>17784.349609375</v>
      </c>
      <c r="G505" s="53">
        <f t="shared" si="15"/>
        <v>8.2087593907954979E-3</v>
      </c>
    </row>
    <row r="506" spans="1:7" ht="13.5" customHeight="1" x14ac:dyDescent="0.3">
      <c r="A506" s="52">
        <v>44662</v>
      </c>
      <c r="B506" s="27">
        <v>124.25</v>
      </c>
      <c r="C506" s="53">
        <f t="shared" si="14"/>
        <v>-2.04966495861253E-2</v>
      </c>
      <c r="E506" s="52">
        <v>44662</v>
      </c>
      <c r="F506" s="54">
        <v>17674.94921875</v>
      </c>
      <c r="G506" s="53">
        <f t="shared" si="15"/>
        <v>-6.1514979759130298E-3</v>
      </c>
    </row>
    <row r="507" spans="1:7" ht="13.5" customHeight="1" x14ac:dyDescent="0.3">
      <c r="A507" s="52">
        <v>44663</v>
      </c>
      <c r="B507" s="27">
        <v>119.9</v>
      </c>
      <c r="C507" s="53">
        <f t="shared" si="14"/>
        <v>-3.5010060362172996E-2</v>
      </c>
      <c r="E507" s="52">
        <v>44663</v>
      </c>
      <c r="F507" s="54">
        <v>17530.30078125</v>
      </c>
      <c r="G507" s="53">
        <f t="shared" si="15"/>
        <v>-8.1838106412522836E-3</v>
      </c>
    </row>
    <row r="508" spans="1:7" ht="13.5" customHeight="1" x14ac:dyDescent="0.3">
      <c r="A508" s="52">
        <v>44664</v>
      </c>
      <c r="B508" s="27">
        <v>120.05</v>
      </c>
      <c r="C508" s="53">
        <f t="shared" si="14"/>
        <v>1.251042535446134E-3</v>
      </c>
      <c r="E508" s="52">
        <v>44664</v>
      </c>
      <c r="F508" s="54">
        <v>17475.650390625</v>
      </c>
      <c r="G508" s="53">
        <f t="shared" si="15"/>
        <v>-3.1174816283501979E-3</v>
      </c>
    </row>
    <row r="509" spans="1:7" ht="13.5" customHeight="1" x14ac:dyDescent="0.3">
      <c r="A509" s="52">
        <v>44669</v>
      </c>
      <c r="B509" s="27">
        <v>119.7</v>
      </c>
      <c r="C509" s="53">
        <f t="shared" si="14"/>
        <v>-2.9154518950436845E-3</v>
      </c>
      <c r="E509" s="52">
        <v>44669</v>
      </c>
      <c r="F509" s="54">
        <v>17173.650390625</v>
      </c>
      <c r="G509" s="53">
        <f t="shared" si="15"/>
        <v>-1.7281188010147601E-2</v>
      </c>
    </row>
    <row r="510" spans="1:7" ht="13.5" customHeight="1" x14ac:dyDescent="0.3">
      <c r="A510" s="52">
        <v>44670</v>
      </c>
      <c r="B510" s="27">
        <v>119.6</v>
      </c>
      <c r="C510" s="53">
        <f t="shared" si="14"/>
        <v>-8.3542188805353819E-4</v>
      </c>
      <c r="E510" s="52">
        <v>44670</v>
      </c>
      <c r="F510" s="54">
        <v>16958.650390625</v>
      </c>
      <c r="G510" s="53">
        <f t="shared" si="15"/>
        <v>-1.2519178806467803E-2</v>
      </c>
    </row>
    <row r="511" spans="1:7" ht="13.5" customHeight="1" x14ac:dyDescent="0.3">
      <c r="A511" s="52">
        <v>44671</v>
      </c>
      <c r="B511" s="27">
        <v>119.25</v>
      </c>
      <c r="C511" s="53">
        <f t="shared" si="14"/>
        <v>-2.9264214046822268E-3</v>
      </c>
      <c r="E511" s="52">
        <v>44671</v>
      </c>
      <c r="F511" s="54">
        <v>17136.55078125</v>
      </c>
      <c r="G511" s="53">
        <f t="shared" si="15"/>
        <v>1.0490244596547968E-2</v>
      </c>
    </row>
    <row r="512" spans="1:7" ht="13.5" customHeight="1" x14ac:dyDescent="0.3">
      <c r="A512" s="52">
        <v>44672</v>
      </c>
      <c r="B512" s="27">
        <v>119.3</v>
      </c>
      <c r="C512" s="53">
        <f t="shared" si="14"/>
        <v>4.1928721174001811E-4</v>
      </c>
      <c r="E512" s="52">
        <v>44672</v>
      </c>
      <c r="F512" s="54">
        <v>17392.599609375</v>
      </c>
      <c r="G512" s="53">
        <f t="shared" si="15"/>
        <v>1.4941678252146078E-2</v>
      </c>
    </row>
    <row r="513" spans="1:7" ht="13.5" customHeight="1" x14ac:dyDescent="0.3">
      <c r="A513" s="52">
        <v>44673</v>
      </c>
      <c r="B513" s="27">
        <v>115.15</v>
      </c>
      <c r="C513" s="53">
        <f t="shared" si="14"/>
        <v>-3.4786253143336054E-2</v>
      </c>
      <c r="E513" s="52">
        <v>44673</v>
      </c>
      <c r="F513" s="54">
        <v>17171.94921875</v>
      </c>
      <c r="G513" s="53">
        <f t="shared" si="15"/>
        <v>-1.2686452605168035E-2</v>
      </c>
    </row>
    <row r="514" spans="1:7" ht="13.5" customHeight="1" x14ac:dyDescent="0.3">
      <c r="A514" s="52">
        <v>44676</v>
      </c>
      <c r="B514" s="27">
        <v>109.35</v>
      </c>
      <c r="C514" s="53">
        <f t="shared" si="14"/>
        <v>-5.0369083803734359E-2</v>
      </c>
      <c r="E514" s="52">
        <v>44676</v>
      </c>
      <c r="F514" s="54">
        <v>16953.94921875</v>
      </c>
      <c r="G514" s="53">
        <f t="shared" si="15"/>
        <v>-1.2695122564301929E-2</v>
      </c>
    </row>
    <row r="515" spans="1:7" ht="13.5" customHeight="1" x14ac:dyDescent="0.3">
      <c r="A515" s="52">
        <v>44677</v>
      </c>
      <c r="B515" s="27">
        <v>110.1</v>
      </c>
      <c r="C515" s="53">
        <f t="shared" si="14"/>
        <v>6.8587105624142667E-3</v>
      </c>
      <c r="E515" s="52">
        <v>44677</v>
      </c>
      <c r="F515" s="54">
        <v>17200.80078125</v>
      </c>
      <c r="G515" s="53">
        <f t="shared" si="15"/>
        <v>1.4560121616207138E-2</v>
      </c>
    </row>
    <row r="516" spans="1:7" ht="13.5" customHeight="1" x14ac:dyDescent="0.3">
      <c r="A516" s="52">
        <v>44678</v>
      </c>
      <c r="B516" s="27">
        <v>108.45</v>
      </c>
      <c r="C516" s="53">
        <f t="shared" si="14"/>
        <v>-1.4986376021798288E-2</v>
      </c>
      <c r="E516" s="52">
        <v>44678</v>
      </c>
      <c r="F516" s="54">
        <v>17038.400390625</v>
      </c>
      <c r="G516" s="53">
        <f t="shared" si="15"/>
        <v>-9.4414436101153531E-3</v>
      </c>
    </row>
    <row r="517" spans="1:7" ht="13.5" customHeight="1" x14ac:dyDescent="0.3">
      <c r="A517" s="52">
        <v>44679</v>
      </c>
      <c r="B517" s="27">
        <v>107.95</v>
      </c>
      <c r="C517" s="53">
        <f t="shared" ref="C517:C580" si="16">(B517-B516)/B516</f>
        <v>-4.6104195481788844E-3</v>
      </c>
      <c r="E517" s="52">
        <v>44679</v>
      </c>
      <c r="F517" s="54">
        <v>17245.05078125</v>
      </c>
      <c r="G517" s="53">
        <f t="shared" ref="G517:G580" si="17">(F517-F516)/F516</f>
        <v>1.2128508890934666E-2</v>
      </c>
    </row>
    <row r="518" spans="1:7" ht="13.5" customHeight="1" x14ac:dyDescent="0.3">
      <c r="A518" s="52">
        <v>44680</v>
      </c>
      <c r="B518" s="27">
        <v>105.05</v>
      </c>
      <c r="C518" s="53">
        <f t="shared" si="16"/>
        <v>-2.6864289022695744E-2</v>
      </c>
      <c r="E518" s="52">
        <v>44680</v>
      </c>
      <c r="F518" s="54">
        <v>17102.55078125</v>
      </c>
      <c r="G518" s="53">
        <f t="shared" si="17"/>
        <v>-8.2632403816946566E-3</v>
      </c>
    </row>
    <row r="519" spans="1:7" ht="13.5" customHeight="1" x14ac:dyDescent="0.3">
      <c r="A519" s="52">
        <v>44683</v>
      </c>
      <c r="B519" s="27">
        <v>106.45</v>
      </c>
      <c r="C519" s="53">
        <f t="shared" si="16"/>
        <v>1.3326987148976732E-2</v>
      </c>
      <c r="E519" s="52">
        <v>44683</v>
      </c>
      <c r="F519" s="54">
        <v>17069.099609375</v>
      </c>
      <c r="G519" s="53">
        <f t="shared" si="17"/>
        <v>-1.9559171203674158E-3</v>
      </c>
    </row>
    <row r="520" spans="1:7" ht="13.5" customHeight="1" x14ac:dyDescent="0.3">
      <c r="A520" s="52">
        <v>44685</v>
      </c>
      <c r="B520" s="27">
        <v>101</v>
      </c>
      <c r="C520" s="53">
        <f t="shared" si="16"/>
        <v>-5.1197745420385181E-2</v>
      </c>
      <c r="E520" s="52">
        <v>44685</v>
      </c>
      <c r="F520" s="54">
        <v>16677.599609375</v>
      </c>
      <c r="G520" s="53">
        <f t="shared" si="17"/>
        <v>-2.2936183451936345E-2</v>
      </c>
    </row>
    <row r="521" spans="1:7" ht="13.5" customHeight="1" x14ac:dyDescent="0.3">
      <c r="A521" s="52">
        <v>44686</v>
      </c>
      <c r="B521" s="27">
        <v>101.1</v>
      </c>
      <c r="C521" s="53">
        <f t="shared" si="16"/>
        <v>9.9009900990093373E-4</v>
      </c>
      <c r="E521" s="52">
        <v>44686</v>
      </c>
      <c r="F521" s="54">
        <v>16682.650390625</v>
      </c>
      <c r="G521" s="53">
        <f t="shared" si="17"/>
        <v>3.0284821366983761E-4</v>
      </c>
    </row>
    <row r="522" spans="1:7" ht="13.5" customHeight="1" x14ac:dyDescent="0.3">
      <c r="A522" s="52">
        <v>44687</v>
      </c>
      <c r="B522" s="27">
        <v>98.6</v>
      </c>
      <c r="C522" s="53">
        <f t="shared" si="16"/>
        <v>-2.4727992087042534E-2</v>
      </c>
      <c r="E522" s="52">
        <v>44687</v>
      </c>
      <c r="F522" s="54">
        <v>16411.25</v>
      </c>
      <c r="G522" s="53">
        <f t="shared" si="17"/>
        <v>-1.6268421639856246E-2</v>
      </c>
    </row>
    <row r="523" spans="1:7" ht="13.5" customHeight="1" x14ac:dyDescent="0.3">
      <c r="A523" s="52">
        <v>44690</v>
      </c>
      <c r="B523" s="27">
        <v>95.75</v>
      </c>
      <c r="C523" s="53">
        <f t="shared" si="16"/>
        <v>-2.8904665314401567E-2</v>
      </c>
      <c r="E523" s="52">
        <v>44690</v>
      </c>
      <c r="F523" s="54">
        <v>16301.849609375</v>
      </c>
      <c r="G523" s="53">
        <f t="shared" si="17"/>
        <v>-6.6661826871810496E-3</v>
      </c>
    </row>
    <row r="524" spans="1:7" ht="13.5" customHeight="1" x14ac:dyDescent="0.3">
      <c r="A524" s="52">
        <v>44691</v>
      </c>
      <c r="B524" s="27">
        <v>89.35</v>
      </c>
      <c r="C524" s="53">
        <f t="shared" si="16"/>
        <v>-6.6840731070496137E-2</v>
      </c>
      <c r="E524" s="52">
        <v>44691</v>
      </c>
      <c r="F524" s="54">
        <v>16240.0498046875</v>
      </c>
      <c r="G524" s="53">
        <f t="shared" si="17"/>
        <v>-3.7909688880922855E-3</v>
      </c>
    </row>
    <row r="525" spans="1:7" ht="13.5" customHeight="1" x14ac:dyDescent="0.3">
      <c r="A525" s="52">
        <v>44692</v>
      </c>
      <c r="B525" s="27">
        <v>90.6</v>
      </c>
      <c r="C525" s="53">
        <f t="shared" si="16"/>
        <v>1.3989927252378289E-2</v>
      </c>
      <c r="E525" s="52">
        <v>44692</v>
      </c>
      <c r="F525" s="54">
        <v>16167.099609375</v>
      </c>
      <c r="G525" s="53">
        <f t="shared" si="17"/>
        <v>-4.4919933245182401E-3</v>
      </c>
    </row>
    <row r="526" spans="1:7" ht="13.5" customHeight="1" x14ac:dyDescent="0.3">
      <c r="A526" s="52">
        <v>44693</v>
      </c>
      <c r="B526" s="27">
        <v>88.85</v>
      </c>
      <c r="C526" s="53">
        <f t="shared" si="16"/>
        <v>-1.9315673289183224E-2</v>
      </c>
      <c r="E526" s="52">
        <v>44693</v>
      </c>
      <c r="F526" s="54">
        <v>15808</v>
      </c>
      <c r="G526" s="53">
        <f t="shared" si="17"/>
        <v>-2.2211752141785831E-2</v>
      </c>
    </row>
    <row r="527" spans="1:7" ht="13.5" customHeight="1" x14ac:dyDescent="0.3">
      <c r="A527" s="52">
        <v>44694</v>
      </c>
      <c r="B527" s="27">
        <v>89.25</v>
      </c>
      <c r="C527" s="53">
        <f t="shared" si="16"/>
        <v>4.5019696117051854E-3</v>
      </c>
      <c r="E527" s="52">
        <v>44694</v>
      </c>
      <c r="F527" s="54">
        <v>15782.150390625</v>
      </c>
      <c r="G527" s="53">
        <f t="shared" si="17"/>
        <v>-1.6352232651189271E-3</v>
      </c>
    </row>
    <row r="528" spans="1:7" ht="13.5" customHeight="1" x14ac:dyDescent="0.3">
      <c r="A528" s="52">
        <v>44697</v>
      </c>
      <c r="B528" s="27">
        <v>90.9</v>
      </c>
      <c r="C528" s="53">
        <f t="shared" si="16"/>
        <v>1.8487394957983256E-2</v>
      </c>
      <c r="E528" s="52">
        <v>44697</v>
      </c>
      <c r="F528" s="54">
        <v>15842.2998046875</v>
      </c>
      <c r="G528" s="53">
        <f t="shared" si="17"/>
        <v>3.8112305721171107E-3</v>
      </c>
    </row>
    <row r="529" spans="1:7" ht="13.5" customHeight="1" x14ac:dyDescent="0.3">
      <c r="A529" s="52">
        <v>44698</v>
      </c>
      <c r="B529" s="27">
        <v>97.95</v>
      </c>
      <c r="C529" s="53">
        <f t="shared" si="16"/>
        <v>7.7557755775577525E-2</v>
      </c>
      <c r="E529" s="52">
        <v>44698</v>
      </c>
      <c r="F529" s="54">
        <v>16259.2998046875</v>
      </c>
      <c r="G529" s="53">
        <f t="shared" si="17"/>
        <v>2.6321935902047247E-2</v>
      </c>
    </row>
    <row r="530" spans="1:7" ht="13.5" customHeight="1" x14ac:dyDescent="0.3">
      <c r="A530" s="52">
        <v>44699</v>
      </c>
      <c r="B530" s="27">
        <v>97.7</v>
      </c>
      <c r="C530" s="53">
        <f t="shared" si="16"/>
        <v>-2.5523226135783562E-3</v>
      </c>
      <c r="E530" s="52">
        <v>44699</v>
      </c>
      <c r="F530" s="54">
        <v>16240.2998046875</v>
      </c>
      <c r="G530" s="53">
        <f t="shared" si="17"/>
        <v>-1.1685620062508698E-3</v>
      </c>
    </row>
    <row r="531" spans="1:7" ht="13.5" customHeight="1" x14ac:dyDescent="0.3">
      <c r="A531" s="52">
        <v>44700</v>
      </c>
      <c r="B531" s="27">
        <v>94.25</v>
      </c>
      <c r="C531" s="53">
        <f t="shared" si="16"/>
        <v>-3.5312180143295832E-2</v>
      </c>
      <c r="E531" s="52">
        <v>44700</v>
      </c>
      <c r="F531" s="54">
        <v>15809.400390625</v>
      </c>
      <c r="G531" s="53">
        <f t="shared" si="17"/>
        <v>-2.6532725334179351E-2</v>
      </c>
    </row>
    <row r="532" spans="1:7" ht="13.5" customHeight="1" x14ac:dyDescent="0.3">
      <c r="A532" s="52">
        <v>44701</v>
      </c>
      <c r="B532" s="27">
        <v>98.95</v>
      </c>
      <c r="C532" s="53">
        <f t="shared" si="16"/>
        <v>4.9867374005305068E-2</v>
      </c>
      <c r="E532" s="52">
        <v>44701</v>
      </c>
      <c r="F532" s="54">
        <v>16266.150390625</v>
      </c>
      <c r="G532" s="53">
        <f t="shared" si="17"/>
        <v>2.8891038794289343E-2</v>
      </c>
    </row>
    <row r="533" spans="1:7" ht="13.5" customHeight="1" x14ac:dyDescent="0.3">
      <c r="A533" s="52">
        <v>44704</v>
      </c>
      <c r="B533" s="27">
        <v>95.9</v>
      </c>
      <c r="C533" s="53">
        <f t="shared" si="16"/>
        <v>-3.0823648307225841E-2</v>
      </c>
      <c r="E533" s="52">
        <v>44704</v>
      </c>
      <c r="F533" s="54">
        <v>16214.7001953125</v>
      </c>
      <c r="G533" s="53">
        <f t="shared" si="17"/>
        <v>-3.1630222318707523E-3</v>
      </c>
    </row>
    <row r="534" spans="1:7" ht="13.5" customHeight="1" x14ac:dyDescent="0.3">
      <c r="A534" s="52">
        <v>44705</v>
      </c>
      <c r="B534" s="27">
        <v>95.5</v>
      </c>
      <c r="C534" s="53">
        <f t="shared" si="16"/>
        <v>-4.1710114702816024E-3</v>
      </c>
      <c r="E534" s="52">
        <v>44705</v>
      </c>
      <c r="F534" s="54">
        <v>16125.150390625</v>
      </c>
      <c r="G534" s="53">
        <f t="shared" si="17"/>
        <v>-5.5227542667355585E-3</v>
      </c>
    </row>
    <row r="535" spans="1:7" ht="13.5" customHeight="1" x14ac:dyDescent="0.3">
      <c r="A535" s="52">
        <v>44706</v>
      </c>
      <c r="B535" s="27">
        <v>93.75</v>
      </c>
      <c r="C535" s="53">
        <f t="shared" si="16"/>
        <v>-1.832460732984293E-2</v>
      </c>
      <c r="E535" s="52">
        <v>44706</v>
      </c>
      <c r="F535" s="54">
        <v>16025.7998046875</v>
      </c>
      <c r="G535" s="53">
        <f t="shared" si="17"/>
        <v>-6.1612191843656494E-3</v>
      </c>
    </row>
    <row r="536" spans="1:7" ht="13.5" customHeight="1" x14ac:dyDescent="0.3">
      <c r="A536" s="52">
        <v>44707</v>
      </c>
      <c r="B536" s="27">
        <v>93.05</v>
      </c>
      <c r="C536" s="53">
        <f t="shared" si="16"/>
        <v>-7.4666666666666969E-3</v>
      </c>
      <c r="E536" s="52">
        <v>44707</v>
      </c>
      <c r="F536" s="54">
        <v>16170.150390625</v>
      </c>
      <c r="G536" s="53">
        <f t="shared" si="17"/>
        <v>9.0073873189953288E-3</v>
      </c>
    </row>
    <row r="537" spans="1:7" ht="13.5" customHeight="1" x14ac:dyDescent="0.3">
      <c r="A537" s="52">
        <v>44708</v>
      </c>
      <c r="B537" s="27">
        <v>92.95</v>
      </c>
      <c r="C537" s="53">
        <f t="shared" si="16"/>
        <v>-1.0746910263298691E-3</v>
      </c>
      <c r="E537" s="52">
        <v>44708</v>
      </c>
      <c r="F537" s="54">
        <v>16352.4501953125</v>
      </c>
      <c r="G537" s="53">
        <f t="shared" si="17"/>
        <v>1.1273847198922301E-2</v>
      </c>
    </row>
    <row r="538" spans="1:7" ht="13.5" customHeight="1" x14ac:dyDescent="0.3">
      <c r="A538" s="52">
        <v>44711</v>
      </c>
      <c r="B538" s="27">
        <v>95.15</v>
      </c>
      <c r="C538" s="53">
        <f t="shared" si="16"/>
        <v>2.3668639053254469E-2</v>
      </c>
      <c r="E538" s="52">
        <v>44711</v>
      </c>
      <c r="F538" s="54">
        <v>16661.400390625</v>
      </c>
      <c r="G538" s="53">
        <f t="shared" si="17"/>
        <v>1.8893205092962884E-2</v>
      </c>
    </row>
    <row r="539" spans="1:7" ht="13.5" customHeight="1" x14ac:dyDescent="0.3">
      <c r="A539" s="52">
        <v>44712</v>
      </c>
      <c r="B539" s="27">
        <v>96.2</v>
      </c>
      <c r="C539" s="53">
        <f t="shared" si="16"/>
        <v>1.1035207566999444E-2</v>
      </c>
      <c r="E539" s="52">
        <v>44712</v>
      </c>
      <c r="F539" s="54">
        <v>16584.55078125</v>
      </c>
      <c r="G539" s="53">
        <f t="shared" si="17"/>
        <v>-4.6124339835348759E-3</v>
      </c>
    </row>
    <row r="540" spans="1:7" ht="13.5" customHeight="1" x14ac:dyDescent="0.3">
      <c r="A540" s="52">
        <v>44713</v>
      </c>
      <c r="B540" s="27">
        <v>92.35</v>
      </c>
      <c r="C540" s="53">
        <f t="shared" si="16"/>
        <v>-4.0020790020790106E-2</v>
      </c>
      <c r="E540" s="52">
        <v>44713</v>
      </c>
      <c r="F540" s="54">
        <v>16522.75</v>
      </c>
      <c r="G540" s="53">
        <f t="shared" si="17"/>
        <v>-3.7264067061659654E-3</v>
      </c>
    </row>
    <row r="541" spans="1:7" ht="13.5" customHeight="1" x14ac:dyDescent="0.3">
      <c r="A541" s="52">
        <v>44714</v>
      </c>
      <c r="B541" s="27">
        <v>92.45</v>
      </c>
      <c r="C541" s="53">
        <f t="shared" si="16"/>
        <v>1.0828370330266219E-3</v>
      </c>
      <c r="E541" s="52">
        <v>44714</v>
      </c>
      <c r="F541" s="54">
        <v>16628</v>
      </c>
      <c r="G541" s="53">
        <f t="shared" si="17"/>
        <v>6.3700049931155528E-3</v>
      </c>
    </row>
    <row r="542" spans="1:7" ht="13.5" customHeight="1" x14ac:dyDescent="0.3">
      <c r="A542" s="52">
        <v>44715</v>
      </c>
      <c r="B542" s="27">
        <v>92.25</v>
      </c>
      <c r="C542" s="53">
        <f t="shared" si="16"/>
        <v>-2.1633315305570884E-3</v>
      </c>
      <c r="E542" s="52">
        <v>44715</v>
      </c>
      <c r="F542" s="54">
        <v>16584.30078125</v>
      </c>
      <c r="G542" s="53">
        <f t="shared" si="17"/>
        <v>-2.6280502014674042E-3</v>
      </c>
    </row>
    <row r="543" spans="1:7" ht="13.5" customHeight="1" x14ac:dyDescent="0.3">
      <c r="A543" s="52">
        <v>44718</v>
      </c>
      <c r="B543" s="27">
        <v>92.4</v>
      </c>
      <c r="C543" s="53">
        <f t="shared" si="16"/>
        <v>1.6260162601626632E-3</v>
      </c>
      <c r="E543" s="52">
        <v>44718</v>
      </c>
      <c r="F543" s="54">
        <v>16569.55078125</v>
      </c>
      <c r="G543" s="53">
        <f t="shared" si="17"/>
        <v>-8.893953501299351E-4</v>
      </c>
    </row>
    <row r="544" spans="1:7" ht="13.5" customHeight="1" x14ac:dyDescent="0.3">
      <c r="A544" s="52">
        <v>44719</v>
      </c>
      <c r="B544" s="27">
        <v>92.55</v>
      </c>
      <c r="C544" s="53">
        <f t="shared" si="16"/>
        <v>1.6233766233765309E-3</v>
      </c>
      <c r="E544" s="52">
        <v>44719</v>
      </c>
      <c r="F544" s="54">
        <v>16416.349609375</v>
      </c>
      <c r="G544" s="53">
        <f t="shared" si="17"/>
        <v>-9.2459460064760173E-3</v>
      </c>
    </row>
    <row r="545" spans="1:7" ht="13.5" customHeight="1" x14ac:dyDescent="0.3">
      <c r="A545" s="52">
        <v>44720</v>
      </c>
      <c r="B545" s="27">
        <v>93.8</v>
      </c>
      <c r="C545" s="53">
        <f t="shared" si="16"/>
        <v>1.350621285791464E-2</v>
      </c>
      <c r="E545" s="52">
        <v>44720</v>
      </c>
      <c r="F545" s="54">
        <v>16356.25</v>
      </c>
      <c r="G545" s="53">
        <f t="shared" si="17"/>
        <v>-3.6609606157923498E-3</v>
      </c>
    </row>
    <row r="546" spans="1:7" ht="13.5" customHeight="1" x14ac:dyDescent="0.3">
      <c r="A546" s="52">
        <v>44721</v>
      </c>
      <c r="B546" s="27">
        <v>92.3</v>
      </c>
      <c r="C546" s="53">
        <f t="shared" si="16"/>
        <v>-1.5991471215351813E-2</v>
      </c>
      <c r="E546" s="52">
        <v>44721</v>
      </c>
      <c r="F546" s="54">
        <v>16478.099609375</v>
      </c>
      <c r="G546" s="53">
        <f t="shared" si="17"/>
        <v>7.4497277416889565E-3</v>
      </c>
    </row>
    <row r="547" spans="1:7" ht="13.5" customHeight="1" x14ac:dyDescent="0.3">
      <c r="A547" s="52">
        <v>44722</v>
      </c>
      <c r="B547" s="27">
        <v>90.6</v>
      </c>
      <c r="C547" s="53">
        <f t="shared" si="16"/>
        <v>-1.8418201516793097E-2</v>
      </c>
      <c r="E547" s="52">
        <v>44722</v>
      </c>
      <c r="F547" s="54">
        <v>16201.7998046875</v>
      </c>
      <c r="G547" s="53">
        <f t="shared" si="17"/>
        <v>-1.6767698414100061E-2</v>
      </c>
    </row>
    <row r="548" spans="1:7" ht="13.5" customHeight="1" x14ac:dyDescent="0.3">
      <c r="A548" s="52">
        <v>44725</v>
      </c>
      <c r="B548" s="27">
        <v>85.8</v>
      </c>
      <c r="C548" s="53">
        <f t="shared" si="16"/>
        <v>-5.2980132450331098E-2</v>
      </c>
      <c r="E548" s="52">
        <v>44725</v>
      </c>
      <c r="F548" s="54">
        <v>15774.400390625</v>
      </c>
      <c r="G548" s="53">
        <f t="shared" si="17"/>
        <v>-2.6379749115209097E-2</v>
      </c>
    </row>
    <row r="549" spans="1:7" ht="13.5" customHeight="1" x14ac:dyDescent="0.3">
      <c r="A549" s="52">
        <v>44726</v>
      </c>
      <c r="B549" s="27">
        <v>83.1</v>
      </c>
      <c r="C549" s="53">
        <f t="shared" si="16"/>
        <v>-3.1468531468531499E-2</v>
      </c>
      <c r="E549" s="52">
        <v>44726</v>
      </c>
      <c r="F549" s="54">
        <v>15732.099609375</v>
      </c>
      <c r="G549" s="53">
        <f t="shared" si="17"/>
        <v>-2.6816094559854137E-3</v>
      </c>
    </row>
    <row r="550" spans="1:7" ht="13.5" customHeight="1" x14ac:dyDescent="0.3">
      <c r="A550" s="52">
        <v>44727</v>
      </c>
      <c r="B550" s="27">
        <v>82.1</v>
      </c>
      <c r="C550" s="53">
        <f t="shared" si="16"/>
        <v>-1.2033694344163659E-2</v>
      </c>
      <c r="E550" s="52">
        <v>44727</v>
      </c>
      <c r="F550" s="54">
        <v>15692.150390625</v>
      </c>
      <c r="G550" s="53">
        <f t="shared" si="17"/>
        <v>-2.5393443813560425E-3</v>
      </c>
    </row>
    <row r="551" spans="1:7" ht="13.5" customHeight="1" x14ac:dyDescent="0.3">
      <c r="A551" s="52">
        <v>44728</v>
      </c>
      <c r="B551" s="27">
        <v>78.2</v>
      </c>
      <c r="C551" s="53">
        <f t="shared" si="16"/>
        <v>-4.7503045066991371E-2</v>
      </c>
      <c r="E551" s="52">
        <v>44728</v>
      </c>
      <c r="F551" s="54">
        <v>15360.599609375</v>
      </c>
      <c r="G551" s="53">
        <f t="shared" si="17"/>
        <v>-2.1128447854290206E-2</v>
      </c>
    </row>
    <row r="552" spans="1:7" ht="13.5" customHeight="1" x14ac:dyDescent="0.3">
      <c r="A552" s="52">
        <v>44729</v>
      </c>
      <c r="B552" s="27">
        <v>75.7</v>
      </c>
      <c r="C552" s="53">
        <f t="shared" si="16"/>
        <v>-3.1969309462915603E-2</v>
      </c>
      <c r="E552" s="52">
        <v>44729</v>
      </c>
      <c r="F552" s="54">
        <v>15293.5</v>
      </c>
      <c r="G552" s="53">
        <f t="shared" si="17"/>
        <v>-4.3682936266398898E-3</v>
      </c>
    </row>
    <row r="553" spans="1:7" ht="13.5" customHeight="1" x14ac:dyDescent="0.3">
      <c r="A553" s="52">
        <v>44732</v>
      </c>
      <c r="B553" s="27">
        <v>70.55</v>
      </c>
      <c r="C553" s="53">
        <f t="shared" si="16"/>
        <v>-6.8031704095112361E-2</v>
      </c>
      <c r="E553" s="52">
        <v>44732</v>
      </c>
      <c r="F553" s="54">
        <v>15350.150390625</v>
      </c>
      <c r="G553" s="53">
        <f t="shared" si="17"/>
        <v>3.7042135956452085E-3</v>
      </c>
    </row>
    <row r="554" spans="1:7" ht="13.5" customHeight="1" x14ac:dyDescent="0.3">
      <c r="A554" s="52">
        <v>44733</v>
      </c>
      <c r="B554" s="27">
        <v>73.400000000000006</v>
      </c>
      <c r="C554" s="53">
        <f t="shared" si="16"/>
        <v>4.0396881644224079E-2</v>
      </c>
      <c r="E554" s="52">
        <v>44733</v>
      </c>
      <c r="F554" s="54">
        <v>15638.7998046875</v>
      </c>
      <c r="G554" s="53">
        <f t="shared" si="17"/>
        <v>1.8804337854487124E-2</v>
      </c>
    </row>
    <row r="555" spans="1:7" ht="13.5" customHeight="1" x14ac:dyDescent="0.3">
      <c r="A555" s="52">
        <v>44734</v>
      </c>
      <c r="B555" s="27">
        <v>68.849999999999994</v>
      </c>
      <c r="C555" s="53">
        <f t="shared" si="16"/>
        <v>-6.1989100817438844E-2</v>
      </c>
      <c r="E555" s="52">
        <v>44734</v>
      </c>
      <c r="F555" s="54">
        <v>15413.2998046875</v>
      </c>
      <c r="G555" s="53">
        <f t="shared" si="17"/>
        <v>-1.4419265085317462E-2</v>
      </c>
    </row>
    <row r="556" spans="1:7" ht="13.5" customHeight="1" x14ac:dyDescent="0.3">
      <c r="A556" s="52">
        <v>44735</v>
      </c>
      <c r="B556" s="27">
        <v>67.95</v>
      </c>
      <c r="C556" s="53">
        <f t="shared" si="16"/>
        <v>-1.3071895424836479E-2</v>
      </c>
      <c r="E556" s="52">
        <v>44735</v>
      </c>
      <c r="F556" s="54">
        <v>15556.650390625</v>
      </c>
      <c r="G556" s="53">
        <f t="shared" si="17"/>
        <v>9.3004475196092756E-3</v>
      </c>
    </row>
    <row r="557" spans="1:7" ht="13.5" customHeight="1" x14ac:dyDescent="0.3">
      <c r="A557" s="52">
        <v>44736</v>
      </c>
      <c r="B557" s="27">
        <v>69.3</v>
      </c>
      <c r="C557" s="53">
        <f t="shared" si="16"/>
        <v>1.9867549668874086E-2</v>
      </c>
      <c r="E557" s="52">
        <v>44736</v>
      </c>
      <c r="F557" s="54">
        <v>15699.25</v>
      </c>
      <c r="G557" s="53">
        <f t="shared" si="17"/>
        <v>9.1664725885294493E-3</v>
      </c>
    </row>
    <row r="558" spans="1:7" ht="13.5" customHeight="1" x14ac:dyDescent="0.3">
      <c r="A558" s="52">
        <v>44739</v>
      </c>
      <c r="B558" s="27">
        <v>70.2</v>
      </c>
      <c r="C558" s="53">
        <f t="shared" si="16"/>
        <v>1.2987012987013069E-2</v>
      </c>
      <c r="E558" s="52">
        <v>44739</v>
      </c>
      <c r="F558" s="54">
        <v>15832.0498046875</v>
      </c>
      <c r="G558" s="53">
        <f t="shared" si="17"/>
        <v>8.4589903777250505E-3</v>
      </c>
    </row>
    <row r="559" spans="1:7" ht="13.5" customHeight="1" x14ac:dyDescent="0.3">
      <c r="A559" s="52">
        <v>44740</v>
      </c>
      <c r="B559" s="27">
        <v>72.45</v>
      </c>
      <c r="C559" s="53">
        <f t="shared" si="16"/>
        <v>3.2051282051282048E-2</v>
      </c>
      <c r="E559" s="52">
        <v>44740</v>
      </c>
      <c r="F559" s="54">
        <v>15850.2001953125</v>
      </c>
      <c r="G559" s="53">
        <f t="shared" si="17"/>
        <v>1.14643339611186E-3</v>
      </c>
    </row>
    <row r="560" spans="1:7" ht="13.5" customHeight="1" x14ac:dyDescent="0.3">
      <c r="A560" s="52">
        <v>44741</v>
      </c>
      <c r="B560" s="27">
        <v>71.2</v>
      </c>
      <c r="C560" s="53">
        <f t="shared" si="16"/>
        <v>-1.725327812284334E-2</v>
      </c>
      <c r="E560" s="52">
        <v>44741</v>
      </c>
      <c r="F560" s="54">
        <v>15799.099609375</v>
      </c>
      <c r="G560" s="53">
        <f t="shared" si="17"/>
        <v>-3.2239710103227821E-3</v>
      </c>
    </row>
    <row r="561" spans="1:7" ht="13.5" customHeight="1" x14ac:dyDescent="0.3">
      <c r="A561" s="52">
        <v>44742</v>
      </c>
      <c r="B561" s="27">
        <v>68.8</v>
      </c>
      <c r="C561" s="53">
        <f t="shared" si="16"/>
        <v>-3.3707865168539401E-2</v>
      </c>
      <c r="E561" s="52">
        <v>44742</v>
      </c>
      <c r="F561" s="54">
        <v>15780.25</v>
      </c>
      <c r="G561" s="53">
        <f t="shared" si="17"/>
        <v>-1.1930812414028243E-3</v>
      </c>
    </row>
    <row r="562" spans="1:7" ht="13.5" customHeight="1" x14ac:dyDescent="0.3">
      <c r="A562" s="52">
        <v>44743</v>
      </c>
      <c r="B562" s="27">
        <v>68.8</v>
      </c>
      <c r="C562" s="53">
        <f t="shared" si="16"/>
        <v>0</v>
      </c>
      <c r="E562" s="52">
        <v>44743</v>
      </c>
      <c r="F562" s="54">
        <v>15752.0498046875</v>
      </c>
      <c r="G562" s="53">
        <f t="shared" si="17"/>
        <v>-1.7870563085185596E-3</v>
      </c>
    </row>
    <row r="563" spans="1:7" ht="13.5" customHeight="1" x14ac:dyDescent="0.3">
      <c r="A563" s="52">
        <v>44746</v>
      </c>
      <c r="B563" s="27">
        <v>69.95</v>
      </c>
      <c r="C563" s="53">
        <f t="shared" si="16"/>
        <v>1.6715116279069849E-2</v>
      </c>
      <c r="E563" s="52">
        <v>44746</v>
      </c>
      <c r="F563" s="54">
        <v>15835.349609375</v>
      </c>
      <c r="G563" s="53">
        <f t="shared" si="17"/>
        <v>5.288188249805534E-3</v>
      </c>
    </row>
    <row r="564" spans="1:7" ht="13.5" customHeight="1" x14ac:dyDescent="0.3">
      <c r="A564" s="52">
        <v>44747</v>
      </c>
      <c r="B564" s="27">
        <v>69.55</v>
      </c>
      <c r="C564" s="53">
        <f t="shared" si="16"/>
        <v>-5.7183702644747056E-3</v>
      </c>
      <c r="E564" s="52">
        <v>44747</v>
      </c>
      <c r="F564" s="54">
        <v>15810.849609375</v>
      </c>
      <c r="G564" s="53">
        <f t="shared" si="17"/>
        <v>-1.5471713984448608E-3</v>
      </c>
    </row>
    <row r="565" spans="1:7" ht="13.5" customHeight="1" x14ac:dyDescent="0.3">
      <c r="A565" s="52">
        <v>44748</v>
      </c>
      <c r="B565" s="27">
        <v>70.5</v>
      </c>
      <c r="C565" s="53">
        <f t="shared" si="16"/>
        <v>1.365923795830342E-2</v>
      </c>
      <c r="E565" s="52">
        <v>44748</v>
      </c>
      <c r="F565" s="54">
        <v>15989.7998046875</v>
      </c>
      <c r="G565" s="53">
        <f t="shared" si="17"/>
        <v>1.1318189707300232E-2</v>
      </c>
    </row>
    <row r="566" spans="1:7" ht="13.5" customHeight="1" x14ac:dyDescent="0.3">
      <c r="A566" s="52">
        <v>44749</v>
      </c>
      <c r="B566" s="27">
        <v>74.2</v>
      </c>
      <c r="C566" s="53">
        <f t="shared" si="16"/>
        <v>5.248226950354614E-2</v>
      </c>
      <c r="E566" s="52">
        <v>44749</v>
      </c>
      <c r="F566" s="54">
        <v>16132.900390625</v>
      </c>
      <c r="G566" s="53">
        <f t="shared" si="17"/>
        <v>8.9494920315105666E-3</v>
      </c>
    </row>
    <row r="567" spans="1:7" ht="13.5" customHeight="1" x14ac:dyDescent="0.3">
      <c r="A567" s="52">
        <v>44750</v>
      </c>
      <c r="B567" s="27">
        <v>74.349999999999994</v>
      </c>
      <c r="C567" s="53">
        <f t="shared" si="16"/>
        <v>2.0215633423179445E-3</v>
      </c>
      <c r="E567" s="52">
        <v>44750</v>
      </c>
      <c r="F567" s="54">
        <v>16220.599609375</v>
      </c>
      <c r="G567" s="53">
        <f t="shared" si="17"/>
        <v>5.436047866567313E-3</v>
      </c>
    </row>
    <row r="568" spans="1:7" ht="13.5" customHeight="1" x14ac:dyDescent="0.3">
      <c r="A568" s="52">
        <v>44753</v>
      </c>
      <c r="B568" s="27">
        <v>73.650000000000006</v>
      </c>
      <c r="C568" s="53">
        <f t="shared" si="16"/>
        <v>-9.4149293880294374E-3</v>
      </c>
      <c r="E568" s="52">
        <v>44753</v>
      </c>
      <c r="F568" s="54">
        <v>16216</v>
      </c>
      <c r="G568" s="53">
        <f t="shared" si="17"/>
        <v>-2.8356592763325282E-4</v>
      </c>
    </row>
    <row r="569" spans="1:7" ht="13.5" customHeight="1" x14ac:dyDescent="0.3">
      <c r="A569" s="52">
        <v>44754</v>
      </c>
      <c r="B569" s="27">
        <v>72.45</v>
      </c>
      <c r="C569" s="53">
        <f t="shared" si="16"/>
        <v>-1.6293279022403295E-2</v>
      </c>
      <c r="E569" s="52">
        <v>44754</v>
      </c>
      <c r="F569" s="54">
        <v>16058.2998046875</v>
      </c>
      <c r="G569" s="53">
        <f t="shared" si="17"/>
        <v>-9.7249750439380861E-3</v>
      </c>
    </row>
    <row r="570" spans="1:7" ht="13.5" customHeight="1" x14ac:dyDescent="0.3">
      <c r="A570" s="52">
        <v>44755</v>
      </c>
      <c r="B570" s="27">
        <v>72.7</v>
      </c>
      <c r="C570" s="53">
        <f t="shared" si="16"/>
        <v>3.450655624568668E-3</v>
      </c>
      <c r="E570" s="52">
        <v>44755</v>
      </c>
      <c r="F570" s="54">
        <v>15966.650390625</v>
      </c>
      <c r="G570" s="53">
        <f t="shared" si="17"/>
        <v>-5.707292501522924E-3</v>
      </c>
    </row>
    <row r="571" spans="1:7" ht="13.5" customHeight="1" x14ac:dyDescent="0.3">
      <c r="A571" s="52">
        <v>44756</v>
      </c>
      <c r="B571" s="27">
        <v>70.599999999999994</v>
      </c>
      <c r="C571" s="53">
        <f t="shared" si="16"/>
        <v>-2.8885832187070269E-2</v>
      </c>
      <c r="E571" s="52">
        <v>44756</v>
      </c>
      <c r="F571" s="54">
        <v>15938.650390625</v>
      </c>
      <c r="G571" s="53">
        <f t="shared" si="17"/>
        <v>-1.7536552323109999E-3</v>
      </c>
    </row>
    <row r="572" spans="1:7" ht="13.5" customHeight="1" x14ac:dyDescent="0.3">
      <c r="A572" s="52">
        <v>44757</v>
      </c>
      <c r="B572" s="27">
        <v>70.25</v>
      </c>
      <c r="C572" s="53">
        <f t="shared" si="16"/>
        <v>-4.9575070821528946E-3</v>
      </c>
      <c r="E572" s="52">
        <v>44757</v>
      </c>
      <c r="F572" s="54">
        <v>16049.2001953125</v>
      </c>
      <c r="G572" s="53">
        <f t="shared" si="17"/>
        <v>6.9359576863875878E-3</v>
      </c>
    </row>
    <row r="573" spans="1:7" ht="13.5" customHeight="1" x14ac:dyDescent="0.3">
      <c r="A573" s="52">
        <v>44760</v>
      </c>
      <c r="B573" s="27">
        <v>73.599999999999994</v>
      </c>
      <c r="C573" s="53">
        <f t="shared" si="16"/>
        <v>4.7686832740213445E-2</v>
      </c>
      <c r="E573" s="52">
        <v>44760</v>
      </c>
      <c r="F573" s="54">
        <v>16278.5</v>
      </c>
      <c r="G573" s="53">
        <f t="shared" si="17"/>
        <v>1.4287304158276481E-2</v>
      </c>
    </row>
    <row r="574" spans="1:7" ht="13.5" customHeight="1" x14ac:dyDescent="0.3">
      <c r="A574" s="52">
        <v>44761</v>
      </c>
      <c r="B574" s="27">
        <v>73.599999999999994</v>
      </c>
      <c r="C574" s="53">
        <f t="shared" si="16"/>
        <v>0</v>
      </c>
      <c r="E574" s="52">
        <v>44761</v>
      </c>
      <c r="F574" s="54">
        <v>16340.5498046875</v>
      </c>
      <c r="G574" s="53">
        <f t="shared" si="17"/>
        <v>3.8117642711244892E-3</v>
      </c>
    </row>
    <row r="575" spans="1:7" ht="13.5" customHeight="1" x14ac:dyDescent="0.3">
      <c r="A575" s="52">
        <v>44762</v>
      </c>
      <c r="B575" s="27">
        <v>75.099999999999994</v>
      </c>
      <c r="C575" s="53">
        <f t="shared" si="16"/>
        <v>2.0380434782608696E-2</v>
      </c>
      <c r="E575" s="52">
        <v>44762</v>
      </c>
      <c r="F575" s="54">
        <v>16520.849609375</v>
      </c>
      <c r="G575" s="53">
        <f t="shared" si="17"/>
        <v>1.1033888506969248E-2</v>
      </c>
    </row>
    <row r="576" spans="1:7" ht="13.5" customHeight="1" x14ac:dyDescent="0.3">
      <c r="A576" s="52">
        <v>44763</v>
      </c>
      <c r="B576" s="27">
        <v>75.45</v>
      </c>
      <c r="C576" s="53">
        <f t="shared" si="16"/>
        <v>4.6604527296938555E-3</v>
      </c>
      <c r="E576" s="52">
        <v>44763</v>
      </c>
      <c r="F576" s="54">
        <v>16605.25</v>
      </c>
      <c r="G576" s="53">
        <f t="shared" si="17"/>
        <v>5.1087197462959628E-3</v>
      </c>
    </row>
    <row r="577" spans="1:7" ht="13.5" customHeight="1" x14ac:dyDescent="0.3">
      <c r="A577" s="52">
        <v>44764</v>
      </c>
      <c r="B577" s="27">
        <v>74.849999999999994</v>
      </c>
      <c r="C577" s="53">
        <f t="shared" si="16"/>
        <v>-7.952286282306275E-3</v>
      </c>
      <c r="E577" s="52">
        <v>44764</v>
      </c>
      <c r="F577" s="54">
        <v>16719.44921875</v>
      </c>
      <c r="G577" s="53">
        <f t="shared" si="17"/>
        <v>6.8772959606148657E-3</v>
      </c>
    </row>
    <row r="578" spans="1:7" ht="13.5" customHeight="1" x14ac:dyDescent="0.3">
      <c r="A578" s="52">
        <v>44767</v>
      </c>
      <c r="B578" s="27">
        <v>75.2</v>
      </c>
      <c r="C578" s="53">
        <f t="shared" si="16"/>
        <v>4.6760187040749308E-3</v>
      </c>
      <c r="E578" s="52">
        <v>44767</v>
      </c>
      <c r="F578" s="54">
        <v>16631</v>
      </c>
      <c r="G578" s="53">
        <f t="shared" si="17"/>
        <v>-5.2901993117577557E-3</v>
      </c>
    </row>
    <row r="579" spans="1:7" ht="13.5" customHeight="1" x14ac:dyDescent="0.3">
      <c r="A579" s="52">
        <v>44768</v>
      </c>
      <c r="B579" s="27">
        <v>74.099999999999994</v>
      </c>
      <c r="C579" s="53">
        <f t="shared" si="16"/>
        <v>-1.4627659574468198E-2</v>
      </c>
      <c r="E579" s="52">
        <v>44768</v>
      </c>
      <c r="F579" s="54">
        <v>16483.849609375</v>
      </c>
      <c r="G579" s="53">
        <f t="shared" si="17"/>
        <v>-8.8479580677650171E-3</v>
      </c>
    </row>
    <row r="580" spans="1:7" ht="13.5" customHeight="1" x14ac:dyDescent="0.3">
      <c r="A580" s="52">
        <v>44769</v>
      </c>
      <c r="B580" s="27">
        <v>75.900000000000006</v>
      </c>
      <c r="C580" s="53">
        <f t="shared" si="16"/>
        <v>2.4291497975708658E-2</v>
      </c>
      <c r="E580" s="52">
        <v>44769</v>
      </c>
      <c r="F580" s="54">
        <v>16641.80078125</v>
      </c>
      <c r="G580" s="53">
        <f t="shared" si="17"/>
        <v>9.5821774414374099E-3</v>
      </c>
    </row>
    <row r="581" spans="1:7" ht="13.5" customHeight="1" x14ac:dyDescent="0.3">
      <c r="A581" s="52">
        <v>44770</v>
      </c>
      <c r="B581" s="27">
        <v>75.349999999999994</v>
      </c>
      <c r="C581" s="53">
        <f t="shared" ref="C581:C644" si="18">(B581-B580)/B580</f>
        <v>-7.2463768115943522E-3</v>
      </c>
      <c r="E581" s="52">
        <v>44770</v>
      </c>
      <c r="F581" s="54">
        <v>16929.599609375</v>
      </c>
      <c r="G581" s="53">
        <f t="shared" ref="G581:G644" si="19">(F581-F580)/F580</f>
        <v>1.7293731123692903E-2</v>
      </c>
    </row>
    <row r="582" spans="1:7" ht="13.5" customHeight="1" x14ac:dyDescent="0.3">
      <c r="A582" s="52">
        <v>44771</v>
      </c>
      <c r="B582" s="27">
        <v>77.8</v>
      </c>
      <c r="C582" s="53">
        <f t="shared" si="18"/>
        <v>3.2514930325149342E-2</v>
      </c>
      <c r="E582" s="52">
        <v>44771</v>
      </c>
      <c r="F582" s="54">
        <v>17158.25</v>
      </c>
      <c r="G582" s="53">
        <f t="shared" si="19"/>
        <v>1.3505953826479256E-2</v>
      </c>
    </row>
    <row r="583" spans="1:7" ht="13.5" customHeight="1" x14ac:dyDescent="0.3">
      <c r="A583" s="52">
        <v>44774</v>
      </c>
      <c r="B583" s="27">
        <v>79.099999999999994</v>
      </c>
      <c r="C583" s="53">
        <f t="shared" si="18"/>
        <v>1.6709511568123357E-2</v>
      </c>
      <c r="E583" s="52">
        <v>44774</v>
      </c>
      <c r="F583" s="54">
        <v>17340.05078125</v>
      </c>
      <c r="G583" s="53">
        <f t="shared" si="19"/>
        <v>1.059553166843938E-2</v>
      </c>
    </row>
    <row r="584" spans="1:7" ht="13.5" customHeight="1" x14ac:dyDescent="0.3">
      <c r="A584" s="52">
        <v>44775</v>
      </c>
      <c r="B584" s="27">
        <v>77.599999999999994</v>
      </c>
      <c r="C584" s="53">
        <f t="shared" si="18"/>
        <v>-1.8963337547408345E-2</v>
      </c>
      <c r="E584" s="52">
        <v>44775</v>
      </c>
      <c r="F584" s="54">
        <v>17345.44921875</v>
      </c>
      <c r="G584" s="53">
        <f t="shared" si="19"/>
        <v>3.1132766380577117E-4</v>
      </c>
    </row>
    <row r="585" spans="1:7" ht="13.5" customHeight="1" x14ac:dyDescent="0.3">
      <c r="A585" s="52">
        <v>44776</v>
      </c>
      <c r="B585" s="27">
        <v>77.45</v>
      </c>
      <c r="C585" s="53">
        <f t="shared" si="18"/>
        <v>-1.9329896907215398E-3</v>
      </c>
      <c r="E585" s="52">
        <v>44776</v>
      </c>
      <c r="F585" s="54">
        <v>17388.150390625</v>
      </c>
      <c r="G585" s="53">
        <f t="shared" si="19"/>
        <v>2.4618083588657416E-3</v>
      </c>
    </row>
    <row r="586" spans="1:7" ht="13.5" customHeight="1" x14ac:dyDescent="0.3">
      <c r="A586" s="52">
        <v>44777</v>
      </c>
      <c r="B586" s="27">
        <v>77.95</v>
      </c>
      <c r="C586" s="53">
        <f t="shared" si="18"/>
        <v>6.4557779212395094E-3</v>
      </c>
      <c r="E586" s="52">
        <v>44777</v>
      </c>
      <c r="F586" s="54">
        <v>17382</v>
      </c>
      <c r="G586" s="53">
        <f t="shared" si="19"/>
        <v>-3.537116074356043E-4</v>
      </c>
    </row>
    <row r="587" spans="1:7" ht="13.5" customHeight="1" x14ac:dyDescent="0.3">
      <c r="A587" s="52">
        <v>44778</v>
      </c>
      <c r="B587" s="27">
        <v>77.650000000000006</v>
      </c>
      <c r="C587" s="53">
        <f t="shared" si="18"/>
        <v>-3.8486209108402458E-3</v>
      </c>
      <c r="E587" s="52">
        <v>44778</v>
      </c>
      <c r="F587" s="54">
        <v>17397.5</v>
      </c>
      <c r="G587" s="53">
        <f t="shared" si="19"/>
        <v>8.9172707398458174E-4</v>
      </c>
    </row>
    <row r="588" spans="1:7" ht="13.5" customHeight="1" x14ac:dyDescent="0.3">
      <c r="A588" s="52">
        <v>44781</v>
      </c>
      <c r="B588" s="27">
        <v>78.8</v>
      </c>
      <c r="C588" s="53">
        <f t="shared" si="18"/>
        <v>1.4810045074050114E-2</v>
      </c>
      <c r="E588" s="52">
        <v>44781</v>
      </c>
      <c r="F588" s="54">
        <v>17525.099609375</v>
      </c>
      <c r="G588" s="53">
        <f t="shared" si="19"/>
        <v>7.3343646716482252E-3</v>
      </c>
    </row>
    <row r="589" spans="1:7" ht="13.5" customHeight="1" x14ac:dyDescent="0.3">
      <c r="A589" s="52">
        <v>44783</v>
      </c>
      <c r="B589" s="27">
        <v>79.7</v>
      </c>
      <c r="C589" s="53">
        <f t="shared" si="18"/>
        <v>1.1421319796954387E-2</v>
      </c>
      <c r="E589" s="52">
        <v>44783</v>
      </c>
      <c r="F589" s="54">
        <v>17534.75</v>
      </c>
      <c r="G589" s="53">
        <f t="shared" si="19"/>
        <v>5.5066109979982946E-4</v>
      </c>
    </row>
    <row r="590" spans="1:7" ht="13.5" customHeight="1" x14ac:dyDescent="0.3">
      <c r="A590" s="52">
        <v>44784</v>
      </c>
      <c r="B590" s="27">
        <v>79.2</v>
      </c>
      <c r="C590" s="53">
        <f t="shared" si="18"/>
        <v>-6.2735257214554582E-3</v>
      </c>
      <c r="E590" s="52">
        <v>44784</v>
      </c>
      <c r="F590" s="54">
        <v>17659</v>
      </c>
      <c r="G590" s="53">
        <f t="shared" si="19"/>
        <v>7.0859293688247619E-3</v>
      </c>
    </row>
    <row r="591" spans="1:7" ht="13.5" customHeight="1" x14ac:dyDescent="0.3">
      <c r="A591" s="52">
        <v>44785</v>
      </c>
      <c r="B591" s="27">
        <v>79.8</v>
      </c>
      <c r="C591" s="53">
        <f t="shared" si="18"/>
        <v>7.575757575757504E-3</v>
      </c>
      <c r="E591" s="52">
        <v>44785</v>
      </c>
      <c r="F591" s="54">
        <v>17698.150390625</v>
      </c>
      <c r="G591" s="53">
        <f t="shared" si="19"/>
        <v>2.2170219505634522E-3</v>
      </c>
    </row>
    <row r="592" spans="1:7" ht="13.5" customHeight="1" x14ac:dyDescent="0.3">
      <c r="A592" s="52">
        <v>44789</v>
      </c>
      <c r="B592" s="27">
        <v>79.2</v>
      </c>
      <c r="C592" s="53">
        <f t="shared" si="18"/>
        <v>-7.5187969924811323E-3</v>
      </c>
      <c r="E592" s="52">
        <v>44789</v>
      </c>
      <c r="F592" s="54">
        <v>17825.25</v>
      </c>
      <c r="G592" s="53">
        <f t="shared" si="19"/>
        <v>7.18151934353133E-3</v>
      </c>
    </row>
    <row r="593" spans="1:7" ht="13.5" customHeight="1" x14ac:dyDescent="0.3">
      <c r="A593" s="52">
        <v>44790</v>
      </c>
      <c r="B593" s="27">
        <v>82.3</v>
      </c>
      <c r="C593" s="53">
        <f t="shared" si="18"/>
        <v>3.9141414141414067E-2</v>
      </c>
      <c r="E593" s="52">
        <v>44790</v>
      </c>
      <c r="F593" s="54">
        <v>17944.25</v>
      </c>
      <c r="G593" s="53">
        <f t="shared" si="19"/>
        <v>6.675923198833116E-3</v>
      </c>
    </row>
    <row r="594" spans="1:7" ht="13.5" customHeight="1" x14ac:dyDescent="0.3">
      <c r="A594" s="52">
        <v>44791</v>
      </c>
      <c r="B594" s="27">
        <v>81.25</v>
      </c>
      <c r="C594" s="53">
        <f t="shared" si="18"/>
        <v>-1.2758201701093526E-2</v>
      </c>
      <c r="E594" s="52">
        <v>44791</v>
      </c>
      <c r="F594" s="54">
        <v>17956.5</v>
      </c>
      <c r="G594" s="53">
        <f t="shared" si="19"/>
        <v>6.8266993605193866E-4</v>
      </c>
    </row>
    <row r="595" spans="1:7" ht="13.5" customHeight="1" x14ac:dyDescent="0.3">
      <c r="A595" s="52">
        <v>44792</v>
      </c>
      <c r="B595" s="27">
        <v>79.150000000000006</v>
      </c>
      <c r="C595" s="53">
        <f t="shared" si="18"/>
        <v>-2.5846153846153776E-2</v>
      </c>
      <c r="E595" s="52">
        <v>44792</v>
      </c>
      <c r="F595" s="54">
        <v>17758.44921875</v>
      </c>
      <c r="G595" s="53">
        <f t="shared" si="19"/>
        <v>-1.1029475746944004E-2</v>
      </c>
    </row>
    <row r="596" spans="1:7" ht="13.5" customHeight="1" x14ac:dyDescent="0.3">
      <c r="A596" s="52">
        <v>44795</v>
      </c>
      <c r="B596" s="27">
        <v>77</v>
      </c>
      <c r="C596" s="53">
        <f t="shared" si="18"/>
        <v>-2.7163613392293184E-2</v>
      </c>
      <c r="E596" s="52">
        <v>44795</v>
      </c>
      <c r="F596" s="54">
        <v>17490.69921875</v>
      </c>
      <c r="G596" s="53">
        <f t="shared" si="19"/>
        <v>-1.5077330047338822E-2</v>
      </c>
    </row>
    <row r="597" spans="1:7" ht="13.5" customHeight="1" x14ac:dyDescent="0.3">
      <c r="A597" s="52">
        <v>44796</v>
      </c>
      <c r="B597" s="27">
        <v>79.2</v>
      </c>
      <c r="C597" s="53">
        <f t="shared" si="18"/>
        <v>2.8571428571428609E-2</v>
      </c>
      <c r="E597" s="52">
        <v>44796</v>
      </c>
      <c r="F597" s="54">
        <v>17577.5</v>
      </c>
      <c r="G597" s="53">
        <f t="shared" si="19"/>
        <v>4.9626821755044369E-3</v>
      </c>
    </row>
    <row r="598" spans="1:7" ht="13.5" customHeight="1" x14ac:dyDescent="0.3">
      <c r="A598" s="52">
        <v>44797</v>
      </c>
      <c r="B598" s="27">
        <v>79.95</v>
      </c>
      <c r="C598" s="53">
        <f t="shared" si="18"/>
        <v>9.46969696969697E-3</v>
      </c>
      <c r="E598" s="52">
        <v>44797</v>
      </c>
      <c r="F598" s="54">
        <v>17604.94921875</v>
      </c>
      <c r="G598" s="53">
        <f t="shared" si="19"/>
        <v>1.5616110795050491E-3</v>
      </c>
    </row>
    <row r="599" spans="1:7" ht="13.5" customHeight="1" x14ac:dyDescent="0.3">
      <c r="A599" s="52">
        <v>44798</v>
      </c>
      <c r="B599" s="27">
        <v>79.599999999999994</v>
      </c>
      <c r="C599" s="53">
        <f t="shared" si="18"/>
        <v>-4.3777360850532649E-3</v>
      </c>
      <c r="E599" s="52">
        <v>44798</v>
      </c>
      <c r="F599" s="54">
        <v>17522.44921875</v>
      </c>
      <c r="G599" s="53">
        <f t="shared" si="19"/>
        <v>-4.686182219266732E-3</v>
      </c>
    </row>
    <row r="600" spans="1:7" ht="13.5" customHeight="1" x14ac:dyDescent="0.3">
      <c r="A600" s="52">
        <v>44799</v>
      </c>
      <c r="B600" s="27">
        <v>81.7</v>
      </c>
      <c r="C600" s="53">
        <f t="shared" si="18"/>
        <v>2.6381909547738801E-2</v>
      </c>
      <c r="E600" s="52">
        <v>44799</v>
      </c>
      <c r="F600" s="54">
        <v>17558.900390625</v>
      </c>
      <c r="G600" s="53">
        <f t="shared" si="19"/>
        <v>2.0802555293466174E-3</v>
      </c>
    </row>
    <row r="601" spans="1:7" ht="13.5" customHeight="1" x14ac:dyDescent="0.3">
      <c r="A601" s="52">
        <v>44802</v>
      </c>
      <c r="B601" s="27">
        <v>80.2</v>
      </c>
      <c r="C601" s="53">
        <f t="shared" si="18"/>
        <v>-1.8359853121175031E-2</v>
      </c>
      <c r="E601" s="52">
        <v>44802</v>
      </c>
      <c r="F601" s="54">
        <v>17312.900390625</v>
      </c>
      <c r="G601" s="53">
        <f t="shared" si="19"/>
        <v>-1.400998892455382E-2</v>
      </c>
    </row>
    <row r="602" spans="1:7" ht="13.5" customHeight="1" x14ac:dyDescent="0.3">
      <c r="A602" s="52">
        <v>44803</v>
      </c>
      <c r="B602" s="27">
        <v>80.5</v>
      </c>
      <c r="C602" s="53">
        <f t="shared" si="18"/>
        <v>3.7406483790523334E-3</v>
      </c>
      <c r="E602" s="52">
        <v>44803</v>
      </c>
      <c r="F602" s="54">
        <v>17759.30078125</v>
      </c>
      <c r="G602" s="53">
        <f t="shared" si="19"/>
        <v>2.5784263789025638E-2</v>
      </c>
    </row>
    <row r="603" spans="1:7" ht="13.5" customHeight="1" x14ac:dyDescent="0.3">
      <c r="A603" s="52">
        <v>44805</v>
      </c>
      <c r="B603" s="27">
        <v>77.7</v>
      </c>
      <c r="C603" s="53">
        <f t="shared" si="18"/>
        <v>-3.478260869565214E-2</v>
      </c>
      <c r="E603" s="52">
        <v>44805</v>
      </c>
      <c r="F603" s="54">
        <v>17542.80078125</v>
      </c>
      <c r="G603" s="53">
        <f t="shared" si="19"/>
        <v>-1.2190795272107639E-2</v>
      </c>
    </row>
    <row r="604" spans="1:7" ht="13.5" customHeight="1" x14ac:dyDescent="0.3">
      <c r="A604" s="52">
        <v>44806</v>
      </c>
      <c r="B604" s="27">
        <v>77.099999999999994</v>
      </c>
      <c r="C604" s="53">
        <f t="shared" si="18"/>
        <v>-7.7220077220078315E-3</v>
      </c>
      <c r="E604" s="52">
        <v>44806</v>
      </c>
      <c r="F604" s="54">
        <v>17539.44921875</v>
      </c>
      <c r="G604" s="53">
        <f t="shared" si="19"/>
        <v>-1.9105059344812252E-4</v>
      </c>
    </row>
    <row r="605" spans="1:7" ht="13.5" customHeight="1" x14ac:dyDescent="0.3">
      <c r="A605" s="52">
        <v>44809</v>
      </c>
      <c r="B605" s="27">
        <v>79.400000000000006</v>
      </c>
      <c r="C605" s="53">
        <f t="shared" si="18"/>
        <v>2.9831387808041655E-2</v>
      </c>
      <c r="E605" s="52">
        <v>44809</v>
      </c>
      <c r="F605" s="54">
        <v>17665.80078125</v>
      </c>
      <c r="G605" s="53">
        <f t="shared" si="19"/>
        <v>7.2038500710117975E-3</v>
      </c>
    </row>
    <row r="606" spans="1:7" ht="13.5" customHeight="1" x14ac:dyDescent="0.3">
      <c r="A606" s="52">
        <v>44810</v>
      </c>
      <c r="B606" s="27">
        <v>80.349999999999994</v>
      </c>
      <c r="C606" s="53">
        <f t="shared" si="18"/>
        <v>1.1964735516372652E-2</v>
      </c>
      <c r="E606" s="52">
        <v>44810</v>
      </c>
      <c r="F606" s="54">
        <v>17655.599609375</v>
      </c>
      <c r="G606" s="53">
        <f t="shared" si="19"/>
        <v>-5.7745312546642362E-4</v>
      </c>
    </row>
    <row r="607" spans="1:7" ht="13.5" customHeight="1" x14ac:dyDescent="0.3">
      <c r="A607" s="52">
        <v>44811</v>
      </c>
      <c r="B607" s="27">
        <v>80.150000000000006</v>
      </c>
      <c r="C607" s="53">
        <f t="shared" si="18"/>
        <v>-2.4891101431236918E-3</v>
      </c>
      <c r="E607" s="52">
        <v>44811</v>
      </c>
      <c r="F607" s="54">
        <v>17624.400390625</v>
      </c>
      <c r="G607" s="53">
        <f t="shared" si="19"/>
        <v>-1.7671004916442166E-3</v>
      </c>
    </row>
    <row r="608" spans="1:7" ht="13.5" customHeight="1" x14ac:dyDescent="0.3">
      <c r="A608" s="52">
        <v>44812</v>
      </c>
      <c r="B608" s="27">
        <v>79.599999999999994</v>
      </c>
      <c r="C608" s="53">
        <f t="shared" si="18"/>
        <v>-6.862133499688226E-3</v>
      </c>
      <c r="E608" s="52">
        <v>44812</v>
      </c>
      <c r="F608" s="54">
        <v>17798.75</v>
      </c>
      <c r="G608" s="53">
        <f t="shared" si="19"/>
        <v>9.8925129655895866E-3</v>
      </c>
    </row>
    <row r="609" spans="1:7" ht="13.5" customHeight="1" x14ac:dyDescent="0.3">
      <c r="A609" s="52">
        <v>44813</v>
      </c>
      <c r="B609" s="27">
        <v>79.95</v>
      </c>
      <c r="C609" s="53">
        <f t="shared" si="18"/>
        <v>4.3969849246232231E-3</v>
      </c>
      <c r="E609" s="52">
        <v>44813</v>
      </c>
      <c r="F609" s="54">
        <v>17833.349609375</v>
      </c>
      <c r="G609" s="53">
        <f t="shared" si="19"/>
        <v>1.943934791769085E-3</v>
      </c>
    </row>
    <row r="610" spans="1:7" ht="13.5" customHeight="1" x14ac:dyDescent="0.3">
      <c r="A610" s="52">
        <v>44816</v>
      </c>
      <c r="B610" s="27">
        <v>81.25</v>
      </c>
      <c r="C610" s="53">
        <f t="shared" si="18"/>
        <v>1.626016260162598E-2</v>
      </c>
      <c r="E610" s="52">
        <v>44816</v>
      </c>
      <c r="F610" s="54">
        <v>17936.349609375</v>
      </c>
      <c r="G610" s="53">
        <f t="shared" si="19"/>
        <v>5.77569566324505E-3</v>
      </c>
    </row>
    <row r="611" spans="1:7" ht="13.5" customHeight="1" x14ac:dyDescent="0.3">
      <c r="A611" s="52">
        <v>44817</v>
      </c>
      <c r="B611" s="27">
        <v>81.400000000000006</v>
      </c>
      <c r="C611" s="53">
        <f t="shared" si="18"/>
        <v>1.8461538461539161E-3</v>
      </c>
      <c r="E611" s="52">
        <v>44817</v>
      </c>
      <c r="F611" s="54">
        <v>18070.05078125</v>
      </c>
      <c r="G611" s="53">
        <f t="shared" si="19"/>
        <v>7.4542019299800475E-3</v>
      </c>
    </row>
    <row r="612" spans="1:7" ht="13.5" customHeight="1" x14ac:dyDescent="0.3">
      <c r="A612" s="52">
        <v>44818</v>
      </c>
      <c r="B612" s="27">
        <v>82.65</v>
      </c>
      <c r="C612" s="53">
        <f t="shared" si="18"/>
        <v>1.5356265356265355E-2</v>
      </c>
      <c r="E612" s="52">
        <v>44818</v>
      </c>
      <c r="F612" s="54">
        <v>18003.75</v>
      </c>
      <c r="G612" s="53">
        <f t="shared" si="19"/>
        <v>-3.6690976717561625E-3</v>
      </c>
    </row>
    <row r="613" spans="1:7" ht="13.5" customHeight="1" x14ac:dyDescent="0.3">
      <c r="A613" s="52">
        <v>44819</v>
      </c>
      <c r="B613" s="27">
        <v>79.25</v>
      </c>
      <c r="C613" s="53">
        <f t="shared" si="18"/>
        <v>-4.1137326073805269E-2</v>
      </c>
      <c r="E613" s="52">
        <v>44819</v>
      </c>
      <c r="F613" s="54">
        <v>17877.400390625</v>
      </c>
      <c r="G613" s="53">
        <f t="shared" si="19"/>
        <v>-7.0179606679164064E-3</v>
      </c>
    </row>
    <row r="614" spans="1:7" ht="13.5" customHeight="1" x14ac:dyDescent="0.3">
      <c r="A614" s="52">
        <v>44820</v>
      </c>
      <c r="B614" s="27">
        <v>77.05</v>
      </c>
      <c r="C614" s="53">
        <f t="shared" si="18"/>
        <v>-2.7760252365930636E-2</v>
      </c>
      <c r="E614" s="52">
        <v>44820</v>
      </c>
      <c r="F614" s="54">
        <v>17530.849609375</v>
      </c>
      <c r="G614" s="53">
        <f t="shared" si="19"/>
        <v>-1.9384853148544628E-2</v>
      </c>
    </row>
    <row r="615" spans="1:7" ht="13.5" customHeight="1" x14ac:dyDescent="0.3">
      <c r="A615" s="52">
        <v>44823</v>
      </c>
      <c r="B615" s="27">
        <v>74.400000000000006</v>
      </c>
      <c r="C615" s="53">
        <f t="shared" si="18"/>
        <v>-3.4393251135626107E-2</v>
      </c>
      <c r="E615" s="52">
        <v>44823</v>
      </c>
      <c r="F615" s="54">
        <v>17622.25</v>
      </c>
      <c r="G615" s="53">
        <f t="shared" si="19"/>
        <v>5.2136885924867933E-3</v>
      </c>
    </row>
    <row r="616" spans="1:7" ht="13.5" customHeight="1" x14ac:dyDescent="0.3">
      <c r="A616" s="52">
        <v>44824</v>
      </c>
      <c r="B616" s="27">
        <v>75.599999999999994</v>
      </c>
      <c r="C616" s="53">
        <f t="shared" si="18"/>
        <v>1.6129032258064363E-2</v>
      </c>
      <c r="E616" s="52">
        <v>44824</v>
      </c>
      <c r="F616" s="54">
        <v>17816.25</v>
      </c>
      <c r="G616" s="53">
        <f t="shared" si="19"/>
        <v>1.1008809885230319E-2</v>
      </c>
    </row>
    <row r="617" spans="1:7" ht="13.5" customHeight="1" x14ac:dyDescent="0.3">
      <c r="A617" s="52">
        <v>44825</v>
      </c>
      <c r="B617" s="27">
        <v>74.150000000000006</v>
      </c>
      <c r="C617" s="53">
        <f t="shared" si="18"/>
        <v>-1.917989417989403E-2</v>
      </c>
      <c r="E617" s="52">
        <v>44825</v>
      </c>
      <c r="F617" s="54">
        <v>17718.349609375</v>
      </c>
      <c r="G617" s="53">
        <f t="shared" si="19"/>
        <v>-5.4950054374517648E-3</v>
      </c>
    </row>
    <row r="618" spans="1:7" ht="13.5" customHeight="1" x14ac:dyDescent="0.3">
      <c r="A618" s="52">
        <v>44826</v>
      </c>
      <c r="B618" s="27">
        <v>74.95</v>
      </c>
      <c r="C618" s="53">
        <f t="shared" si="18"/>
        <v>1.0788941335131452E-2</v>
      </c>
      <c r="E618" s="52">
        <v>44826</v>
      </c>
      <c r="F618" s="54">
        <v>17629.80078125</v>
      </c>
      <c r="G618" s="53">
        <f t="shared" si="19"/>
        <v>-4.9975776569025207E-3</v>
      </c>
    </row>
    <row r="619" spans="1:7" ht="13.5" customHeight="1" x14ac:dyDescent="0.3">
      <c r="A619" s="52">
        <v>44827</v>
      </c>
      <c r="B619" s="27">
        <v>73.05</v>
      </c>
      <c r="C619" s="53">
        <f t="shared" si="18"/>
        <v>-2.5350233488992735E-2</v>
      </c>
      <c r="E619" s="52">
        <v>44827</v>
      </c>
      <c r="F619" s="54">
        <v>17327.349609375</v>
      </c>
      <c r="G619" s="53">
        <f t="shared" si="19"/>
        <v>-1.7155677232420515E-2</v>
      </c>
    </row>
    <row r="620" spans="1:7" ht="13.5" customHeight="1" x14ac:dyDescent="0.3">
      <c r="A620" s="52">
        <v>44830</v>
      </c>
      <c r="B620" s="27">
        <v>68.900000000000006</v>
      </c>
      <c r="C620" s="53">
        <f t="shared" si="18"/>
        <v>-5.6810403832990984E-2</v>
      </c>
      <c r="E620" s="52">
        <v>44830</v>
      </c>
      <c r="F620" s="54">
        <v>17016.30078125</v>
      </c>
      <c r="G620" s="53">
        <f t="shared" si="19"/>
        <v>-1.7951321762256493E-2</v>
      </c>
    </row>
    <row r="621" spans="1:7" ht="13.5" customHeight="1" x14ac:dyDescent="0.3">
      <c r="A621" s="52">
        <v>44831</v>
      </c>
      <c r="B621" s="27">
        <v>68.95</v>
      </c>
      <c r="C621" s="53">
        <f t="shared" si="18"/>
        <v>7.2568940493464664E-4</v>
      </c>
      <c r="E621" s="52">
        <v>44831</v>
      </c>
      <c r="F621" s="54">
        <v>17007.400390625</v>
      </c>
      <c r="G621" s="53">
        <f t="shared" si="19"/>
        <v>-5.2305085220444639E-4</v>
      </c>
    </row>
    <row r="622" spans="1:7" ht="13.5" customHeight="1" x14ac:dyDescent="0.3">
      <c r="A622" s="52">
        <v>44832</v>
      </c>
      <c r="B622" s="27">
        <v>67.099999999999994</v>
      </c>
      <c r="C622" s="53">
        <f t="shared" si="18"/>
        <v>-2.6831036983321371E-2</v>
      </c>
      <c r="E622" s="52">
        <v>44832</v>
      </c>
      <c r="F622" s="54">
        <v>16858.599609375</v>
      </c>
      <c r="G622" s="53">
        <f t="shared" si="19"/>
        <v>-8.7491784653946029E-3</v>
      </c>
    </row>
    <row r="623" spans="1:7" ht="13.5" customHeight="1" x14ac:dyDescent="0.3">
      <c r="A623" s="52">
        <v>44833</v>
      </c>
      <c r="B623" s="27">
        <v>67.75</v>
      </c>
      <c r="C623" s="53">
        <f t="shared" si="18"/>
        <v>9.6870342771982979E-3</v>
      </c>
      <c r="E623" s="52">
        <v>44833</v>
      </c>
      <c r="F623" s="54">
        <v>16818.099609375</v>
      </c>
      <c r="G623" s="53">
        <f t="shared" si="19"/>
        <v>-2.4023347691037229E-3</v>
      </c>
    </row>
    <row r="624" spans="1:7" ht="13.5" customHeight="1" x14ac:dyDescent="0.3">
      <c r="A624" s="52">
        <v>44834</v>
      </c>
      <c r="B624" s="27">
        <v>71.3</v>
      </c>
      <c r="C624" s="53">
        <f t="shared" si="18"/>
        <v>5.2398523985239809E-2</v>
      </c>
      <c r="E624" s="52">
        <v>44834</v>
      </c>
      <c r="F624" s="54">
        <v>17094.349609375</v>
      </c>
      <c r="G624" s="53">
        <f t="shared" si="19"/>
        <v>1.6425755966269134E-2</v>
      </c>
    </row>
    <row r="625" spans="1:7" ht="13.5" customHeight="1" x14ac:dyDescent="0.3">
      <c r="A625" s="52">
        <v>44837</v>
      </c>
      <c r="B625" s="27">
        <v>68.650000000000006</v>
      </c>
      <c r="C625" s="53">
        <f t="shared" si="18"/>
        <v>-3.7166900420757244E-2</v>
      </c>
      <c r="E625" s="52">
        <v>44837</v>
      </c>
      <c r="F625" s="54">
        <v>16887.349609375</v>
      </c>
      <c r="G625" s="53">
        <f t="shared" si="19"/>
        <v>-1.2109264448790473E-2</v>
      </c>
    </row>
    <row r="626" spans="1:7" ht="13.5" customHeight="1" x14ac:dyDescent="0.3">
      <c r="A626" s="52">
        <v>44838</v>
      </c>
      <c r="B626" s="27">
        <v>70.849999999999994</v>
      </c>
      <c r="C626" s="53">
        <f t="shared" si="18"/>
        <v>3.2046613255644403E-2</v>
      </c>
      <c r="E626" s="52">
        <v>44838</v>
      </c>
      <c r="F626" s="54">
        <v>17274.30078125</v>
      </c>
      <c r="G626" s="53">
        <f t="shared" si="19"/>
        <v>2.2913670932719031E-2</v>
      </c>
    </row>
    <row r="627" spans="1:7" ht="13.5" customHeight="1" x14ac:dyDescent="0.3">
      <c r="A627" s="52">
        <v>44840</v>
      </c>
      <c r="B627" s="27">
        <v>72.75</v>
      </c>
      <c r="C627" s="53">
        <f t="shared" si="18"/>
        <v>2.6817219477770018E-2</v>
      </c>
      <c r="E627" s="52">
        <v>44840</v>
      </c>
      <c r="F627" s="54">
        <v>17331.80078125</v>
      </c>
      <c r="G627" s="53">
        <f t="shared" si="19"/>
        <v>3.3286441360574244E-3</v>
      </c>
    </row>
    <row r="628" spans="1:7" ht="13.5" customHeight="1" x14ac:dyDescent="0.3">
      <c r="A628" s="52">
        <v>44841</v>
      </c>
      <c r="B628" s="27">
        <v>72.349999999999994</v>
      </c>
      <c r="C628" s="53">
        <f t="shared" si="18"/>
        <v>-5.4982817869416592E-3</v>
      </c>
      <c r="E628" s="52">
        <v>44841</v>
      </c>
      <c r="F628" s="54">
        <v>17314.650390625</v>
      </c>
      <c r="G628" s="53">
        <f t="shared" si="19"/>
        <v>-9.8953310400115763E-4</v>
      </c>
    </row>
    <row r="629" spans="1:7" ht="13.5" customHeight="1" x14ac:dyDescent="0.3">
      <c r="A629" s="52">
        <v>44844</v>
      </c>
      <c r="B629" s="27">
        <v>72.25</v>
      </c>
      <c r="C629" s="53">
        <f t="shared" si="18"/>
        <v>-1.3821700069107715E-3</v>
      </c>
      <c r="E629" s="52">
        <v>44844</v>
      </c>
      <c r="F629" s="54">
        <v>17241</v>
      </c>
      <c r="G629" s="53">
        <f t="shared" si="19"/>
        <v>-4.253645841147213E-3</v>
      </c>
    </row>
    <row r="630" spans="1:7" ht="13.5" customHeight="1" x14ac:dyDescent="0.3">
      <c r="A630" s="52">
        <v>44845</v>
      </c>
      <c r="B630" s="27">
        <v>70.099999999999994</v>
      </c>
      <c r="C630" s="53">
        <f t="shared" si="18"/>
        <v>-2.9757785467128105E-2</v>
      </c>
      <c r="E630" s="52">
        <v>44845</v>
      </c>
      <c r="F630" s="54">
        <v>16983.55078125</v>
      </c>
      <c r="G630" s="53">
        <f t="shared" si="19"/>
        <v>-1.4932383199930399E-2</v>
      </c>
    </row>
    <row r="631" spans="1:7" ht="13.5" customHeight="1" x14ac:dyDescent="0.3">
      <c r="A631" s="52">
        <v>44846</v>
      </c>
      <c r="B631" s="27">
        <v>70.5</v>
      </c>
      <c r="C631" s="53">
        <f t="shared" si="18"/>
        <v>5.7061340941512943E-3</v>
      </c>
      <c r="E631" s="52">
        <v>44846</v>
      </c>
      <c r="F631" s="54">
        <v>17123.599609375</v>
      </c>
      <c r="G631" s="53">
        <f t="shared" si="19"/>
        <v>8.2461453396197471E-3</v>
      </c>
    </row>
    <row r="632" spans="1:7" ht="13.5" customHeight="1" x14ac:dyDescent="0.3">
      <c r="A632" s="52">
        <v>44847</v>
      </c>
      <c r="B632" s="27">
        <v>72.3</v>
      </c>
      <c r="C632" s="53">
        <f t="shared" si="18"/>
        <v>2.5531914893616982E-2</v>
      </c>
      <c r="E632" s="52">
        <v>44847</v>
      </c>
      <c r="F632" s="54">
        <v>17014.349609375</v>
      </c>
      <c r="G632" s="53">
        <f t="shared" si="19"/>
        <v>-6.3800837728176449E-3</v>
      </c>
    </row>
    <row r="633" spans="1:7" ht="13.5" customHeight="1" x14ac:dyDescent="0.3">
      <c r="A633" s="52">
        <v>44848</v>
      </c>
      <c r="B633" s="27">
        <v>70</v>
      </c>
      <c r="C633" s="53">
        <f t="shared" si="18"/>
        <v>-3.1811894882434265E-2</v>
      </c>
      <c r="E633" s="52">
        <v>44848</v>
      </c>
      <c r="F633" s="54">
        <v>17185.69921875</v>
      </c>
      <c r="G633" s="53">
        <f t="shared" si="19"/>
        <v>1.0070888003887344E-2</v>
      </c>
    </row>
    <row r="634" spans="1:7" ht="13.5" customHeight="1" x14ac:dyDescent="0.3">
      <c r="A634" s="52">
        <v>44851</v>
      </c>
      <c r="B634" s="27">
        <v>68.7</v>
      </c>
      <c r="C634" s="53">
        <f t="shared" si="18"/>
        <v>-1.857142857142853E-2</v>
      </c>
      <c r="E634" s="52">
        <v>44851</v>
      </c>
      <c r="F634" s="54">
        <v>17311.80078125</v>
      </c>
      <c r="G634" s="53">
        <f t="shared" si="19"/>
        <v>7.3375869608156676E-3</v>
      </c>
    </row>
    <row r="635" spans="1:7" ht="13.5" customHeight="1" x14ac:dyDescent="0.3">
      <c r="A635" s="52">
        <v>44852</v>
      </c>
      <c r="B635" s="27">
        <v>68.650000000000006</v>
      </c>
      <c r="C635" s="53">
        <f t="shared" si="18"/>
        <v>-7.2780203784566459E-4</v>
      </c>
      <c r="E635" s="52">
        <v>44852</v>
      </c>
      <c r="F635" s="54">
        <v>17486.94921875</v>
      </c>
      <c r="G635" s="53">
        <f t="shared" si="19"/>
        <v>1.0117285874136163E-2</v>
      </c>
    </row>
    <row r="636" spans="1:7" ht="13.5" customHeight="1" x14ac:dyDescent="0.3">
      <c r="A636" s="52">
        <v>44853</v>
      </c>
      <c r="B636" s="27">
        <v>68.849999999999994</v>
      </c>
      <c r="C636" s="53">
        <f t="shared" si="18"/>
        <v>2.9133284777857044E-3</v>
      </c>
      <c r="E636" s="52">
        <v>44853</v>
      </c>
      <c r="F636" s="54">
        <v>17512.25</v>
      </c>
      <c r="G636" s="53">
        <f t="shared" si="19"/>
        <v>1.4468379208691124E-3</v>
      </c>
    </row>
    <row r="637" spans="1:7" ht="13.5" customHeight="1" x14ac:dyDescent="0.3">
      <c r="A637" s="52">
        <v>44854</v>
      </c>
      <c r="B637" s="27">
        <v>70.3</v>
      </c>
      <c r="C637" s="53">
        <f t="shared" si="18"/>
        <v>2.106027596223679E-2</v>
      </c>
      <c r="E637" s="52">
        <v>44854</v>
      </c>
      <c r="F637" s="54">
        <v>17563.94921875</v>
      </c>
      <c r="G637" s="53">
        <f t="shared" si="19"/>
        <v>2.9521745492441004E-3</v>
      </c>
    </row>
    <row r="638" spans="1:7" ht="13.5" customHeight="1" x14ac:dyDescent="0.3">
      <c r="A638" s="52">
        <v>44855</v>
      </c>
      <c r="B638" s="27">
        <v>69.75</v>
      </c>
      <c r="C638" s="53">
        <f t="shared" si="18"/>
        <v>-7.8236130867709412E-3</v>
      </c>
      <c r="E638" s="52">
        <v>44855</v>
      </c>
      <c r="F638" s="54">
        <v>17576.30078125</v>
      </c>
      <c r="G638" s="53">
        <f t="shared" si="19"/>
        <v>7.0323378564624668E-4</v>
      </c>
    </row>
    <row r="639" spans="1:7" ht="13.5" customHeight="1" x14ac:dyDescent="0.3">
      <c r="A639" s="52">
        <v>44858</v>
      </c>
      <c r="B639" s="27">
        <v>70.150000000000006</v>
      </c>
      <c r="C639" s="53">
        <f t="shared" si="18"/>
        <v>5.7347670250896873E-3</v>
      </c>
      <c r="E639" s="52">
        <v>44858</v>
      </c>
      <c r="F639" s="54">
        <v>17730.75</v>
      </c>
      <c r="G639" s="53">
        <f t="shared" si="19"/>
        <v>8.7873563767617655E-3</v>
      </c>
    </row>
    <row r="640" spans="1:7" ht="13.5" customHeight="1" x14ac:dyDescent="0.3">
      <c r="A640" s="52">
        <v>44859</v>
      </c>
      <c r="B640" s="27">
        <v>69.599999999999994</v>
      </c>
      <c r="C640" s="53">
        <f t="shared" si="18"/>
        <v>-7.840342124020119E-3</v>
      </c>
      <c r="E640" s="52">
        <v>44859</v>
      </c>
      <c r="F640" s="54">
        <v>17656.349609375</v>
      </c>
      <c r="G640" s="53">
        <f t="shared" si="19"/>
        <v>-4.1961220267050185E-3</v>
      </c>
    </row>
    <row r="641" spans="1:7" ht="13.5" customHeight="1" x14ac:dyDescent="0.3">
      <c r="A641" s="52">
        <v>44861</v>
      </c>
      <c r="B641" s="27">
        <v>71.3</v>
      </c>
      <c r="C641" s="53">
        <f t="shared" si="18"/>
        <v>2.4425287356321882E-2</v>
      </c>
      <c r="E641" s="52">
        <v>44861</v>
      </c>
      <c r="F641" s="54">
        <v>17736.94921875</v>
      </c>
      <c r="G641" s="53">
        <f t="shared" si="19"/>
        <v>4.5649078749666347E-3</v>
      </c>
    </row>
    <row r="642" spans="1:7" ht="13.5" customHeight="1" x14ac:dyDescent="0.3">
      <c r="A642" s="52">
        <v>44862</v>
      </c>
      <c r="B642" s="27">
        <v>69.8</v>
      </c>
      <c r="C642" s="53">
        <f t="shared" si="18"/>
        <v>-2.1037868162692847E-2</v>
      </c>
      <c r="E642" s="52">
        <v>44862</v>
      </c>
      <c r="F642" s="54">
        <v>17786.80078125</v>
      </c>
      <c r="G642" s="53">
        <f t="shared" si="19"/>
        <v>2.8106052447453111E-3</v>
      </c>
    </row>
    <row r="643" spans="1:7" ht="13.5" customHeight="1" x14ac:dyDescent="0.3">
      <c r="A643" s="52">
        <v>44865</v>
      </c>
      <c r="B643" s="27">
        <v>70.2</v>
      </c>
      <c r="C643" s="53">
        <f t="shared" si="18"/>
        <v>5.730659025788047E-3</v>
      </c>
      <c r="E643" s="52">
        <v>44865</v>
      </c>
      <c r="F643" s="54">
        <v>18012.19921875</v>
      </c>
      <c r="G643" s="53">
        <f t="shared" si="19"/>
        <v>1.2672230395564126E-2</v>
      </c>
    </row>
    <row r="644" spans="1:7" ht="13.5" customHeight="1" x14ac:dyDescent="0.3">
      <c r="A644" s="52">
        <v>44866</v>
      </c>
      <c r="B644" s="27">
        <v>71</v>
      </c>
      <c r="C644" s="53">
        <f t="shared" si="18"/>
        <v>1.1396011396011355E-2</v>
      </c>
      <c r="E644" s="52">
        <v>44866</v>
      </c>
      <c r="F644" s="54">
        <v>18145.400390625</v>
      </c>
      <c r="G644" s="53">
        <f t="shared" si="19"/>
        <v>7.3950532223928962E-3</v>
      </c>
    </row>
    <row r="645" spans="1:7" ht="13.5" customHeight="1" x14ac:dyDescent="0.3">
      <c r="A645" s="52">
        <v>44867</v>
      </c>
      <c r="B645" s="27">
        <v>71.7</v>
      </c>
      <c r="C645" s="53">
        <f t="shared" ref="C645:C708" si="20">(B645-B644)/B644</f>
        <v>9.8591549295775054E-3</v>
      </c>
      <c r="E645" s="52">
        <v>44867</v>
      </c>
      <c r="F645" s="54">
        <v>18082.849609375</v>
      </c>
      <c r="G645" s="53">
        <f t="shared" ref="G645:G708" si="21">(F645-F644)/F644</f>
        <v>-3.4471976315450983E-3</v>
      </c>
    </row>
    <row r="646" spans="1:7" ht="13.5" customHeight="1" x14ac:dyDescent="0.3">
      <c r="A646" s="52">
        <v>44868</v>
      </c>
      <c r="B646" s="27">
        <v>71</v>
      </c>
      <c r="C646" s="53">
        <f t="shared" si="20"/>
        <v>-9.762900976290137E-3</v>
      </c>
      <c r="E646" s="52">
        <v>44868</v>
      </c>
      <c r="F646" s="54">
        <v>18052.69921875</v>
      </c>
      <c r="G646" s="53">
        <f t="shared" si="21"/>
        <v>-1.6673473084335456E-3</v>
      </c>
    </row>
    <row r="647" spans="1:7" ht="13.5" customHeight="1" x14ac:dyDescent="0.3">
      <c r="A647" s="52">
        <v>44869</v>
      </c>
      <c r="B647" s="27">
        <v>73.349999999999994</v>
      </c>
      <c r="C647" s="53">
        <f t="shared" si="20"/>
        <v>3.3098591549295696E-2</v>
      </c>
      <c r="E647" s="52">
        <v>44869</v>
      </c>
      <c r="F647" s="54">
        <v>18117.150390625</v>
      </c>
      <c r="G647" s="53">
        <f t="shared" si="21"/>
        <v>3.5701681556882833E-3</v>
      </c>
    </row>
    <row r="648" spans="1:7" ht="13.5" customHeight="1" x14ac:dyDescent="0.3">
      <c r="A648" s="52">
        <v>44872</v>
      </c>
      <c r="B648" s="27">
        <v>75.900000000000006</v>
      </c>
      <c r="C648" s="53">
        <f t="shared" si="20"/>
        <v>3.4764826175869276E-2</v>
      </c>
      <c r="E648" s="52">
        <v>44872</v>
      </c>
      <c r="F648" s="54">
        <v>18202.80078125</v>
      </c>
      <c r="G648" s="53">
        <f t="shared" si="21"/>
        <v>4.7275862251119315E-3</v>
      </c>
    </row>
    <row r="649" spans="1:7" ht="13.5" customHeight="1" x14ac:dyDescent="0.3">
      <c r="A649" s="52">
        <v>44874</v>
      </c>
      <c r="B649" s="27">
        <v>74.099999999999994</v>
      </c>
      <c r="C649" s="53">
        <f t="shared" si="20"/>
        <v>-2.3715415019762993E-2</v>
      </c>
      <c r="E649" s="52">
        <v>44874</v>
      </c>
      <c r="F649" s="54">
        <v>18157</v>
      </c>
      <c r="G649" s="53">
        <f t="shared" si="21"/>
        <v>-2.5161392359563488E-3</v>
      </c>
    </row>
    <row r="650" spans="1:7" ht="13.5" customHeight="1" x14ac:dyDescent="0.3">
      <c r="A650" s="52">
        <v>44875</v>
      </c>
      <c r="B650" s="27">
        <v>72.45</v>
      </c>
      <c r="C650" s="53">
        <f t="shared" si="20"/>
        <v>-2.2267206477732681E-2</v>
      </c>
      <c r="E650" s="52">
        <v>44875</v>
      </c>
      <c r="F650" s="54">
        <v>18028.19921875</v>
      </c>
      <c r="G650" s="53">
        <f t="shared" si="21"/>
        <v>-7.093725904609792E-3</v>
      </c>
    </row>
    <row r="651" spans="1:7" ht="13.5" customHeight="1" x14ac:dyDescent="0.3">
      <c r="A651" s="52">
        <v>44876</v>
      </c>
      <c r="B651" s="27">
        <v>74.55</v>
      </c>
      <c r="C651" s="53">
        <f t="shared" si="20"/>
        <v>2.8985507246376732E-2</v>
      </c>
      <c r="E651" s="52">
        <v>44876</v>
      </c>
      <c r="F651" s="54">
        <v>18349.69921875</v>
      </c>
      <c r="G651" s="53">
        <f t="shared" si="21"/>
        <v>1.7833173247033349E-2</v>
      </c>
    </row>
    <row r="652" spans="1:7" ht="13.5" customHeight="1" x14ac:dyDescent="0.3">
      <c r="A652" s="52">
        <v>44879</v>
      </c>
      <c r="B652" s="27">
        <v>77.95</v>
      </c>
      <c r="C652" s="53">
        <f t="shared" si="20"/>
        <v>4.5606975184440054E-2</v>
      </c>
      <c r="E652" s="52">
        <v>44879</v>
      </c>
      <c r="F652" s="54">
        <v>18329.150390625</v>
      </c>
      <c r="G652" s="53">
        <f t="shared" si="21"/>
        <v>-1.1198455015547556E-3</v>
      </c>
    </row>
    <row r="653" spans="1:7" ht="13.5" customHeight="1" x14ac:dyDescent="0.3">
      <c r="A653" s="52">
        <v>44880</v>
      </c>
      <c r="B653" s="27">
        <v>78.349999999999994</v>
      </c>
      <c r="C653" s="53">
        <f t="shared" si="20"/>
        <v>5.1314945477869333E-3</v>
      </c>
      <c r="E653" s="52">
        <v>44880</v>
      </c>
      <c r="F653" s="54">
        <v>18403.400390625</v>
      </c>
      <c r="G653" s="53">
        <f t="shared" si="21"/>
        <v>4.0509242609508738E-3</v>
      </c>
    </row>
    <row r="654" spans="1:7" ht="13.5" customHeight="1" x14ac:dyDescent="0.3">
      <c r="A654" s="52">
        <v>44881</v>
      </c>
      <c r="B654" s="27">
        <v>76.400000000000006</v>
      </c>
      <c r="C654" s="53">
        <f t="shared" si="20"/>
        <v>-2.4888321633694817E-2</v>
      </c>
      <c r="E654" s="52">
        <v>44881</v>
      </c>
      <c r="F654" s="54">
        <v>18409.650390625</v>
      </c>
      <c r="G654" s="53">
        <f t="shared" si="21"/>
        <v>3.3961115159912808E-4</v>
      </c>
    </row>
    <row r="655" spans="1:7" ht="13.5" customHeight="1" x14ac:dyDescent="0.3">
      <c r="A655" s="52">
        <v>44882</v>
      </c>
      <c r="B655" s="27">
        <v>75.349999999999994</v>
      </c>
      <c r="C655" s="53">
        <f t="shared" si="20"/>
        <v>-1.3743455497382347E-2</v>
      </c>
      <c r="E655" s="52">
        <v>44882</v>
      </c>
      <c r="F655" s="54">
        <v>18343.900390625</v>
      </c>
      <c r="G655" s="53">
        <f t="shared" si="21"/>
        <v>-3.5714963948192506E-3</v>
      </c>
    </row>
    <row r="656" spans="1:7" ht="13.5" customHeight="1" x14ac:dyDescent="0.3">
      <c r="A656" s="52">
        <v>44883</v>
      </c>
      <c r="B656" s="27">
        <v>73.5</v>
      </c>
      <c r="C656" s="53">
        <f t="shared" si="20"/>
        <v>-2.4552090245520828E-2</v>
      </c>
      <c r="E656" s="52">
        <v>44883</v>
      </c>
      <c r="F656" s="54">
        <v>18307.650390625</v>
      </c>
      <c r="G656" s="53">
        <f t="shared" si="21"/>
        <v>-1.9761337135545203E-3</v>
      </c>
    </row>
    <row r="657" spans="1:7" ht="13.5" customHeight="1" x14ac:dyDescent="0.3">
      <c r="A657" s="52">
        <v>44886</v>
      </c>
      <c r="B657" s="27">
        <v>73.8</v>
      </c>
      <c r="C657" s="53">
        <f t="shared" si="20"/>
        <v>4.0816326530611858E-3</v>
      </c>
      <c r="E657" s="52">
        <v>44886</v>
      </c>
      <c r="F657" s="54">
        <v>18159.94921875</v>
      </c>
      <c r="G657" s="53">
        <f t="shared" si="21"/>
        <v>-8.0677295405769262E-3</v>
      </c>
    </row>
    <row r="658" spans="1:7" ht="13.5" customHeight="1" x14ac:dyDescent="0.3">
      <c r="A658" s="52">
        <v>44887</v>
      </c>
      <c r="B658" s="27">
        <v>73.849999999999994</v>
      </c>
      <c r="C658" s="53">
        <f t="shared" si="20"/>
        <v>6.7750677506771219E-4</v>
      </c>
      <c r="E658" s="52">
        <v>44887</v>
      </c>
      <c r="F658" s="54">
        <v>18244.19921875</v>
      </c>
      <c r="G658" s="53">
        <f t="shared" si="21"/>
        <v>4.6393301536885668E-3</v>
      </c>
    </row>
    <row r="659" spans="1:7" ht="13.5" customHeight="1" x14ac:dyDescent="0.3">
      <c r="A659" s="52">
        <v>44888</v>
      </c>
      <c r="B659" s="27">
        <v>74.400000000000006</v>
      </c>
      <c r="C659" s="53">
        <f t="shared" si="20"/>
        <v>7.4475287745431468E-3</v>
      </c>
      <c r="E659" s="52">
        <v>44888</v>
      </c>
      <c r="F659" s="54">
        <v>18267.25</v>
      </c>
      <c r="G659" s="53">
        <f t="shared" si="21"/>
        <v>1.2634580983039343E-3</v>
      </c>
    </row>
    <row r="660" spans="1:7" ht="13.5" customHeight="1" x14ac:dyDescent="0.3">
      <c r="A660" s="52">
        <v>44889</v>
      </c>
      <c r="B660" s="27">
        <v>74.900000000000006</v>
      </c>
      <c r="C660" s="53">
        <f t="shared" si="20"/>
        <v>6.720430107526881E-3</v>
      </c>
      <c r="E660" s="52">
        <v>44889</v>
      </c>
      <c r="F660" s="54">
        <v>18484.099609375</v>
      </c>
      <c r="G660" s="53">
        <f t="shared" si="21"/>
        <v>1.1870949889830161E-2</v>
      </c>
    </row>
    <row r="661" spans="1:7" ht="13.5" customHeight="1" x14ac:dyDescent="0.3">
      <c r="A661" s="52">
        <v>44890</v>
      </c>
      <c r="B661" s="27">
        <v>75.400000000000006</v>
      </c>
      <c r="C661" s="53">
        <f t="shared" si="20"/>
        <v>6.675567423230974E-3</v>
      </c>
      <c r="E661" s="52">
        <v>44890</v>
      </c>
      <c r="F661" s="54">
        <v>18512.75</v>
      </c>
      <c r="G661" s="53">
        <f t="shared" si="21"/>
        <v>1.5500019600883741E-3</v>
      </c>
    </row>
    <row r="662" spans="1:7" ht="13.5" customHeight="1" x14ac:dyDescent="0.3">
      <c r="A662" s="52">
        <v>44893</v>
      </c>
      <c r="B662" s="27">
        <v>74.5</v>
      </c>
      <c r="C662" s="53">
        <f t="shared" si="20"/>
        <v>-1.1936339522546493E-2</v>
      </c>
      <c r="E662" s="52">
        <v>44893</v>
      </c>
      <c r="F662" s="54">
        <v>18562.75</v>
      </c>
      <c r="G662" s="53">
        <f t="shared" si="21"/>
        <v>2.7008413120687092E-3</v>
      </c>
    </row>
    <row r="663" spans="1:7" ht="13.5" customHeight="1" x14ac:dyDescent="0.3">
      <c r="A663" s="52">
        <v>44894</v>
      </c>
      <c r="B663" s="27">
        <v>75.400000000000006</v>
      </c>
      <c r="C663" s="53">
        <f t="shared" si="20"/>
        <v>1.2080536912751754E-2</v>
      </c>
      <c r="E663" s="52">
        <v>44894</v>
      </c>
      <c r="F663" s="54">
        <v>18618.05078125</v>
      </c>
      <c r="G663" s="53">
        <f t="shared" si="21"/>
        <v>2.9791265437502526E-3</v>
      </c>
    </row>
    <row r="664" spans="1:7" ht="13.5" customHeight="1" x14ac:dyDescent="0.3">
      <c r="A664" s="52">
        <v>44895</v>
      </c>
      <c r="B664" s="27">
        <v>77</v>
      </c>
      <c r="C664" s="53">
        <f t="shared" si="20"/>
        <v>2.1220159151193557E-2</v>
      </c>
      <c r="E664" s="52">
        <v>44895</v>
      </c>
      <c r="F664" s="54">
        <v>18758.349609375</v>
      </c>
      <c r="G664" s="53">
        <f t="shared" si="21"/>
        <v>7.5356346254191742E-3</v>
      </c>
    </row>
    <row r="665" spans="1:7" ht="13.5" customHeight="1" x14ac:dyDescent="0.3">
      <c r="A665" s="52">
        <v>44896</v>
      </c>
      <c r="B665" s="27">
        <v>78</v>
      </c>
      <c r="C665" s="53">
        <f t="shared" si="20"/>
        <v>1.2987012987012988E-2</v>
      </c>
      <c r="E665" s="52">
        <v>44896</v>
      </c>
      <c r="F665" s="54">
        <v>18812.5</v>
      </c>
      <c r="G665" s="53">
        <f t="shared" si="21"/>
        <v>2.8867353340049093E-3</v>
      </c>
    </row>
    <row r="666" spans="1:7" ht="13.5" customHeight="1" x14ac:dyDescent="0.3">
      <c r="A666" s="52">
        <v>44897</v>
      </c>
      <c r="B666" s="27">
        <v>78</v>
      </c>
      <c r="C666" s="53">
        <f t="shared" si="20"/>
        <v>0</v>
      </c>
      <c r="E666" s="52">
        <v>44897</v>
      </c>
      <c r="F666" s="54">
        <v>18696.099609375</v>
      </c>
      <c r="G666" s="53">
        <f t="shared" si="21"/>
        <v>-6.1873961794019936E-3</v>
      </c>
    </row>
    <row r="667" spans="1:7" ht="13.5" customHeight="1" x14ac:dyDescent="0.3">
      <c r="A667" s="52">
        <v>44900</v>
      </c>
      <c r="B667" s="27">
        <v>80.2</v>
      </c>
      <c r="C667" s="53">
        <f t="shared" si="20"/>
        <v>2.820512820512824E-2</v>
      </c>
      <c r="E667" s="52">
        <v>44900</v>
      </c>
      <c r="F667" s="54">
        <v>18701.05078125</v>
      </c>
      <c r="G667" s="53">
        <f t="shared" si="21"/>
        <v>2.6482378562624241E-4</v>
      </c>
    </row>
    <row r="668" spans="1:7" ht="13.5" customHeight="1" x14ac:dyDescent="0.3">
      <c r="A668" s="52">
        <v>44901</v>
      </c>
      <c r="B668" s="27">
        <v>78.400000000000006</v>
      </c>
      <c r="C668" s="53">
        <f t="shared" si="20"/>
        <v>-2.2443890274314177E-2</v>
      </c>
      <c r="E668" s="52">
        <v>44901</v>
      </c>
      <c r="F668" s="54">
        <v>18642.75</v>
      </c>
      <c r="G668" s="53">
        <f t="shared" si="21"/>
        <v>-3.1175136590962781E-3</v>
      </c>
    </row>
    <row r="669" spans="1:7" ht="13.5" customHeight="1" x14ac:dyDescent="0.3">
      <c r="A669" s="52">
        <v>44902</v>
      </c>
      <c r="B669" s="27">
        <v>78.55</v>
      </c>
      <c r="C669" s="53">
        <f t="shared" si="20"/>
        <v>1.9132653061223401E-3</v>
      </c>
      <c r="E669" s="52">
        <v>44902</v>
      </c>
      <c r="F669" s="54">
        <v>18560.5</v>
      </c>
      <c r="G669" s="53">
        <f t="shared" si="21"/>
        <v>-4.4119027503989484E-3</v>
      </c>
    </row>
    <row r="670" spans="1:7" ht="13.5" customHeight="1" x14ac:dyDescent="0.3">
      <c r="A670" s="52">
        <v>44903</v>
      </c>
      <c r="B670" s="27">
        <v>78.55</v>
      </c>
      <c r="C670" s="53">
        <f t="shared" si="20"/>
        <v>0</v>
      </c>
      <c r="E670" s="52">
        <v>44903</v>
      </c>
      <c r="F670" s="54">
        <v>18609.349609375</v>
      </c>
      <c r="G670" s="53">
        <f t="shared" si="21"/>
        <v>2.6319123609277765E-3</v>
      </c>
    </row>
    <row r="671" spans="1:7" ht="13.5" customHeight="1" x14ac:dyDescent="0.3">
      <c r="A671" s="52">
        <v>44904</v>
      </c>
      <c r="B671" s="27">
        <v>76.900000000000006</v>
      </c>
      <c r="C671" s="53">
        <f t="shared" si="20"/>
        <v>-2.1005728835136749E-2</v>
      </c>
      <c r="E671" s="52">
        <v>44904</v>
      </c>
      <c r="F671" s="54">
        <v>18496.599609375</v>
      </c>
      <c r="G671" s="53">
        <f t="shared" si="21"/>
        <v>-6.058782405979353E-3</v>
      </c>
    </row>
    <row r="672" spans="1:7" ht="13.5" customHeight="1" x14ac:dyDescent="0.3">
      <c r="A672" s="52">
        <v>44907</v>
      </c>
      <c r="B672" s="27">
        <v>77.650000000000006</v>
      </c>
      <c r="C672" s="53">
        <f t="shared" si="20"/>
        <v>9.7529258777633281E-3</v>
      </c>
      <c r="E672" s="52">
        <v>44907</v>
      </c>
      <c r="F672" s="54">
        <v>18497.150390625</v>
      </c>
      <c r="G672" s="53">
        <f t="shared" si="21"/>
        <v>2.9777432697458433E-5</v>
      </c>
    </row>
    <row r="673" spans="1:7" ht="13.5" customHeight="1" x14ac:dyDescent="0.3">
      <c r="A673" s="52">
        <v>44908</v>
      </c>
      <c r="B673" s="27">
        <v>77.3</v>
      </c>
      <c r="C673" s="53">
        <f t="shared" si="20"/>
        <v>-4.5074050225371344E-3</v>
      </c>
      <c r="E673" s="52">
        <v>44908</v>
      </c>
      <c r="F673" s="54">
        <v>18608</v>
      </c>
      <c r="G673" s="53">
        <f t="shared" si="21"/>
        <v>5.9927938646799584E-3</v>
      </c>
    </row>
    <row r="674" spans="1:7" ht="13.5" customHeight="1" x14ac:dyDescent="0.3">
      <c r="A674" s="52">
        <v>44909</v>
      </c>
      <c r="B674" s="27">
        <v>79.099999999999994</v>
      </c>
      <c r="C674" s="53">
        <f t="shared" si="20"/>
        <v>2.3285899094437221E-2</v>
      </c>
      <c r="E674" s="52">
        <v>44909</v>
      </c>
      <c r="F674" s="54">
        <v>18660.30078125</v>
      </c>
      <c r="G674" s="53">
        <f t="shared" si="21"/>
        <v>2.8106610731943251E-3</v>
      </c>
    </row>
    <row r="675" spans="1:7" ht="13.5" customHeight="1" x14ac:dyDescent="0.3">
      <c r="A675" s="52">
        <v>44910</v>
      </c>
      <c r="B675" s="27">
        <v>77.7</v>
      </c>
      <c r="C675" s="53">
        <f t="shared" si="20"/>
        <v>-1.769911504424768E-2</v>
      </c>
      <c r="E675" s="52">
        <v>44910</v>
      </c>
      <c r="F675" s="54">
        <v>18414.900390625</v>
      </c>
      <c r="G675" s="53">
        <f t="shared" si="21"/>
        <v>-1.3150934355333651E-2</v>
      </c>
    </row>
    <row r="676" spans="1:7" ht="13.5" customHeight="1" x14ac:dyDescent="0.3">
      <c r="A676" s="52">
        <v>44911</v>
      </c>
      <c r="B676" s="27">
        <v>77.349999999999994</v>
      </c>
      <c r="C676" s="53">
        <f t="shared" si="20"/>
        <v>-4.5045045045046138E-3</v>
      </c>
      <c r="E676" s="52">
        <v>44911</v>
      </c>
      <c r="F676" s="54">
        <v>18269</v>
      </c>
      <c r="G676" s="53">
        <f t="shared" si="21"/>
        <v>-7.9229530179418008E-3</v>
      </c>
    </row>
    <row r="677" spans="1:7" ht="13.5" customHeight="1" x14ac:dyDescent="0.3">
      <c r="A677" s="52">
        <v>44914</v>
      </c>
      <c r="B677" s="27">
        <v>78.099999999999994</v>
      </c>
      <c r="C677" s="53">
        <f t="shared" si="20"/>
        <v>9.6961861667744023E-3</v>
      </c>
      <c r="E677" s="52">
        <v>44914</v>
      </c>
      <c r="F677" s="54">
        <v>18420.44921875</v>
      </c>
      <c r="G677" s="53">
        <f t="shared" si="21"/>
        <v>8.2899566889265974E-3</v>
      </c>
    </row>
    <row r="678" spans="1:7" ht="13.5" customHeight="1" x14ac:dyDescent="0.3">
      <c r="A678" s="52">
        <v>44915</v>
      </c>
      <c r="B678" s="27">
        <v>78.150000000000006</v>
      </c>
      <c r="C678" s="53">
        <f t="shared" si="20"/>
        <v>6.4020486555712382E-4</v>
      </c>
      <c r="E678" s="52">
        <v>44915</v>
      </c>
      <c r="F678" s="54">
        <v>18385.30078125</v>
      </c>
      <c r="G678" s="53">
        <f t="shared" si="21"/>
        <v>-1.9081205394395452E-3</v>
      </c>
    </row>
    <row r="679" spans="1:7" ht="13.5" customHeight="1" x14ac:dyDescent="0.3">
      <c r="A679" s="52">
        <v>44916</v>
      </c>
      <c r="B679" s="27">
        <v>77.599999999999994</v>
      </c>
      <c r="C679" s="53">
        <f t="shared" si="20"/>
        <v>-7.0377479206655321E-3</v>
      </c>
      <c r="E679" s="52">
        <v>44916</v>
      </c>
      <c r="F679" s="54">
        <v>18199.099609375</v>
      </c>
      <c r="G679" s="53">
        <f t="shared" si="21"/>
        <v>-1.012771964355866E-2</v>
      </c>
    </row>
    <row r="680" spans="1:7" ht="13.5" customHeight="1" x14ac:dyDescent="0.3">
      <c r="A680" s="52">
        <v>44917</v>
      </c>
      <c r="B680" s="27">
        <v>75.650000000000006</v>
      </c>
      <c r="C680" s="53">
        <f t="shared" si="20"/>
        <v>-2.5128865979381299E-2</v>
      </c>
      <c r="E680" s="52">
        <v>44917</v>
      </c>
      <c r="F680" s="54">
        <v>18127.349609375</v>
      </c>
      <c r="G680" s="53">
        <f t="shared" si="21"/>
        <v>-3.9425027358517802E-3</v>
      </c>
    </row>
    <row r="681" spans="1:7" ht="13.5" customHeight="1" x14ac:dyDescent="0.3">
      <c r="A681" s="52">
        <v>44918</v>
      </c>
      <c r="B681" s="27">
        <v>71.849999999999994</v>
      </c>
      <c r="C681" s="53">
        <f t="shared" si="20"/>
        <v>-5.0231328486450906E-2</v>
      </c>
      <c r="E681" s="52">
        <v>44918</v>
      </c>
      <c r="F681" s="54">
        <v>17806.80078125</v>
      </c>
      <c r="G681" s="53">
        <f t="shared" si="21"/>
        <v>-1.7683160254117921E-2</v>
      </c>
    </row>
    <row r="682" spans="1:7" ht="13.5" customHeight="1" x14ac:dyDescent="0.3">
      <c r="A682" s="52">
        <v>44921</v>
      </c>
      <c r="B682" s="27">
        <v>74.05</v>
      </c>
      <c r="C682" s="53">
        <f t="shared" si="20"/>
        <v>3.0619345859429409E-2</v>
      </c>
      <c r="E682" s="52">
        <v>44921</v>
      </c>
      <c r="F682" s="54">
        <v>18014.599609375</v>
      </c>
      <c r="G682" s="53">
        <f t="shared" si="21"/>
        <v>1.1669632893506936E-2</v>
      </c>
    </row>
    <row r="683" spans="1:7" ht="13.5" customHeight="1" x14ac:dyDescent="0.3">
      <c r="A683" s="52">
        <v>44922</v>
      </c>
      <c r="B683" s="27">
        <v>78.849999999999994</v>
      </c>
      <c r="C683" s="53">
        <f t="shared" si="20"/>
        <v>6.4821066846725145E-2</v>
      </c>
      <c r="E683" s="52">
        <v>44922</v>
      </c>
      <c r="F683" s="54">
        <v>18132.30078125</v>
      </c>
      <c r="G683" s="53">
        <f t="shared" si="21"/>
        <v>6.533654614990554E-3</v>
      </c>
    </row>
    <row r="684" spans="1:7" ht="13.5" customHeight="1" x14ac:dyDescent="0.3">
      <c r="A684" s="52">
        <v>44923</v>
      </c>
      <c r="B684" s="27">
        <v>78.75</v>
      </c>
      <c r="C684" s="53">
        <f t="shared" si="20"/>
        <v>-1.2682308180088056E-3</v>
      </c>
      <c r="E684" s="52">
        <v>44923</v>
      </c>
      <c r="F684" s="54">
        <v>18122.5</v>
      </c>
      <c r="G684" s="53">
        <f t="shared" si="21"/>
        <v>-5.405150382313676E-4</v>
      </c>
    </row>
    <row r="685" spans="1:7" ht="13.5" customHeight="1" x14ac:dyDescent="0.3">
      <c r="A685" s="52">
        <v>44924</v>
      </c>
      <c r="B685" s="27">
        <v>79.05</v>
      </c>
      <c r="C685" s="53">
        <f t="shared" si="20"/>
        <v>3.8095238095237735E-3</v>
      </c>
      <c r="E685" s="52">
        <v>44924</v>
      </c>
      <c r="F685" s="54">
        <v>18191</v>
      </c>
      <c r="G685" s="53">
        <f t="shared" si="21"/>
        <v>3.7798317009242652E-3</v>
      </c>
    </row>
    <row r="686" spans="1:7" ht="13.5" customHeight="1" x14ac:dyDescent="0.3">
      <c r="A686" s="52">
        <v>44925</v>
      </c>
      <c r="B686" s="27">
        <v>80.400000000000006</v>
      </c>
      <c r="C686" s="53">
        <f t="shared" si="20"/>
        <v>1.7077798861480184E-2</v>
      </c>
      <c r="E686" s="52">
        <v>44925</v>
      </c>
      <c r="F686" s="54">
        <v>18105.30078125</v>
      </c>
      <c r="G686" s="53">
        <f t="shared" si="21"/>
        <v>-4.7110779368918698E-3</v>
      </c>
    </row>
    <row r="687" spans="1:7" ht="13.5" customHeight="1" x14ac:dyDescent="0.3">
      <c r="A687" s="52">
        <v>44928</v>
      </c>
      <c r="B687" s="27">
        <v>83.7</v>
      </c>
      <c r="C687" s="53">
        <f t="shared" si="20"/>
        <v>4.1044776119402944E-2</v>
      </c>
      <c r="E687" s="52">
        <v>44928</v>
      </c>
      <c r="F687" s="54">
        <v>18197.44921875</v>
      </c>
      <c r="G687" s="53">
        <f t="shared" si="21"/>
        <v>5.0895833553579895E-3</v>
      </c>
    </row>
    <row r="688" spans="1:7" ht="13.5" customHeight="1" x14ac:dyDescent="0.3">
      <c r="A688" s="52">
        <v>44929</v>
      </c>
      <c r="B688" s="27">
        <v>83.1</v>
      </c>
      <c r="C688" s="53">
        <f t="shared" si="20"/>
        <v>-7.1684587813621086E-3</v>
      </c>
      <c r="E688" s="52">
        <v>44929</v>
      </c>
      <c r="F688" s="54">
        <v>18232.55078125</v>
      </c>
      <c r="G688" s="53">
        <f t="shared" si="21"/>
        <v>1.928927624858137E-3</v>
      </c>
    </row>
    <row r="689" spans="1:7" ht="13.5" customHeight="1" x14ac:dyDescent="0.3">
      <c r="A689" s="52">
        <v>44930</v>
      </c>
      <c r="B689" s="27">
        <v>80.900000000000006</v>
      </c>
      <c r="C689" s="53">
        <f t="shared" si="20"/>
        <v>-2.6474127557159912E-2</v>
      </c>
      <c r="E689" s="52">
        <v>44930</v>
      </c>
      <c r="F689" s="54">
        <v>18042.94921875</v>
      </c>
      <c r="G689" s="53">
        <f t="shared" si="21"/>
        <v>-1.0399069487028801E-2</v>
      </c>
    </row>
    <row r="690" spans="1:7" ht="13.5" customHeight="1" x14ac:dyDescent="0.3">
      <c r="A690" s="52">
        <v>44931</v>
      </c>
      <c r="B690" s="27">
        <v>81.7</v>
      </c>
      <c r="C690" s="53">
        <f t="shared" si="20"/>
        <v>9.8887515451173934E-3</v>
      </c>
      <c r="E690" s="52">
        <v>44931</v>
      </c>
      <c r="F690" s="54">
        <v>17992.150390625</v>
      </c>
      <c r="G690" s="53">
        <f t="shared" si="21"/>
        <v>-2.8154392892826255E-3</v>
      </c>
    </row>
    <row r="691" spans="1:7" ht="13.5" customHeight="1" x14ac:dyDescent="0.3">
      <c r="A691" s="52">
        <v>44932</v>
      </c>
      <c r="B691" s="27">
        <v>81.3</v>
      </c>
      <c r="C691" s="53">
        <f t="shared" si="20"/>
        <v>-4.8959608323134113E-3</v>
      </c>
      <c r="E691" s="52">
        <v>44932</v>
      </c>
      <c r="F691" s="54">
        <v>17859.44921875</v>
      </c>
      <c r="G691" s="53">
        <f t="shared" si="21"/>
        <v>-7.3755037054462009E-3</v>
      </c>
    </row>
    <row r="692" spans="1:7" ht="13.5" customHeight="1" x14ac:dyDescent="0.3">
      <c r="A692" s="52">
        <v>44935</v>
      </c>
      <c r="B692" s="27">
        <v>83.25</v>
      </c>
      <c r="C692" s="53">
        <f t="shared" si="20"/>
        <v>2.398523985239856E-2</v>
      </c>
      <c r="E692" s="52">
        <v>44935</v>
      </c>
      <c r="F692" s="54">
        <v>18101.19921875</v>
      </c>
      <c r="G692" s="53">
        <f t="shared" si="21"/>
        <v>1.3536251708490276E-2</v>
      </c>
    </row>
    <row r="693" spans="1:7" ht="13.5" customHeight="1" x14ac:dyDescent="0.3">
      <c r="A693" s="52">
        <v>44936</v>
      </c>
      <c r="B693" s="27">
        <v>83.3</v>
      </c>
      <c r="C693" s="53">
        <f t="shared" si="20"/>
        <v>6.0060060060056642E-4</v>
      </c>
      <c r="E693" s="52">
        <v>44936</v>
      </c>
      <c r="F693" s="54">
        <v>17914.150390625</v>
      </c>
      <c r="G693" s="53">
        <f t="shared" si="21"/>
        <v>-1.0333504750958532E-2</v>
      </c>
    </row>
    <row r="694" spans="1:7" ht="13.5" customHeight="1" x14ac:dyDescent="0.3">
      <c r="A694" s="52">
        <v>44937</v>
      </c>
      <c r="B694" s="27">
        <v>84.7</v>
      </c>
      <c r="C694" s="53">
        <f t="shared" si="20"/>
        <v>1.6806722689075699E-2</v>
      </c>
      <c r="E694" s="52">
        <v>44937</v>
      </c>
      <c r="F694" s="54">
        <v>17895.69921875</v>
      </c>
      <c r="G694" s="53">
        <f t="shared" si="21"/>
        <v>-1.0299775022909285E-3</v>
      </c>
    </row>
    <row r="695" spans="1:7" ht="13.5" customHeight="1" x14ac:dyDescent="0.3">
      <c r="A695" s="52">
        <v>44938</v>
      </c>
      <c r="B695" s="27">
        <v>82.5</v>
      </c>
      <c r="C695" s="53">
        <f t="shared" si="20"/>
        <v>-2.5974025974026007E-2</v>
      </c>
      <c r="E695" s="52">
        <v>44938</v>
      </c>
      <c r="F695" s="54">
        <v>17858.19921875</v>
      </c>
      <c r="G695" s="53">
        <f t="shared" si="21"/>
        <v>-2.0954755408891671E-3</v>
      </c>
    </row>
    <row r="696" spans="1:7" ht="13.5" customHeight="1" x14ac:dyDescent="0.3">
      <c r="A696" s="52">
        <v>44939</v>
      </c>
      <c r="B696" s="27">
        <v>83.2</v>
      </c>
      <c r="C696" s="53">
        <f t="shared" si="20"/>
        <v>8.4848484848485187E-3</v>
      </c>
      <c r="E696" s="52">
        <v>44939</v>
      </c>
      <c r="F696" s="54">
        <v>17956.599609375</v>
      </c>
      <c r="G696" s="53">
        <f t="shared" si="21"/>
        <v>5.5100959183883276E-3</v>
      </c>
    </row>
    <row r="697" spans="1:7" ht="13.5" customHeight="1" x14ac:dyDescent="0.3">
      <c r="A697" s="52">
        <v>44942</v>
      </c>
      <c r="B697" s="27">
        <v>83.65</v>
      </c>
      <c r="C697" s="53">
        <f t="shared" si="20"/>
        <v>5.4086538461538798E-3</v>
      </c>
      <c r="E697" s="52">
        <v>44942</v>
      </c>
      <c r="F697" s="54">
        <v>17894.849609375</v>
      </c>
      <c r="G697" s="53">
        <f t="shared" si="21"/>
        <v>-3.4388470725693972E-3</v>
      </c>
    </row>
    <row r="698" spans="1:7" ht="13.5" customHeight="1" x14ac:dyDescent="0.3">
      <c r="A698" s="52">
        <v>44943</v>
      </c>
      <c r="B698" s="27">
        <v>84.5</v>
      </c>
      <c r="C698" s="53">
        <f t="shared" si="20"/>
        <v>1.0161386730424318E-2</v>
      </c>
      <c r="E698" s="52">
        <v>44943</v>
      </c>
      <c r="F698" s="54">
        <v>18053.30078125</v>
      </c>
      <c r="G698" s="53">
        <f t="shared" si="21"/>
        <v>8.854568511824118E-3</v>
      </c>
    </row>
    <row r="699" spans="1:7" ht="13.5" customHeight="1" x14ac:dyDescent="0.3">
      <c r="A699" s="52">
        <v>44944</v>
      </c>
      <c r="B699" s="27">
        <v>85.25</v>
      </c>
      <c r="C699" s="53">
        <f t="shared" si="20"/>
        <v>8.8757396449704144E-3</v>
      </c>
      <c r="E699" s="52">
        <v>44944</v>
      </c>
      <c r="F699" s="54">
        <v>18165.349609375</v>
      </c>
      <c r="G699" s="53">
        <f t="shared" si="21"/>
        <v>6.2065563235601173E-3</v>
      </c>
    </row>
    <row r="700" spans="1:7" ht="13.5" customHeight="1" x14ac:dyDescent="0.3">
      <c r="A700" s="52">
        <v>44945</v>
      </c>
      <c r="B700" s="27">
        <v>85.45</v>
      </c>
      <c r="C700" s="53">
        <f t="shared" si="20"/>
        <v>2.3460410557185085E-3</v>
      </c>
      <c r="E700" s="52">
        <v>44945</v>
      </c>
      <c r="F700" s="54">
        <v>18107.849609375</v>
      </c>
      <c r="G700" s="53">
        <f t="shared" si="21"/>
        <v>-3.1653670992560848E-3</v>
      </c>
    </row>
    <row r="701" spans="1:7" ht="13.5" customHeight="1" x14ac:dyDescent="0.3">
      <c r="A701" s="52">
        <v>44946</v>
      </c>
      <c r="B701" s="27">
        <v>83.95</v>
      </c>
      <c r="C701" s="53">
        <f t="shared" si="20"/>
        <v>-1.7554125219426564E-2</v>
      </c>
      <c r="E701" s="52">
        <v>44946</v>
      </c>
      <c r="F701" s="54">
        <v>18027.650390625</v>
      </c>
      <c r="G701" s="53">
        <f t="shared" si="21"/>
        <v>-4.4289753051891022E-3</v>
      </c>
    </row>
    <row r="702" spans="1:7" ht="13.5" customHeight="1" x14ac:dyDescent="0.3">
      <c r="A702" s="52">
        <v>44949</v>
      </c>
      <c r="B702" s="27">
        <v>84.5</v>
      </c>
      <c r="C702" s="53">
        <f t="shared" si="20"/>
        <v>6.5515187611673272E-3</v>
      </c>
      <c r="E702" s="52">
        <v>44949</v>
      </c>
      <c r="F702" s="54">
        <v>18118.55078125</v>
      </c>
      <c r="G702" s="53">
        <f t="shared" si="21"/>
        <v>5.042276095628709E-3</v>
      </c>
    </row>
    <row r="703" spans="1:7" ht="13.5" customHeight="1" x14ac:dyDescent="0.3">
      <c r="A703" s="52">
        <v>44950</v>
      </c>
      <c r="B703" s="27">
        <v>84</v>
      </c>
      <c r="C703" s="53">
        <f t="shared" si="20"/>
        <v>-5.9171597633136093E-3</v>
      </c>
      <c r="E703" s="52">
        <v>44950</v>
      </c>
      <c r="F703" s="54">
        <v>18118.30078125</v>
      </c>
      <c r="G703" s="53">
        <f t="shared" si="21"/>
        <v>-1.3798013043003017E-5</v>
      </c>
    </row>
    <row r="704" spans="1:7" ht="13.5" customHeight="1" x14ac:dyDescent="0.3">
      <c r="A704" s="52">
        <v>44951</v>
      </c>
      <c r="B704" s="27">
        <v>82.65</v>
      </c>
      <c r="C704" s="53">
        <f t="shared" si="20"/>
        <v>-1.6071428571428504E-2</v>
      </c>
      <c r="E704" s="52">
        <v>44951</v>
      </c>
      <c r="F704" s="54">
        <v>17891.94921875</v>
      </c>
      <c r="G704" s="53">
        <f t="shared" si="21"/>
        <v>-1.2492979625012262E-2</v>
      </c>
    </row>
    <row r="705" spans="1:7" ht="13.5" customHeight="1" x14ac:dyDescent="0.3">
      <c r="A705" s="52">
        <v>44953</v>
      </c>
      <c r="B705" s="27">
        <v>82.3</v>
      </c>
      <c r="C705" s="53">
        <f t="shared" si="20"/>
        <v>-4.2347247428918145E-3</v>
      </c>
      <c r="E705" s="52">
        <v>44953</v>
      </c>
      <c r="F705" s="54">
        <v>17604.349609375</v>
      </c>
      <c r="G705" s="53">
        <f t="shared" si="21"/>
        <v>-1.6074246906178778E-2</v>
      </c>
    </row>
    <row r="706" spans="1:7" ht="13.5" customHeight="1" x14ac:dyDescent="0.3">
      <c r="A706" s="52">
        <v>44956</v>
      </c>
      <c r="B706" s="27">
        <v>82.8</v>
      </c>
      <c r="C706" s="53">
        <f t="shared" si="20"/>
        <v>6.0753341433778859E-3</v>
      </c>
      <c r="E706" s="52">
        <v>44956</v>
      </c>
      <c r="F706" s="54">
        <v>17648.94921875</v>
      </c>
      <c r="G706" s="53">
        <f t="shared" si="21"/>
        <v>2.5334426073456854E-3</v>
      </c>
    </row>
    <row r="707" spans="1:7" ht="13.5" customHeight="1" x14ac:dyDescent="0.3">
      <c r="A707" s="52">
        <v>44957</v>
      </c>
      <c r="B707" s="27">
        <v>83.35</v>
      </c>
      <c r="C707" s="53">
        <f t="shared" si="20"/>
        <v>6.6425120772946522E-3</v>
      </c>
      <c r="E707" s="52">
        <v>44957</v>
      </c>
      <c r="F707" s="54">
        <v>17662.150390625</v>
      </c>
      <c r="G707" s="53">
        <f t="shared" si="21"/>
        <v>7.4798628016761802E-4</v>
      </c>
    </row>
    <row r="708" spans="1:7" ht="13.5" customHeight="1" x14ac:dyDescent="0.3">
      <c r="A708" s="52">
        <v>44958</v>
      </c>
      <c r="B708" s="27">
        <v>81.7</v>
      </c>
      <c r="C708" s="53">
        <f t="shared" si="20"/>
        <v>-1.9796040791841531E-2</v>
      </c>
      <c r="E708" s="52">
        <v>44958</v>
      </c>
      <c r="F708" s="54">
        <v>17616.30078125</v>
      </c>
      <c r="G708" s="53">
        <f t="shared" si="21"/>
        <v>-2.5959245256645981E-3</v>
      </c>
    </row>
    <row r="709" spans="1:7" ht="13.5" customHeight="1" x14ac:dyDescent="0.3">
      <c r="A709" s="52">
        <v>44959</v>
      </c>
      <c r="B709" s="27">
        <v>81.3</v>
      </c>
      <c r="C709" s="53">
        <f t="shared" ref="C709:C772" si="22">(B709-B708)/B708</f>
        <v>-4.8959608323134113E-3</v>
      </c>
      <c r="E709" s="52">
        <v>44959</v>
      </c>
      <c r="F709" s="54">
        <v>17610.400390625</v>
      </c>
      <c r="G709" s="53">
        <f t="shared" ref="G709:G772" si="23">(F709-F708)/F708</f>
        <v>-3.3493925304000889E-4</v>
      </c>
    </row>
    <row r="710" spans="1:7" ht="13.5" customHeight="1" x14ac:dyDescent="0.3">
      <c r="A710" s="52">
        <v>44960</v>
      </c>
      <c r="B710" s="27">
        <v>78.45</v>
      </c>
      <c r="C710" s="53">
        <f t="shared" si="22"/>
        <v>-3.505535055350547E-2</v>
      </c>
      <c r="E710" s="52">
        <v>44960</v>
      </c>
      <c r="F710" s="54">
        <v>17854.05078125</v>
      </c>
      <c r="G710" s="53">
        <f t="shared" si="23"/>
        <v>1.3835596307890234E-2</v>
      </c>
    </row>
    <row r="711" spans="1:7" ht="13.5" customHeight="1" x14ac:dyDescent="0.3">
      <c r="A711" s="52">
        <v>44963</v>
      </c>
      <c r="B711" s="27">
        <v>77.55</v>
      </c>
      <c r="C711" s="53">
        <f t="shared" si="22"/>
        <v>-1.1472275334608102E-2</v>
      </c>
      <c r="E711" s="52">
        <v>44963</v>
      </c>
      <c r="F711" s="54">
        <v>17764.599609375</v>
      </c>
      <c r="G711" s="53">
        <f t="shared" si="23"/>
        <v>-5.0101331608701366E-3</v>
      </c>
    </row>
    <row r="712" spans="1:7" ht="13.5" customHeight="1" x14ac:dyDescent="0.3">
      <c r="A712" s="52">
        <v>44964</v>
      </c>
      <c r="B712" s="27">
        <v>76.7</v>
      </c>
      <c r="C712" s="53">
        <f t="shared" si="22"/>
        <v>-1.0960670535138547E-2</v>
      </c>
      <c r="E712" s="52">
        <v>44964</v>
      </c>
      <c r="F712" s="54">
        <v>17721.5</v>
      </c>
      <c r="G712" s="53">
        <f t="shared" si="23"/>
        <v>-2.4261514654264895E-3</v>
      </c>
    </row>
    <row r="713" spans="1:7" ht="13.5" customHeight="1" x14ac:dyDescent="0.3">
      <c r="A713" s="52">
        <v>44965</v>
      </c>
      <c r="B713" s="27">
        <v>78.349999999999994</v>
      </c>
      <c r="C713" s="53">
        <f t="shared" si="22"/>
        <v>2.1512385919165468E-2</v>
      </c>
      <c r="E713" s="52">
        <v>44965</v>
      </c>
      <c r="F713" s="54">
        <v>17871.69921875</v>
      </c>
      <c r="G713" s="53">
        <f t="shared" si="23"/>
        <v>8.4755364246818839E-3</v>
      </c>
    </row>
    <row r="714" spans="1:7" ht="13.5" customHeight="1" x14ac:dyDescent="0.3">
      <c r="A714" s="52">
        <v>44966</v>
      </c>
      <c r="B714" s="27">
        <v>78.2</v>
      </c>
      <c r="C714" s="53">
        <f t="shared" si="22"/>
        <v>-1.9144862795148882E-3</v>
      </c>
      <c r="E714" s="52">
        <v>44966</v>
      </c>
      <c r="F714" s="54">
        <v>17893.44921875</v>
      </c>
      <c r="G714" s="53">
        <f t="shared" si="23"/>
        <v>1.2170079483645908E-3</v>
      </c>
    </row>
    <row r="715" spans="1:7" ht="13.5" customHeight="1" x14ac:dyDescent="0.3">
      <c r="A715" s="52">
        <v>44967</v>
      </c>
      <c r="B715" s="27">
        <v>76.7</v>
      </c>
      <c r="C715" s="53">
        <f t="shared" si="22"/>
        <v>-1.9181585677749361E-2</v>
      </c>
      <c r="E715" s="52">
        <v>44967</v>
      </c>
      <c r="F715" s="54">
        <v>17856.5</v>
      </c>
      <c r="G715" s="53">
        <f t="shared" si="23"/>
        <v>-2.0649578680046795E-3</v>
      </c>
    </row>
    <row r="716" spans="1:7" ht="13.5" customHeight="1" x14ac:dyDescent="0.3">
      <c r="A716" s="52">
        <v>44970</v>
      </c>
      <c r="B716" s="27">
        <v>78.900000000000006</v>
      </c>
      <c r="C716" s="53">
        <f t="shared" si="22"/>
        <v>2.8683181225554143E-2</v>
      </c>
      <c r="E716" s="52">
        <v>44970</v>
      </c>
      <c r="F716" s="54">
        <v>17770.900390625</v>
      </c>
      <c r="G716" s="53">
        <f t="shared" si="23"/>
        <v>-4.7937507000252013E-3</v>
      </c>
    </row>
    <row r="717" spans="1:7" ht="13.5" customHeight="1" x14ac:dyDescent="0.3">
      <c r="A717" s="52">
        <v>44971</v>
      </c>
      <c r="B717" s="27">
        <v>78.650000000000006</v>
      </c>
      <c r="C717" s="53">
        <f t="shared" si="22"/>
        <v>-3.1685678073510772E-3</v>
      </c>
      <c r="E717" s="52">
        <v>44971</v>
      </c>
      <c r="F717" s="54">
        <v>17929.849609375</v>
      </c>
      <c r="G717" s="53">
        <f t="shared" si="23"/>
        <v>8.944353704995911E-3</v>
      </c>
    </row>
    <row r="718" spans="1:7" ht="13.5" customHeight="1" x14ac:dyDescent="0.3">
      <c r="A718" s="52">
        <v>44972</v>
      </c>
      <c r="B718" s="27">
        <v>79.099999999999994</v>
      </c>
      <c r="C718" s="53">
        <f t="shared" si="22"/>
        <v>5.7215511760964856E-3</v>
      </c>
      <c r="E718" s="52">
        <v>44972</v>
      </c>
      <c r="F718" s="54">
        <v>18015.849609375</v>
      </c>
      <c r="G718" s="53">
        <f t="shared" si="23"/>
        <v>4.796470794436172E-3</v>
      </c>
    </row>
    <row r="719" spans="1:7" ht="13.5" customHeight="1" x14ac:dyDescent="0.3">
      <c r="A719" s="52">
        <v>44973</v>
      </c>
      <c r="B719" s="27">
        <v>80.599999999999994</v>
      </c>
      <c r="C719" s="53">
        <f t="shared" si="22"/>
        <v>1.8963337547408345E-2</v>
      </c>
      <c r="E719" s="52">
        <v>44973</v>
      </c>
      <c r="F719" s="54">
        <v>18035.849609375</v>
      </c>
      <c r="G719" s="53">
        <f t="shared" si="23"/>
        <v>1.110133600892877E-3</v>
      </c>
    </row>
    <row r="720" spans="1:7" ht="13.5" customHeight="1" x14ac:dyDescent="0.3">
      <c r="A720" s="52">
        <v>44974</v>
      </c>
      <c r="B720" s="27">
        <v>80.45</v>
      </c>
      <c r="C720" s="53">
        <f t="shared" si="22"/>
        <v>-1.8610421836227232E-3</v>
      </c>
      <c r="E720" s="52">
        <v>44974</v>
      </c>
      <c r="F720" s="54">
        <v>17944.19921875</v>
      </c>
      <c r="G720" s="53">
        <f t="shared" si="23"/>
        <v>-5.0815676893513411E-3</v>
      </c>
    </row>
    <row r="721" spans="1:7" ht="13.5" customHeight="1" x14ac:dyDescent="0.3">
      <c r="A721" s="52">
        <v>44977</v>
      </c>
      <c r="B721" s="27">
        <v>81.349999999999994</v>
      </c>
      <c r="C721" s="53">
        <f t="shared" si="22"/>
        <v>1.1187072715972548E-2</v>
      </c>
      <c r="E721" s="52">
        <v>44977</v>
      </c>
      <c r="F721" s="54">
        <v>17844.599609375</v>
      </c>
      <c r="G721" s="53">
        <f t="shared" si="23"/>
        <v>-5.5505184801408012E-3</v>
      </c>
    </row>
    <row r="722" spans="1:7" ht="13.5" customHeight="1" x14ac:dyDescent="0.3">
      <c r="A722" s="52">
        <v>44978</v>
      </c>
      <c r="B722" s="27">
        <v>82.05</v>
      </c>
      <c r="C722" s="53">
        <f t="shared" si="22"/>
        <v>8.6047940995697958E-3</v>
      </c>
      <c r="E722" s="52">
        <v>44978</v>
      </c>
      <c r="F722" s="54">
        <v>17826.69921875</v>
      </c>
      <c r="G722" s="53">
        <f t="shared" si="23"/>
        <v>-1.0031264929920697E-3</v>
      </c>
    </row>
    <row r="723" spans="1:7" ht="13.5" customHeight="1" x14ac:dyDescent="0.3">
      <c r="A723" s="52">
        <v>44979</v>
      </c>
      <c r="B723" s="27">
        <v>81.2</v>
      </c>
      <c r="C723" s="53">
        <f t="shared" si="22"/>
        <v>-1.035953686776349E-2</v>
      </c>
      <c r="E723" s="52">
        <v>44979</v>
      </c>
      <c r="F723" s="54">
        <v>17554.30078125</v>
      </c>
      <c r="G723" s="53">
        <f t="shared" si="23"/>
        <v>-1.5280363131582609E-2</v>
      </c>
    </row>
    <row r="724" spans="1:7" ht="13.5" customHeight="1" x14ac:dyDescent="0.3">
      <c r="A724" s="52">
        <v>44980</v>
      </c>
      <c r="B724" s="27">
        <v>82.05</v>
      </c>
      <c r="C724" s="53">
        <f t="shared" si="22"/>
        <v>1.0467980295566432E-2</v>
      </c>
      <c r="E724" s="52">
        <v>44980</v>
      </c>
      <c r="F724" s="54">
        <v>17511.25</v>
      </c>
      <c r="G724" s="53">
        <f t="shared" si="23"/>
        <v>-2.4524349779846064E-3</v>
      </c>
    </row>
    <row r="725" spans="1:7" ht="13.5" customHeight="1" x14ac:dyDescent="0.3">
      <c r="A725" s="52">
        <v>44981</v>
      </c>
      <c r="B725" s="27">
        <v>78.3</v>
      </c>
      <c r="C725" s="53">
        <f t="shared" si="22"/>
        <v>-4.5703839122486288E-2</v>
      </c>
      <c r="E725" s="52">
        <v>44981</v>
      </c>
      <c r="F725" s="54">
        <v>17465.80078125</v>
      </c>
      <c r="G725" s="53">
        <f t="shared" si="23"/>
        <v>-2.5954297237490184E-3</v>
      </c>
    </row>
    <row r="726" spans="1:7" ht="13.5" customHeight="1" x14ac:dyDescent="0.3">
      <c r="A726" s="52">
        <v>44984</v>
      </c>
      <c r="B726" s="27">
        <v>77.849999999999994</v>
      </c>
      <c r="C726" s="53">
        <f t="shared" si="22"/>
        <v>-5.7471264367816455E-3</v>
      </c>
      <c r="E726" s="52">
        <v>44984</v>
      </c>
      <c r="F726" s="54">
        <v>17392.69921875</v>
      </c>
      <c r="G726" s="53">
        <f t="shared" si="23"/>
        <v>-4.1854114458053631E-3</v>
      </c>
    </row>
    <row r="727" spans="1:7" ht="13.5" customHeight="1" x14ac:dyDescent="0.3">
      <c r="A727" s="52">
        <v>44985</v>
      </c>
      <c r="B727" s="27">
        <v>78.25</v>
      </c>
      <c r="C727" s="53">
        <f t="shared" si="22"/>
        <v>5.1380860629416276E-3</v>
      </c>
      <c r="E727" s="52">
        <v>44985</v>
      </c>
      <c r="F727" s="54">
        <v>17303.94921875</v>
      </c>
      <c r="G727" s="53">
        <f t="shared" si="23"/>
        <v>-5.1027157362857215E-3</v>
      </c>
    </row>
    <row r="728" spans="1:7" ht="13.5" customHeight="1" x14ac:dyDescent="0.3">
      <c r="A728" s="52">
        <v>44986</v>
      </c>
      <c r="B728" s="27">
        <v>82.65</v>
      </c>
      <c r="C728" s="53">
        <f t="shared" si="22"/>
        <v>5.6230031948881862E-2</v>
      </c>
      <c r="E728" s="52">
        <v>44986</v>
      </c>
      <c r="F728" s="54">
        <v>17450.900390625</v>
      </c>
      <c r="G728" s="53">
        <f t="shared" si="23"/>
        <v>8.4923487706360379E-3</v>
      </c>
    </row>
    <row r="729" spans="1:7" ht="13.5" customHeight="1" x14ac:dyDescent="0.3">
      <c r="A729" s="52">
        <v>44987</v>
      </c>
      <c r="B729" s="27">
        <v>82.15</v>
      </c>
      <c r="C729" s="53">
        <f t="shared" si="22"/>
        <v>-6.0496067755595878E-3</v>
      </c>
      <c r="E729" s="52">
        <v>44987</v>
      </c>
      <c r="F729" s="54">
        <v>17321.900390625</v>
      </c>
      <c r="G729" s="53">
        <f t="shared" si="23"/>
        <v>-7.3921687198043708E-3</v>
      </c>
    </row>
    <row r="730" spans="1:7" ht="13.5" customHeight="1" x14ac:dyDescent="0.3">
      <c r="A730" s="52">
        <v>44988</v>
      </c>
      <c r="B730" s="27">
        <v>82.5</v>
      </c>
      <c r="C730" s="53">
        <f t="shared" si="22"/>
        <v>4.2604990870358404E-3</v>
      </c>
      <c r="E730" s="52">
        <v>44988</v>
      </c>
      <c r="F730" s="54">
        <v>17594.349609375</v>
      </c>
      <c r="G730" s="53">
        <f t="shared" si="23"/>
        <v>1.5728598629827915E-2</v>
      </c>
    </row>
    <row r="731" spans="1:7" ht="13.5" customHeight="1" x14ac:dyDescent="0.3">
      <c r="A731" s="52">
        <v>44991</v>
      </c>
      <c r="B731" s="27">
        <v>84.2</v>
      </c>
      <c r="C731" s="53">
        <f t="shared" si="22"/>
        <v>2.0606060606060642E-2</v>
      </c>
      <c r="E731" s="52">
        <v>44991</v>
      </c>
      <c r="F731" s="54">
        <v>17711.44921875</v>
      </c>
      <c r="G731" s="53">
        <f t="shared" si="23"/>
        <v>6.6555236183669141E-3</v>
      </c>
    </row>
    <row r="732" spans="1:7" ht="13.5" customHeight="1" x14ac:dyDescent="0.3">
      <c r="A732" s="52">
        <v>44993</v>
      </c>
      <c r="B732" s="27">
        <v>82.45</v>
      </c>
      <c r="C732" s="53">
        <f t="shared" si="22"/>
        <v>-2.0783847980997625E-2</v>
      </c>
      <c r="E732" s="52">
        <v>44993</v>
      </c>
      <c r="F732" s="54">
        <v>17754.400390625</v>
      </c>
      <c r="G732" s="53">
        <f t="shared" si="23"/>
        <v>2.4250512391459354E-3</v>
      </c>
    </row>
    <row r="733" spans="1:7" ht="13.5" customHeight="1" x14ac:dyDescent="0.3">
      <c r="A733" s="52">
        <v>44994</v>
      </c>
      <c r="B733" s="27">
        <v>82.5</v>
      </c>
      <c r="C733" s="53">
        <f t="shared" si="22"/>
        <v>6.0642813826558106E-4</v>
      </c>
      <c r="E733" s="52">
        <v>44994</v>
      </c>
      <c r="F733" s="54">
        <v>17589.599609375</v>
      </c>
      <c r="G733" s="53">
        <f t="shared" si="23"/>
        <v>-9.2822498999752812E-3</v>
      </c>
    </row>
    <row r="734" spans="1:7" ht="13.5" customHeight="1" x14ac:dyDescent="0.3">
      <c r="A734" s="52">
        <v>44995</v>
      </c>
      <c r="B734" s="27">
        <v>81.95</v>
      </c>
      <c r="C734" s="53">
        <f t="shared" si="22"/>
        <v>-6.6666666666666324E-3</v>
      </c>
      <c r="E734" s="52">
        <v>44995</v>
      </c>
      <c r="F734" s="54">
        <v>17412.900390625</v>
      </c>
      <c r="G734" s="53">
        <f t="shared" si="23"/>
        <v>-1.0045664635585105E-2</v>
      </c>
    </row>
    <row r="735" spans="1:7" ht="13.5" customHeight="1" x14ac:dyDescent="0.3">
      <c r="A735" s="52">
        <v>44998</v>
      </c>
      <c r="B735" s="27">
        <v>82.15</v>
      </c>
      <c r="C735" s="53">
        <f t="shared" si="22"/>
        <v>2.4405125076266362E-3</v>
      </c>
      <c r="E735" s="52">
        <v>44998</v>
      </c>
      <c r="F735" s="54">
        <v>17154.30078125</v>
      </c>
      <c r="G735" s="53">
        <f t="shared" si="23"/>
        <v>-1.4851035931626214E-2</v>
      </c>
    </row>
    <row r="736" spans="1:7" ht="13.5" customHeight="1" x14ac:dyDescent="0.3">
      <c r="A736" s="52">
        <v>44999</v>
      </c>
      <c r="B736" s="27">
        <v>82.25</v>
      </c>
      <c r="C736" s="53">
        <f t="shared" si="22"/>
        <v>1.217285453438762E-3</v>
      </c>
      <c r="E736" s="52">
        <v>44999</v>
      </c>
      <c r="F736" s="54">
        <v>17043.30078125</v>
      </c>
      <c r="G736" s="53">
        <f t="shared" si="23"/>
        <v>-6.470680525861203E-3</v>
      </c>
    </row>
    <row r="737" spans="1:7" ht="13.5" customHeight="1" x14ac:dyDescent="0.3">
      <c r="A737" s="52">
        <v>45000</v>
      </c>
      <c r="B737" s="27">
        <v>83.7</v>
      </c>
      <c r="C737" s="53">
        <f t="shared" si="22"/>
        <v>1.7629179331307025E-2</v>
      </c>
      <c r="E737" s="52">
        <v>45000</v>
      </c>
      <c r="F737" s="54">
        <v>16972.150390625</v>
      </c>
      <c r="G737" s="53">
        <f t="shared" si="23"/>
        <v>-4.1746837386848982E-3</v>
      </c>
    </row>
    <row r="738" spans="1:7" ht="13.5" customHeight="1" x14ac:dyDescent="0.3">
      <c r="A738" s="52">
        <v>45001</v>
      </c>
      <c r="B738" s="27">
        <v>82</v>
      </c>
      <c r="C738" s="53">
        <f t="shared" si="22"/>
        <v>-2.0310633213859054E-2</v>
      </c>
      <c r="E738" s="52">
        <v>45001</v>
      </c>
      <c r="F738" s="54">
        <v>16985.599609375</v>
      </c>
      <c r="G738" s="53">
        <f t="shared" si="23"/>
        <v>7.9242868113100259E-4</v>
      </c>
    </row>
    <row r="739" spans="1:7" ht="13.5" customHeight="1" x14ac:dyDescent="0.3">
      <c r="A739" s="52">
        <v>45002</v>
      </c>
      <c r="B739" s="27">
        <v>83.1</v>
      </c>
      <c r="C739" s="53">
        <f t="shared" si="22"/>
        <v>1.3414634146341394E-2</v>
      </c>
      <c r="E739" s="52">
        <v>45002</v>
      </c>
      <c r="F739" s="54">
        <v>17100.05078125</v>
      </c>
      <c r="G739" s="53">
        <f t="shared" si="23"/>
        <v>6.7381296219787279E-3</v>
      </c>
    </row>
    <row r="740" spans="1:7" ht="13.5" customHeight="1" x14ac:dyDescent="0.3">
      <c r="A740" s="52">
        <v>45005</v>
      </c>
      <c r="B740" s="27">
        <v>79.650000000000006</v>
      </c>
      <c r="C740" s="53">
        <f t="shared" si="22"/>
        <v>-4.1516245487364489E-2</v>
      </c>
      <c r="E740" s="52">
        <v>45005</v>
      </c>
      <c r="F740" s="54">
        <v>16988.400390625</v>
      </c>
      <c r="G740" s="53">
        <f t="shared" si="23"/>
        <v>-6.5292432199922654E-3</v>
      </c>
    </row>
    <row r="741" spans="1:7" ht="13.5" customHeight="1" x14ac:dyDescent="0.3">
      <c r="A741" s="52">
        <v>45006</v>
      </c>
      <c r="B741" s="27">
        <v>78.900000000000006</v>
      </c>
      <c r="C741" s="53">
        <f t="shared" si="22"/>
        <v>-9.4161958568738224E-3</v>
      </c>
      <c r="E741" s="52">
        <v>45006</v>
      </c>
      <c r="F741" s="54">
        <v>17107.5</v>
      </c>
      <c r="G741" s="53">
        <f t="shared" si="23"/>
        <v>7.0106429467441077E-3</v>
      </c>
    </row>
    <row r="742" spans="1:7" ht="13.5" customHeight="1" x14ac:dyDescent="0.3">
      <c r="A742" s="52">
        <v>45007</v>
      </c>
      <c r="B742" s="27">
        <v>77.900000000000006</v>
      </c>
      <c r="C742" s="53">
        <f t="shared" si="22"/>
        <v>-1.2674271229404309E-2</v>
      </c>
      <c r="E742" s="52">
        <v>45007</v>
      </c>
      <c r="F742" s="54">
        <v>17151.900390625</v>
      </c>
      <c r="G742" s="53">
        <f t="shared" si="23"/>
        <v>2.5953757489405233E-3</v>
      </c>
    </row>
    <row r="743" spans="1:7" ht="13.5" customHeight="1" x14ac:dyDescent="0.3">
      <c r="A743" s="52">
        <v>45008</v>
      </c>
      <c r="B743" s="27">
        <v>77.349999999999994</v>
      </c>
      <c r="C743" s="53">
        <f t="shared" si="22"/>
        <v>-7.0603337612324948E-3</v>
      </c>
      <c r="E743" s="52">
        <v>45008</v>
      </c>
      <c r="F743" s="54">
        <v>17076.900390625</v>
      </c>
      <c r="G743" s="53">
        <f t="shared" si="23"/>
        <v>-4.3726933046436068E-3</v>
      </c>
    </row>
    <row r="744" spans="1:7" ht="13.5" customHeight="1" x14ac:dyDescent="0.3">
      <c r="A744" s="52">
        <v>45009</v>
      </c>
      <c r="B744" s="27">
        <v>77.150000000000006</v>
      </c>
      <c r="C744" s="53">
        <f t="shared" si="22"/>
        <v>-2.5856496444730272E-3</v>
      </c>
      <c r="E744" s="52">
        <v>45009</v>
      </c>
      <c r="F744" s="54">
        <v>16945.05078125</v>
      </c>
      <c r="G744" s="53">
        <f t="shared" si="23"/>
        <v>-7.7209333285906939E-3</v>
      </c>
    </row>
    <row r="745" spans="1:7" ht="13.5" customHeight="1" x14ac:dyDescent="0.3">
      <c r="A745" s="52">
        <v>45012</v>
      </c>
      <c r="B745" s="27">
        <v>76.7</v>
      </c>
      <c r="C745" s="53">
        <f t="shared" si="22"/>
        <v>-5.8327932598833806E-3</v>
      </c>
      <c r="E745" s="52">
        <v>45012</v>
      </c>
      <c r="F745" s="54">
        <v>16985.69921875</v>
      </c>
      <c r="G745" s="53">
        <f t="shared" si="23"/>
        <v>2.3988383407489234E-3</v>
      </c>
    </row>
    <row r="746" spans="1:7" ht="13.5" customHeight="1" x14ac:dyDescent="0.3">
      <c r="A746" s="52">
        <v>45013</v>
      </c>
      <c r="B746" s="27">
        <v>76.25</v>
      </c>
      <c r="C746" s="53">
        <f t="shared" si="22"/>
        <v>-5.8670143415906493E-3</v>
      </c>
      <c r="E746" s="52">
        <v>45013</v>
      </c>
      <c r="F746" s="54">
        <v>16951.69921875</v>
      </c>
      <c r="G746" s="53">
        <f t="shared" si="23"/>
        <v>-2.0016838613548761E-3</v>
      </c>
    </row>
    <row r="747" spans="1:7" ht="13.5" customHeight="1" x14ac:dyDescent="0.3">
      <c r="A747" s="52">
        <v>45014</v>
      </c>
      <c r="B747" s="27">
        <v>77.150000000000006</v>
      </c>
      <c r="C747" s="53">
        <f t="shared" si="22"/>
        <v>1.1803278688524665E-2</v>
      </c>
      <c r="E747" s="52">
        <v>45014</v>
      </c>
      <c r="F747" s="54">
        <v>17080.69921875</v>
      </c>
      <c r="G747" s="53">
        <f t="shared" si="23"/>
        <v>7.6098565893214518E-3</v>
      </c>
    </row>
    <row r="748" spans="1:7" ht="13.5" customHeight="1" x14ac:dyDescent="0.3">
      <c r="A748" s="52">
        <v>45016</v>
      </c>
      <c r="B748" s="27">
        <v>78.400000000000006</v>
      </c>
      <c r="C748" s="53">
        <f t="shared" si="22"/>
        <v>1.6202203499675955E-2</v>
      </c>
      <c r="E748" s="52">
        <v>45016</v>
      </c>
      <c r="F748" s="54">
        <v>17359.75</v>
      </c>
      <c r="G748" s="53">
        <f t="shared" si="23"/>
        <v>1.6337198944623856E-2</v>
      </c>
    </row>
    <row r="749" spans="1:7" ht="13.5" customHeight="1" x14ac:dyDescent="0.3">
      <c r="A749" s="52">
        <v>45019</v>
      </c>
      <c r="B749" s="27">
        <v>79.5</v>
      </c>
      <c r="C749" s="53">
        <f t="shared" si="22"/>
        <v>1.4030612244897886E-2</v>
      </c>
      <c r="E749" s="52">
        <v>45019</v>
      </c>
      <c r="F749" s="54">
        <v>17398.05078125</v>
      </c>
      <c r="G749" s="53">
        <f t="shared" si="23"/>
        <v>2.2062979737611428E-3</v>
      </c>
    </row>
    <row r="750" spans="1:7" ht="13.5" customHeight="1" x14ac:dyDescent="0.3">
      <c r="A750" s="52">
        <v>45021</v>
      </c>
      <c r="B750" s="27">
        <v>78.8</v>
      </c>
      <c r="C750" s="53">
        <f t="shared" si="22"/>
        <v>-8.8050314465409167E-3</v>
      </c>
      <c r="E750" s="52">
        <v>45021</v>
      </c>
      <c r="F750" s="54">
        <v>17557.05078125</v>
      </c>
      <c r="G750" s="53">
        <f t="shared" si="23"/>
        <v>9.1389548173612303E-3</v>
      </c>
    </row>
    <row r="751" spans="1:7" ht="13.5" customHeight="1" x14ac:dyDescent="0.3">
      <c r="A751" s="52">
        <v>45022</v>
      </c>
      <c r="B751" s="27">
        <v>79.25</v>
      </c>
      <c r="C751" s="53">
        <f t="shared" si="22"/>
        <v>5.7106598984771936E-3</v>
      </c>
      <c r="E751" s="52">
        <v>45022</v>
      </c>
      <c r="F751" s="54">
        <v>17599.150390625</v>
      </c>
      <c r="G751" s="53">
        <f t="shared" si="23"/>
        <v>2.3978747854372074E-3</v>
      </c>
    </row>
    <row r="752" spans="1:7" ht="13.5" customHeight="1" x14ac:dyDescent="0.3">
      <c r="A752" s="52">
        <v>45026</v>
      </c>
      <c r="B752" s="27">
        <v>80.099999999999994</v>
      </c>
      <c r="C752" s="53">
        <f t="shared" si="22"/>
        <v>1.0725552050473115E-2</v>
      </c>
      <c r="E752" s="52">
        <v>45026</v>
      </c>
      <c r="F752" s="54">
        <v>17624.05078125</v>
      </c>
      <c r="G752" s="53">
        <f t="shared" si="23"/>
        <v>1.4148632219350965E-3</v>
      </c>
    </row>
    <row r="753" spans="1:7" ht="13.5" customHeight="1" x14ac:dyDescent="0.3">
      <c r="A753" s="52">
        <v>45027</v>
      </c>
      <c r="B753" s="27">
        <v>80.849999999999994</v>
      </c>
      <c r="C753" s="53">
        <f t="shared" si="22"/>
        <v>9.3632958801498131E-3</v>
      </c>
      <c r="E753" s="52">
        <v>45027</v>
      </c>
      <c r="F753" s="54">
        <v>17722.30078125</v>
      </c>
      <c r="G753" s="53">
        <f t="shared" si="23"/>
        <v>5.574768321964148E-3</v>
      </c>
    </row>
    <row r="754" spans="1:7" ht="13.5" customHeight="1" x14ac:dyDescent="0.3">
      <c r="A754" s="52">
        <v>45028</v>
      </c>
      <c r="B754" s="27">
        <v>80.650000000000006</v>
      </c>
      <c r="C754" s="53">
        <f t="shared" si="22"/>
        <v>-2.4737167594309048E-3</v>
      </c>
      <c r="E754" s="52">
        <v>45028</v>
      </c>
      <c r="F754" s="54">
        <v>17812.400390625</v>
      </c>
      <c r="G754" s="53">
        <f t="shared" si="23"/>
        <v>5.0839679614468796E-3</v>
      </c>
    </row>
    <row r="755" spans="1:7" ht="13.5" customHeight="1" x14ac:dyDescent="0.3">
      <c r="A755" s="52">
        <v>45029</v>
      </c>
      <c r="B755" s="27">
        <v>79.599999999999994</v>
      </c>
      <c r="C755" s="53">
        <f t="shared" si="22"/>
        <v>-1.3019218846869327E-2</v>
      </c>
      <c r="E755" s="52">
        <v>45029</v>
      </c>
      <c r="F755" s="54">
        <v>17828</v>
      </c>
      <c r="G755" s="53">
        <f t="shared" si="23"/>
        <v>8.7577244127132723E-4</v>
      </c>
    </row>
    <row r="756" spans="1:7" ht="13.5" customHeight="1" x14ac:dyDescent="0.3">
      <c r="A756" s="52">
        <v>45033</v>
      </c>
      <c r="B756" s="27">
        <v>81.400000000000006</v>
      </c>
      <c r="C756" s="53">
        <f t="shared" si="22"/>
        <v>2.2613065326633309E-2</v>
      </c>
      <c r="E756" s="52">
        <v>45033</v>
      </c>
      <c r="F756" s="54">
        <v>17706.849609375</v>
      </c>
      <c r="G756" s="53">
        <f t="shared" si="23"/>
        <v>-6.7955121508301549E-3</v>
      </c>
    </row>
    <row r="757" spans="1:7" ht="13.5" customHeight="1" x14ac:dyDescent="0.3">
      <c r="A757" s="52">
        <v>45034</v>
      </c>
      <c r="B757" s="27">
        <v>82.7</v>
      </c>
      <c r="C757" s="53">
        <f t="shared" si="22"/>
        <v>1.5970515970515936E-2</v>
      </c>
      <c r="E757" s="52">
        <v>45034</v>
      </c>
      <c r="F757" s="54">
        <v>17660.150390625</v>
      </c>
      <c r="G757" s="53">
        <f t="shared" si="23"/>
        <v>-2.6373533282439362E-3</v>
      </c>
    </row>
    <row r="758" spans="1:7" ht="13.5" customHeight="1" x14ac:dyDescent="0.3">
      <c r="A758" s="52">
        <v>45035</v>
      </c>
      <c r="B758" s="27">
        <v>83.9</v>
      </c>
      <c r="C758" s="53">
        <f t="shared" si="22"/>
        <v>1.4510278113663878E-2</v>
      </c>
      <c r="E758" s="52">
        <v>45035</v>
      </c>
      <c r="F758" s="54">
        <v>17618.75</v>
      </c>
      <c r="G758" s="53">
        <f t="shared" si="23"/>
        <v>-2.3442830162407708E-3</v>
      </c>
    </row>
    <row r="759" spans="1:7" ht="13.5" customHeight="1" x14ac:dyDescent="0.3">
      <c r="A759" s="52">
        <v>45036</v>
      </c>
      <c r="B759" s="27">
        <v>83.05</v>
      </c>
      <c r="C759" s="53">
        <f t="shared" si="22"/>
        <v>-1.0131108462455405E-2</v>
      </c>
      <c r="E759" s="52">
        <v>45036</v>
      </c>
      <c r="F759" s="54">
        <v>17624.44921875</v>
      </c>
      <c r="G759" s="53">
        <f t="shared" si="23"/>
        <v>3.2347463639588507E-4</v>
      </c>
    </row>
    <row r="760" spans="1:7" ht="13.5" customHeight="1" x14ac:dyDescent="0.3">
      <c r="A760" s="52">
        <v>45037</v>
      </c>
      <c r="B760" s="27">
        <v>82.15</v>
      </c>
      <c r="C760" s="53">
        <f t="shared" si="22"/>
        <v>-1.0836845273931264E-2</v>
      </c>
      <c r="E760" s="52">
        <v>45037</v>
      </c>
      <c r="F760" s="54">
        <v>17624.05078125</v>
      </c>
      <c r="G760" s="53">
        <f t="shared" si="23"/>
        <v>-2.2607089450268724E-5</v>
      </c>
    </row>
    <row r="761" spans="1:7" ht="13.5" customHeight="1" x14ac:dyDescent="0.3">
      <c r="A761" s="52">
        <v>45040</v>
      </c>
      <c r="B761" s="27">
        <v>82.55</v>
      </c>
      <c r="C761" s="53">
        <f t="shared" si="22"/>
        <v>4.8691418137552216E-3</v>
      </c>
      <c r="E761" s="52">
        <v>45040</v>
      </c>
      <c r="F761" s="54">
        <v>17743.400390625</v>
      </c>
      <c r="G761" s="53">
        <f t="shared" si="23"/>
        <v>6.7719737565653465E-3</v>
      </c>
    </row>
    <row r="762" spans="1:7" ht="13.5" customHeight="1" x14ac:dyDescent="0.3">
      <c r="A762" s="52">
        <v>45041</v>
      </c>
      <c r="B762" s="27">
        <v>81.849999999999994</v>
      </c>
      <c r="C762" s="53">
        <f t="shared" si="22"/>
        <v>-8.479709267110877E-3</v>
      </c>
      <c r="E762" s="52">
        <v>45041</v>
      </c>
      <c r="F762" s="54">
        <v>17769.25</v>
      </c>
      <c r="G762" s="53">
        <f t="shared" si="23"/>
        <v>1.4568576938982925E-3</v>
      </c>
    </row>
    <row r="763" spans="1:7" ht="13.5" customHeight="1" x14ac:dyDescent="0.3">
      <c r="A763" s="52">
        <v>45042</v>
      </c>
      <c r="B763" s="27">
        <v>82.4</v>
      </c>
      <c r="C763" s="53">
        <f t="shared" si="22"/>
        <v>6.7196090409286672E-3</v>
      </c>
      <c r="E763" s="52">
        <v>45042</v>
      </c>
      <c r="F763" s="54">
        <v>17813.599609375</v>
      </c>
      <c r="G763" s="53">
        <f t="shared" si="23"/>
        <v>2.495862761512163E-3</v>
      </c>
    </row>
    <row r="764" spans="1:7" ht="13.5" customHeight="1" x14ac:dyDescent="0.3">
      <c r="A764" s="52">
        <v>45043</v>
      </c>
      <c r="B764" s="27">
        <v>82.15</v>
      </c>
      <c r="C764" s="53">
        <f t="shared" si="22"/>
        <v>-3.0339805825242718E-3</v>
      </c>
      <c r="E764" s="52">
        <v>45043</v>
      </c>
      <c r="F764" s="54">
        <v>17915.05078125</v>
      </c>
      <c r="G764" s="53">
        <f t="shared" si="23"/>
        <v>5.6951528101938445E-3</v>
      </c>
    </row>
    <row r="765" spans="1:7" ht="13.5" customHeight="1" x14ac:dyDescent="0.3">
      <c r="A765" s="52">
        <v>45044</v>
      </c>
      <c r="B765" s="27">
        <v>82.9</v>
      </c>
      <c r="C765" s="53">
        <f t="shared" si="22"/>
        <v>9.1296409007912346E-3</v>
      </c>
      <c r="E765" s="52">
        <v>45044</v>
      </c>
      <c r="F765" s="54">
        <v>18065</v>
      </c>
      <c r="G765" s="53">
        <f t="shared" si="23"/>
        <v>8.3700136036978338E-3</v>
      </c>
    </row>
    <row r="766" spans="1:7" ht="13.5" customHeight="1" x14ac:dyDescent="0.3">
      <c r="A766" s="52">
        <v>45048</v>
      </c>
      <c r="B766" s="27">
        <v>83.1</v>
      </c>
      <c r="C766" s="53">
        <f t="shared" si="22"/>
        <v>2.4125452352230232E-3</v>
      </c>
      <c r="E766" s="52">
        <v>45048</v>
      </c>
      <c r="F766" s="54">
        <v>18147.650390625</v>
      </c>
      <c r="G766" s="53">
        <f t="shared" si="23"/>
        <v>4.5751669319125379E-3</v>
      </c>
    </row>
    <row r="767" spans="1:7" ht="13.5" customHeight="1" x14ac:dyDescent="0.3">
      <c r="A767" s="52">
        <v>45049</v>
      </c>
      <c r="B767" s="27">
        <v>82.15</v>
      </c>
      <c r="C767" s="53">
        <f t="shared" si="22"/>
        <v>-1.143200962695534E-2</v>
      </c>
      <c r="E767" s="52">
        <v>45049</v>
      </c>
      <c r="F767" s="54">
        <v>18089.849609375</v>
      </c>
      <c r="G767" s="53">
        <f t="shared" si="23"/>
        <v>-3.18502836487635E-3</v>
      </c>
    </row>
    <row r="768" spans="1:7" ht="13.5" customHeight="1" x14ac:dyDescent="0.3">
      <c r="A768" s="52">
        <v>45050</v>
      </c>
      <c r="B768" s="27">
        <v>82.9</v>
      </c>
      <c r="C768" s="53">
        <f t="shared" si="22"/>
        <v>9.1296409007912346E-3</v>
      </c>
      <c r="E768" s="52">
        <v>45050</v>
      </c>
      <c r="F768" s="54">
        <v>18255.80078125</v>
      </c>
      <c r="G768" s="53">
        <f t="shared" si="23"/>
        <v>9.173717607303733E-3</v>
      </c>
    </row>
    <row r="769" spans="1:7" ht="13.5" customHeight="1" x14ac:dyDescent="0.3">
      <c r="A769" s="52">
        <v>45051</v>
      </c>
      <c r="B769" s="27">
        <v>79.95</v>
      </c>
      <c r="C769" s="53">
        <f t="shared" si="22"/>
        <v>-3.5585042219541646E-2</v>
      </c>
      <c r="E769" s="52">
        <v>45051</v>
      </c>
      <c r="F769" s="54">
        <v>18069</v>
      </c>
      <c r="G769" s="53">
        <f t="shared" si="23"/>
        <v>-1.0232406865540384E-2</v>
      </c>
    </row>
    <row r="770" spans="1:7" ht="13.5" customHeight="1" x14ac:dyDescent="0.3">
      <c r="A770" s="52">
        <v>45054</v>
      </c>
      <c r="B770" s="27">
        <v>82.05</v>
      </c>
      <c r="C770" s="53">
        <f t="shared" si="22"/>
        <v>2.6266416510318878E-2</v>
      </c>
      <c r="E770" s="52">
        <v>45054</v>
      </c>
      <c r="F770" s="54">
        <v>18264.400390625</v>
      </c>
      <c r="G770" s="53">
        <f t="shared" si="23"/>
        <v>1.0814123118324201E-2</v>
      </c>
    </row>
    <row r="771" spans="1:7" ht="13.5" customHeight="1" x14ac:dyDescent="0.3">
      <c r="A771" s="52">
        <v>45055</v>
      </c>
      <c r="B771" s="27">
        <v>82.65</v>
      </c>
      <c r="C771" s="53">
        <f t="shared" si="22"/>
        <v>7.3126142595979103E-3</v>
      </c>
      <c r="E771" s="52">
        <v>45055</v>
      </c>
      <c r="F771" s="54">
        <v>18265.94921875</v>
      </c>
      <c r="G771" s="53">
        <f t="shared" si="23"/>
        <v>8.4800381719347525E-5</v>
      </c>
    </row>
    <row r="772" spans="1:7" ht="13.5" customHeight="1" x14ac:dyDescent="0.3">
      <c r="A772" s="52">
        <v>45056</v>
      </c>
      <c r="B772" s="27">
        <v>82.9</v>
      </c>
      <c r="C772" s="53">
        <f t="shared" si="22"/>
        <v>3.0248033877797939E-3</v>
      </c>
      <c r="E772" s="52">
        <v>45056</v>
      </c>
      <c r="F772" s="54">
        <v>18315.099609375</v>
      </c>
      <c r="G772" s="53">
        <f t="shared" si="23"/>
        <v>2.6908205008337105E-3</v>
      </c>
    </row>
    <row r="773" spans="1:7" ht="13.5" customHeight="1" x14ac:dyDescent="0.3">
      <c r="A773" s="52">
        <v>45057</v>
      </c>
      <c r="B773" s="27">
        <v>82.95</v>
      </c>
      <c r="C773" s="53">
        <f t="shared" ref="C773:C836" si="24">(B773-B772)/B772</f>
        <v>6.0313630880575581E-4</v>
      </c>
      <c r="E773" s="52">
        <v>45057</v>
      </c>
      <c r="F773" s="54">
        <v>18297</v>
      </c>
      <c r="G773" s="53">
        <f t="shared" ref="G773:G836" si="25">(F773-F772)/F772</f>
        <v>-9.8823428542727139E-4</v>
      </c>
    </row>
    <row r="774" spans="1:7" ht="13.5" customHeight="1" x14ac:dyDescent="0.3">
      <c r="A774" s="52">
        <v>45058</v>
      </c>
      <c r="B774" s="27">
        <v>81.849999999999994</v>
      </c>
      <c r="C774" s="53">
        <f t="shared" si="24"/>
        <v>-1.3261000602772856E-2</v>
      </c>
      <c r="E774" s="52">
        <v>45058</v>
      </c>
      <c r="F774" s="54">
        <v>18314.80078125</v>
      </c>
      <c r="G774" s="53">
        <f t="shared" si="25"/>
        <v>9.7287977537301195E-4</v>
      </c>
    </row>
    <row r="775" spans="1:7" ht="13.5" customHeight="1" x14ac:dyDescent="0.3">
      <c r="A775" s="52">
        <v>45061</v>
      </c>
      <c r="B775" s="27">
        <v>81.95</v>
      </c>
      <c r="C775" s="53">
        <f t="shared" si="24"/>
        <v>1.2217470983507458E-3</v>
      </c>
      <c r="E775" s="52">
        <v>45061</v>
      </c>
      <c r="F775" s="54">
        <v>18398.849609375</v>
      </c>
      <c r="G775" s="53">
        <f t="shared" si="25"/>
        <v>4.589120522186952E-3</v>
      </c>
    </row>
    <row r="776" spans="1:7" ht="13.5" customHeight="1" x14ac:dyDescent="0.3">
      <c r="A776" s="52">
        <v>45062</v>
      </c>
      <c r="B776" s="27">
        <v>81.25</v>
      </c>
      <c r="C776" s="53">
        <f t="shared" si="24"/>
        <v>-8.5417937766931393E-3</v>
      </c>
      <c r="E776" s="52">
        <v>45062</v>
      </c>
      <c r="F776" s="54">
        <v>18286.5</v>
      </c>
      <c r="G776" s="53">
        <f t="shared" si="25"/>
        <v>-6.1063388070606911E-3</v>
      </c>
    </row>
    <row r="777" spans="1:7" ht="13.5" customHeight="1" x14ac:dyDescent="0.3">
      <c r="A777" s="52">
        <v>45063</v>
      </c>
      <c r="B777" s="27">
        <v>81.349999999999994</v>
      </c>
      <c r="C777" s="53">
        <f t="shared" si="24"/>
        <v>1.2307692307691608E-3</v>
      </c>
      <c r="E777" s="52">
        <v>45063</v>
      </c>
      <c r="F777" s="54">
        <v>18181.75</v>
      </c>
      <c r="G777" s="53">
        <f t="shared" si="25"/>
        <v>-5.7282694884204198E-3</v>
      </c>
    </row>
    <row r="778" spans="1:7" ht="13.5" customHeight="1" x14ac:dyDescent="0.3">
      <c r="A778" s="52">
        <v>45064</v>
      </c>
      <c r="B778" s="27">
        <v>80.849999999999994</v>
      </c>
      <c r="C778" s="53">
        <f t="shared" si="24"/>
        <v>-6.1462814996926865E-3</v>
      </c>
      <c r="E778" s="52">
        <v>45064</v>
      </c>
      <c r="F778" s="54">
        <v>18129.94921875</v>
      </c>
      <c r="G778" s="53">
        <f t="shared" si="25"/>
        <v>-2.8490536527011976E-3</v>
      </c>
    </row>
    <row r="779" spans="1:7" ht="13.5" customHeight="1" x14ac:dyDescent="0.3">
      <c r="A779" s="52">
        <v>45065</v>
      </c>
      <c r="B779" s="27">
        <v>80.95</v>
      </c>
      <c r="C779" s="53">
        <f t="shared" si="24"/>
        <v>1.236858379715628E-3</v>
      </c>
      <c r="E779" s="52">
        <v>45065</v>
      </c>
      <c r="F779" s="54">
        <v>18203.400390625</v>
      </c>
      <c r="G779" s="53">
        <f t="shared" si="25"/>
        <v>4.051372179191587E-3</v>
      </c>
    </row>
    <row r="780" spans="1:7" ht="13.5" customHeight="1" x14ac:dyDescent="0.3">
      <c r="A780" s="52">
        <v>45068</v>
      </c>
      <c r="B780" s="27">
        <v>81.650000000000006</v>
      </c>
      <c r="C780" s="53">
        <f t="shared" si="24"/>
        <v>8.6473131562693362E-3</v>
      </c>
      <c r="E780" s="52">
        <v>45068</v>
      </c>
      <c r="F780" s="54">
        <v>18314.400390625</v>
      </c>
      <c r="G780" s="53">
        <f t="shared" si="25"/>
        <v>6.0977618257062847E-3</v>
      </c>
    </row>
    <row r="781" spans="1:7" ht="13.5" customHeight="1" x14ac:dyDescent="0.3">
      <c r="A781" s="52">
        <v>45069</v>
      </c>
      <c r="B781" s="27">
        <v>81.5</v>
      </c>
      <c r="C781" s="53">
        <f t="shared" si="24"/>
        <v>-1.8371096142070504E-3</v>
      </c>
      <c r="E781" s="52">
        <v>45069</v>
      </c>
      <c r="F781" s="54">
        <v>18348</v>
      </c>
      <c r="G781" s="53">
        <f t="shared" si="25"/>
        <v>1.8346005688616145E-3</v>
      </c>
    </row>
    <row r="782" spans="1:7" ht="13.5" customHeight="1" x14ac:dyDescent="0.3">
      <c r="A782" s="52">
        <v>45070</v>
      </c>
      <c r="B782" s="27">
        <v>80.650000000000006</v>
      </c>
      <c r="C782" s="53">
        <f t="shared" si="24"/>
        <v>-1.0429447852760667E-2</v>
      </c>
      <c r="E782" s="52">
        <v>45070</v>
      </c>
      <c r="F782" s="54">
        <v>18285.400390625</v>
      </c>
      <c r="G782" s="53">
        <f t="shared" si="25"/>
        <v>-3.4117947119577064E-3</v>
      </c>
    </row>
    <row r="783" spans="1:7" ht="13.5" customHeight="1" x14ac:dyDescent="0.3">
      <c r="A783" s="52">
        <v>45071</v>
      </c>
      <c r="B783" s="27">
        <v>80.55</v>
      </c>
      <c r="C783" s="53">
        <f t="shared" si="24"/>
        <v>-1.2399256044638377E-3</v>
      </c>
      <c r="E783" s="52">
        <v>45071</v>
      </c>
      <c r="F783" s="54">
        <v>18321.150390625</v>
      </c>
      <c r="G783" s="53">
        <f t="shared" si="25"/>
        <v>1.955111686716424E-3</v>
      </c>
    </row>
    <row r="784" spans="1:7" ht="13.5" customHeight="1" x14ac:dyDescent="0.3">
      <c r="A784" s="52">
        <v>45072</v>
      </c>
      <c r="B784" s="27">
        <v>84.6</v>
      </c>
      <c r="C784" s="53">
        <f t="shared" si="24"/>
        <v>5.0279329608938515E-2</v>
      </c>
      <c r="E784" s="52">
        <v>45072</v>
      </c>
      <c r="F784" s="54">
        <v>18499.349609375</v>
      </c>
      <c r="G784" s="53">
        <f t="shared" si="25"/>
        <v>9.7264208278747162E-3</v>
      </c>
    </row>
    <row r="785" spans="1:7" ht="13.5" customHeight="1" x14ac:dyDescent="0.3">
      <c r="A785" s="52">
        <v>45075</v>
      </c>
      <c r="B785" s="27">
        <v>86.05</v>
      </c>
      <c r="C785" s="53">
        <f t="shared" si="24"/>
        <v>1.7139479905437387E-2</v>
      </c>
      <c r="E785" s="52">
        <v>45075</v>
      </c>
      <c r="F785" s="54">
        <v>18598.650390625</v>
      </c>
      <c r="G785" s="53">
        <f t="shared" si="25"/>
        <v>5.3677985089636282E-3</v>
      </c>
    </row>
    <row r="786" spans="1:7" ht="13.5" customHeight="1" x14ac:dyDescent="0.3">
      <c r="A786" s="52">
        <v>45076</v>
      </c>
      <c r="B786" s="27">
        <v>84.2</v>
      </c>
      <c r="C786" s="53">
        <f t="shared" si="24"/>
        <v>-2.1499128413712893E-2</v>
      </c>
      <c r="E786" s="52">
        <v>45076</v>
      </c>
      <c r="F786" s="54">
        <v>18633.849609375</v>
      </c>
      <c r="G786" s="53">
        <f t="shared" si="25"/>
        <v>1.892568439683281E-3</v>
      </c>
    </row>
    <row r="787" spans="1:7" ht="13.5" customHeight="1" x14ac:dyDescent="0.3">
      <c r="A787" s="52">
        <v>45077</v>
      </c>
      <c r="B787" s="27">
        <v>83.8</v>
      </c>
      <c r="C787" s="53">
        <f t="shared" si="24"/>
        <v>-4.7505938242280955E-3</v>
      </c>
      <c r="E787" s="52">
        <v>45077</v>
      </c>
      <c r="F787" s="54">
        <v>18534.400390625</v>
      </c>
      <c r="G787" s="53">
        <f t="shared" si="25"/>
        <v>-5.33701950132545E-3</v>
      </c>
    </row>
    <row r="788" spans="1:7" ht="13.5" customHeight="1" x14ac:dyDescent="0.3">
      <c r="A788" s="52">
        <v>45078</v>
      </c>
      <c r="B788" s="27">
        <v>82.75</v>
      </c>
      <c r="C788" s="53">
        <f t="shared" si="24"/>
        <v>-1.2529832935560826E-2</v>
      </c>
      <c r="E788" s="52">
        <v>45078</v>
      </c>
      <c r="F788" s="54">
        <v>18487.75</v>
      </c>
      <c r="G788" s="53">
        <f t="shared" si="25"/>
        <v>-2.5169624936232909E-3</v>
      </c>
    </row>
    <row r="789" spans="1:7" ht="13.5" customHeight="1" x14ac:dyDescent="0.3">
      <c r="A789" s="52">
        <v>45079</v>
      </c>
      <c r="B789" s="27">
        <v>83.9</v>
      </c>
      <c r="C789" s="53">
        <f t="shared" si="24"/>
        <v>1.389728096676744E-2</v>
      </c>
      <c r="E789" s="52">
        <v>45079</v>
      </c>
      <c r="F789" s="54">
        <v>18534.099609375</v>
      </c>
      <c r="G789" s="53">
        <f t="shared" si="25"/>
        <v>2.5070443604548959E-3</v>
      </c>
    </row>
    <row r="790" spans="1:7" ht="13.5" customHeight="1" x14ac:dyDescent="0.3">
      <c r="A790" s="52">
        <v>45082</v>
      </c>
      <c r="B790" s="27">
        <v>83.85</v>
      </c>
      <c r="C790" s="53">
        <f t="shared" si="24"/>
        <v>-5.9594755661515337E-4</v>
      </c>
      <c r="E790" s="52">
        <v>45082</v>
      </c>
      <c r="F790" s="54">
        <v>18593.849609375</v>
      </c>
      <c r="G790" s="53">
        <f t="shared" si="25"/>
        <v>3.2237875731377309E-3</v>
      </c>
    </row>
    <row r="791" spans="1:7" ht="13.5" customHeight="1" x14ac:dyDescent="0.3">
      <c r="A791" s="52">
        <v>45083</v>
      </c>
      <c r="B791" s="27">
        <v>83.5</v>
      </c>
      <c r="C791" s="53">
        <f t="shared" si="24"/>
        <v>-4.1741204531901529E-3</v>
      </c>
      <c r="E791" s="52">
        <v>45083</v>
      </c>
      <c r="F791" s="54">
        <v>18599</v>
      </c>
      <c r="G791" s="53">
        <f t="shared" si="25"/>
        <v>2.7699431442121478E-4</v>
      </c>
    </row>
    <row r="792" spans="1:7" ht="13.5" customHeight="1" x14ac:dyDescent="0.3">
      <c r="A792" s="52">
        <v>45084</v>
      </c>
      <c r="B792" s="27">
        <v>84.35</v>
      </c>
      <c r="C792" s="53">
        <f t="shared" si="24"/>
        <v>1.0179640718562807E-2</v>
      </c>
      <c r="E792" s="52">
        <v>45084</v>
      </c>
      <c r="F792" s="54">
        <v>18726.400390625</v>
      </c>
      <c r="G792" s="53">
        <f t="shared" si="25"/>
        <v>6.8498516385289534E-3</v>
      </c>
    </row>
    <row r="793" spans="1:7" ht="13.5" customHeight="1" x14ac:dyDescent="0.3">
      <c r="A793" s="52">
        <v>45085</v>
      </c>
      <c r="B793" s="27">
        <v>84.5</v>
      </c>
      <c r="C793" s="53">
        <f t="shared" si="24"/>
        <v>1.7783046828690656E-3</v>
      </c>
      <c r="E793" s="52">
        <v>45085</v>
      </c>
      <c r="F793" s="54">
        <v>18634.55078125</v>
      </c>
      <c r="G793" s="53">
        <f t="shared" si="25"/>
        <v>-4.904819263662796E-3</v>
      </c>
    </row>
    <row r="794" spans="1:7" ht="13.5" customHeight="1" x14ac:dyDescent="0.3">
      <c r="A794" s="52">
        <v>45086</v>
      </c>
      <c r="B794" s="27">
        <v>84.3</v>
      </c>
      <c r="C794" s="53">
        <f t="shared" si="24"/>
        <v>-2.3668639053254772E-3</v>
      </c>
      <c r="E794" s="52">
        <v>45086</v>
      </c>
      <c r="F794" s="54">
        <v>18563.400390625</v>
      </c>
      <c r="G794" s="53">
        <f t="shared" si="25"/>
        <v>-3.8181972541345725E-3</v>
      </c>
    </row>
    <row r="795" spans="1:7" ht="13.5" customHeight="1" x14ac:dyDescent="0.3">
      <c r="A795" s="52">
        <v>45089</v>
      </c>
      <c r="B795" s="27">
        <v>85.05</v>
      </c>
      <c r="C795" s="53">
        <f t="shared" si="24"/>
        <v>8.8967971530249119E-3</v>
      </c>
      <c r="E795" s="52">
        <v>45089</v>
      </c>
      <c r="F795" s="54">
        <v>18601.5</v>
      </c>
      <c r="G795" s="53">
        <f t="shared" si="25"/>
        <v>2.0524046550351462E-3</v>
      </c>
    </row>
    <row r="796" spans="1:7" ht="13.5" customHeight="1" x14ac:dyDescent="0.3">
      <c r="A796" s="52">
        <v>45090</v>
      </c>
      <c r="B796" s="27">
        <v>85.05</v>
      </c>
      <c r="C796" s="53">
        <f t="shared" si="24"/>
        <v>0</v>
      </c>
      <c r="E796" s="52">
        <v>45090</v>
      </c>
      <c r="F796" s="54">
        <v>18716.150390625</v>
      </c>
      <c r="G796" s="53">
        <f t="shared" si="25"/>
        <v>6.1635024393194094E-3</v>
      </c>
    </row>
    <row r="797" spans="1:7" ht="13.5" customHeight="1" x14ac:dyDescent="0.3">
      <c r="A797" s="52">
        <v>45091</v>
      </c>
      <c r="B797" s="27">
        <v>85.55</v>
      </c>
      <c r="C797" s="53">
        <f t="shared" si="24"/>
        <v>5.8788947677836569E-3</v>
      </c>
      <c r="E797" s="52">
        <v>45091</v>
      </c>
      <c r="F797" s="54">
        <v>18755.900390625</v>
      </c>
      <c r="G797" s="53">
        <f t="shared" si="25"/>
        <v>2.1238341844010264E-3</v>
      </c>
    </row>
    <row r="798" spans="1:7" ht="13.5" customHeight="1" x14ac:dyDescent="0.3">
      <c r="A798" s="52">
        <v>45092</v>
      </c>
      <c r="B798" s="27">
        <v>84.8</v>
      </c>
      <c r="C798" s="53">
        <f t="shared" si="24"/>
        <v>-8.7668030391583867E-3</v>
      </c>
      <c r="E798" s="52">
        <v>45092</v>
      </c>
      <c r="F798" s="54">
        <v>18688.099609375</v>
      </c>
      <c r="G798" s="53">
        <f t="shared" si="25"/>
        <v>-3.6149041015322157E-3</v>
      </c>
    </row>
    <row r="799" spans="1:7" ht="13.5" customHeight="1" x14ac:dyDescent="0.3">
      <c r="A799" s="52">
        <v>45093</v>
      </c>
      <c r="B799" s="27">
        <v>84.9</v>
      </c>
      <c r="C799" s="53">
        <f t="shared" si="24"/>
        <v>1.1792452830189685E-3</v>
      </c>
      <c r="E799" s="52">
        <v>45093</v>
      </c>
      <c r="F799" s="54">
        <v>18826</v>
      </c>
      <c r="G799" s="53">
        <f t="shared" si="25"/>
        <v>7.3790483520229863E-3</v>
      </c>
    </row>
    <row r="800" spans="1:7" ht="13.5" customHeight="1" x14ac:dyDescent="0.3">
      <c r="A800" s="52">
        <v>45096</v>
      </c>
      <c r="B800" s="27">
        <v>84.6</v>
      </c>
      <c r="C800" s="53">
        <f t="shared" si="24"/>
        <v>-3.5335689045937731E-3</v>
      </c>
      <c r="E800" s="52">
        <v>45096</v>
      </c>
      <c r="F800" s="54">
        <v>18755.44921875</v>
      </c>
      <c r="G800" s="53">
        <f t="shared" si="25"/>
        <v>-3.7475183921172844E-3</v>
      </c>
    </row>
    <row r="801" spans="1:7" ht="13.5" customHeight="1" x14ac:dyDescent="0.3">
      <c r="A801" s="52">
        <v>45097</v>
      </c>
      <c r="B801" s="27">
        <v>85.2</v>
      </c>
      <c r="C801" s="53">
        <f t="shared" si="24"/>
        <v>7.092198581560385E-3</v>
      </c>
      <c r="E801" s="52">
        <v>45097</v>
      </c>
      <c r="F801" s="54">
        <v>18816.69921875</v>
      </c>
      <c r="G801" s="53">
        <f t="shared" si="25"/>
        <v>3.2657175674986124E-3</v>
      </c>
    </row>
    <row r="802" spans="1:7" ht="13.5" customHeight="1" x14ac:dyDescent="0.3">
      <c r="A802" s="52">
        <v>45098</v>
      </c>
      <c r="B802" s="27">
        <v>84.05</v>
      </c>
      <c r="C802" s="53">
        <f t="shared" si="24"/>
        <v>-1.3497652582159691E-2</v>
      </c>
      <c r="E802" s="52">
        <v>45098</v>
      </c>
      <c r="F802" s="54">
        <v>18856.849609375</v>
      </c>
      <c r="G802" s="53">
        <f t="shared" si="25"/>
        <v>2.133763746671995E-3</v>
      </c>
    </row>
    <row r="803" spans="1:7" ht="13.5" customHeight="1" x14ac:dyDescent="0.3">
      <c r="A803" s="52">
        <v>45099</v>
      </c>
      <c r="B803" s="27">
        <v>83.85</v>
      </c>
      <c r="C803" s="53">
        <f t="shared" si="24"/>
        <v>-2.37953599048189E-3</v>
      </c>
      <c r="E803" s="52">
        <v>45099</v>
      </c>
      <c r="F803" s="54">
        <v>18771.25</v>
      </c>
      <c r="G803" s="53">
        <f t="shared" si="25"/>
        <v>-4.5394438174042985E-3</v>
      </c>
    </row>
    <row r="804" spans="1:7" ht="13.5" customHeight="1" x14ac:dyDescent="0.3">
      <c r="A804" s="52">
        <v>45100</v>
      </c>
      <c r="B804" s="27">
        <v>81.400000000000006</v>
      </c>
      <c r="C804" s="53">
        <f t="shared" si="24"/>
        <v>-2.9218843172331411E-2</v>
      </c>
      <c r="E804" s="52">
        <v>45100</v>
      </c>
      <c r="F804" s="54">
        <v>18665.5</v>
      </c>
      <c r="G804" s="53">
        <f t="shared" si="25"/>
        <v>-5.6336152360657917E-3</v>
      </c>
    </row>
    <row r="805" spans="1:7" ht="13.5" customHeight="1" x14ac:dyDescent="0.3">
      <c r="A805" s="52">
        <v>45103</v>
      </c>
      <c r="B805" s="27">
        <v>82.5</v>
      </c>
      <c r="C805" s="53">
        <f t="shared" si="24"/>
        <v>1.3513513513513443E-2</v>
      </c>
      <c r="E805" s="52">
        <v>45103</v>
      </c>
      <c r="F805" s="54">
        <v>18691.19921875</v>
      </c>
      <c r="G805" s="53">
        <f t="shared" si="25"/>
        <v>1.3768299134767352E-3</v>
      </c>
    </row>
    <row r="806" spans="1:7" ht="13.5" customHeight="1" x14ac:dyDescent="0.3">
      <c r="A806" s="52">
        <v>45104</v>
      </c>
      <c r="B806" s="27">
        <v>82.25</v>
      </c>
      <c r="C806" s="53">
        <f t="shared" si="24"/>
        <v>-3.0303030303030303E-3</v>
      </c>
      <c r="E806" s="52">
        <v>45104</v>
      </c>
      <c r="F806" s="54">
        <v>18817.400390625</v>
      </c>
      <c r="G806" s="53">
        <f t="shared" si="25"/>
        <v>6.7519034171120394E-3</v>
      </c>
    </row>
    <row r="807" spans="1:7" ht="13.5" customHeight="1" x14ac:dyDescent="0.3">
      <c r="A807" s="52">
        <v>45105</v>
      </c>
      <c r="B807" s="27">
        <v>81.95</v>
      </c>
      <c r="C807" s="53">
        <f t="shared" si="24"/>
        <v>-3.6474164133738257E-3</v>
      </c>
      <c r="E807" s="52">
        <v>45105</v>
      </c>
      <c r="F807" s="54">
        <v>18972.099609375</v>
      </c>
      <c r="G807" s="53">
        <f t="shared" si="25"/>
        <v>8.2210728123249463E-3</v>
      </c>
    </row>
    <row r="808" spans="1:7" ht="13.5" customHeight="1" x14ac:dyDescent="0.3">
      <c r="A808" s="52">
        <v>45107</v>
      </c>
      <c r="B808" s="27">
        <v>82.05</v>
      </c>
      <c r="C808" s="53">
        <f t="shared" si="24"/>
        <v>1.2202562538132314E-3</v>
      </c>
      <c r="E808" s="52">
        <v>45107</v>
      </c>
      <c r="F808" s="54">
        <v>19189.05078125</v>
      </c>
      <c r="G808" s="53">
        <f t="shared" si="25"/>
        <v>1.143527476356883E-2</v>
      </c>
    </row>
    <row r="809" spans="1:7" ht="13.5" customHeight="1" x14ac:dyDescent="0.3">
      <c r="A809" s="52">
        <v>45110</v>
      </c>
      <c r="B809" s="27">
        <v>83.3</v>
      </c>
      <c r="C809" s="53">
        <f t="shared" si="24"/>
        <v>1.5234613040828763E-2</v>
      </c>
      <c r="E809" s="52">
        <v>45110</v>
      </c>
      <c r="F809" s="54">
        <v>19322.55078125</v>
      </c>
      <c r="G809" s="53">
        <f t="shared" si="25"/>
        <v>6.9570924336937751E-3</v>
      </c>
    </row>
    <row r="810" spans="1:7" ht="13.5" customHeight="1" x14ac:dyDescent="0.3">
      <c r="A810" s="52">
        <v>45111</v>
      </c>
      <c r="B810" s="27">
        <v>83.6</v>
      </c>
      <c r="C810" s="53">
        <f t="shared" si="24"/>
        <v>3.6014405762304583E-3</v>
      </c>
      <c r="E810" s="52">
        <v>45111</v>
      </c>
      <c r="F810" s="54">
        <v>19389</v>
      </c>
      <c r="G810" s="53">
        <f t="shared" si="25"/>
        <v>3.4389465191355714E-3</v>
      </c>
    </row>
    <row r="811" spans="1:7" ht="13.5" customHeight="1" x14ac:dyDescent="0.3">
      <c r="A811" s="52">
        <v>45112</v>
      </c>
      <c r="B811" s="27">
        <v>83.85</v>
      </c>
      <c r="C811" s="53">
        <f t="shared" si="24"/>
        <v>2.9904306220095694E-3</v>
      </c>
      <c r="E811" s="52">
        <v>45112</v>
      </c>
      <c r="F811" s="54">
        <v>19398.5</v>
      </c>
      <c r="G811" s="53">
        <f t="shared" si="25"/>
        <v>4.8996853886224153E-4</v>
      </c>
    </row>
    <row r="812" spans="1:7" ht="13.5" customHeight="1" x14ac:dyDescent="0.3">
      <c r="A812" s="52">
        <v>45113</v>
      </c>
      <c r="B812" s="27">
        <v>84.45</v>
      </c>
      <c r="C812" s="53">
        <f t="shared" si="24"/>
        <v>7.1556350626119092E-3</v>
      </c>
      <c r="E812" s="52">
        <v>45113</v>
      </c>
      <c r="F812" s="54">
        <v>19497.30078125</v>
      </c>
      <c r="G812" s="53">
        <f t="shared" si="25"/>
        <v>5.0932175812562824E-3</v>
      </c>
    </row>
    <row r="813" spans="1:7" ht="13.5" customHeight="1" x14ac:dyDescent="0.3">
      <c r="A813" s="52">
        <v>45114</v>
      </c>
      <c r="B813" s="27">
        <v>82.9</v>
      </c>
      <c r="C813" s="53">
        <f t="shared" si="24"/>
        <v>-1.8354055654233242E-2</v>
      </c>
      <c r="E813" s="52">
        <v>45114</v>
      </c>
      <c r="F813" s="54">
        <v>19331.80078125</v>
      </c>
      <c r="G813" s="53">
        <f t="shared" si="25"/>
        <v>-8.4883544577184066E-3</v>
      </c>
    </row>
    <row r="814" spans="1:7" ht="13.5" customHeight="1" x14ac:dyDescent="0.3">
      <c r="A814" s="52">
        <v>45117</v>
      </c>
      <c r="B814" s="27">
        <v>83.35</v>
      </c>
      <c r="C814" s="53">
        <f t="shared" si="24"/>
        <v>5.4282267792519732E-3</v>
      </c>
      <c r="E814" s="52">
        <v>45117</v>
      </c>
      <c r="F814" s="54">
        <v>19355.900390625</v>
      </c>
      <c r="G814" s="53">
        <f t="shared" si="25"/>
        <v>1.2466303397029789E-3</v>
      </c>
    </row>
    <row r="815" spans="1:7" ht="13.5" customHeight="1" x14ac:dyDescent="0.3">
      <c r="A815" s="52">
        <v>45118</v>
      </c>
      <c r="B815" s="27">
        <v>83.5</v>
      </c>
      <c r="C815" s="53">
        <f t="shared" si="24"/>
        <v>1.7996400719856713E-3</v>
      </c>
      <c r="E815" s="52">
        <v>45118</v>
      </c>
      <c r="F815" s="54">
        <v>19439.400390625</v>
      </c>
      <c r="G815" s="53">
        <f t="shared" si="25"/>
        <v>4.3139300324382271E-3</v>
      </c>
    </row>
    <row r="816" spans="1:7" ht="13.5" customHeight="1" x14ac:dyDescent="0.3">
      <c r="A816" s="52">
        <v>45119</v>
      </c>
      <c r="B816" s="27">
        <v>84.65</v>
      </c>
      <c r="C816" s="53">
        <f t="shared" si="24"/>
        <v>1.3772455089820427E-2</v>
      </c>
      <c r="E816" s="52">
        <v>45119</v>
      </c>
      <c r="F816" s="54">
        <v>19384.30078125</v>
      </c>
      <c r="G816" s="53">
        <f t="shared" si="25"/>
        <v>-2.8344294714755078E-3</v>
      </c>
    </row>
    <row r="817" spans="1:7" ht="13.5" customHeight="1" x14ac:dyDescent="0.3">
      <c r="A817" s="52">
        <v>45120</v>
      </c>
      <c r="B817" s="27">
        <v>84.55</v>
      </c>
      <c r="C817" s="53">
        <f t="shared" si="24"/>
        <v>-1.1813349084466452E-3</v>
      </c>
      <c r="E817" s="52">
        <v>45120</v>
      </c>
      <c r="F817" s="54">
        <v>19413.75</v>
      </c>
      <c r="G817" s="53">
        <f t="shared" si="25"/>
        <v>1.5192303855749891E-3</v>
      </c>
    </row>
    <row r="818" spans="1:7" ht="13.5" customHeight="1" x14ac:dyDescent="0.3">
      <c r="A818" s="52">
        <v>45121</v>
      </c>
      <c r="B818" s="27">
        <v>89.3</v>
      </c>
      <c r="C818" s="53">
        <f t="shared" si="24"/>
        <v>5.6179775280898875E-2</v>
      </c>
      <c r="E818" s="52">
        <v>45121</v>
      </c>
      <c r="F818" s="54">
        <v>19564.5</v>
      </c>
      <c r="G818" s="53">
        <f t="shared" si="25"/>
        <v>7.7651149314274673E-3</v>
      </c>
    </row>
    <row r="819" spans="1:7" ht="13.5" customHeight="1" x14ac:dyDescent="0.3">
      <c r="A819" s="52">
        <v>45124</v>
      </c>
      <c r="B819" s="27">
        <v>93.2</v>
      </c>
      <c r="C819" s="53">
        <f t="shared" si="24"/>
        <v>4.3673012318029183E-2</v>
      </c>
      <c r="E819" s="52">
        <v>45124</v>
      </c>
      <c r="F819" s="54">
        <v>19711.44921875</v>
      </c>
      <c r="G819" s="53">
        <f t="shared" si="25"/>
        <v>7.5110132510414268E-3</v>
      </c>
    </row>
    <row r="820" spans="1:7" ht="13.5" customHeight="1" x14ac:dyDescent="0.3">
      <c r="A820" s="52">
        <v>45125</v>
      </c>
      <c r="B820" s="27">
        <v>92.95</v>
      </c>
      <c r="C820" s="53">
        <f t="shared" si="24"/>
        <v>-2.6824034334763948E-3</v>
      </c>
      <c r="E820" s="52">
        <v>45125</v>
      </c>
      <c r="F820" s="54">
        <v>19749.25</v>
      </c>
      <c r="G820" s="53">
        <f t="shared" si="25"/>
        <v>1.917706853032551E-3</v>
      </c>
    </row>
    <row r="821" spans="1:7" ht="13.5" customHeight="1" x14ac:dyDescent="0.3">
      <c r="A821" s="52">
        <v>45126</v>
      </c>
      <c r="B821" s="27">
        <v>92.05</v>
      </c>
      <c r="C821" s="53">
        <f t="shared" si="24"/>
        <v>-9.682625067240512E-3</v>
      </c>
      <c r="E821" s="52">
        <v>45126</v>
      </c>
      <c r="F821" s="54">
        <v>19833.150390625</v>
      </c>
      <c r="G821" s="53">
        <f t="shared" si="25"/>
        <v>4.248282371482461E-3</v>
      </c>
    </row>
    <row r="822" spans="1:7" ht="13.5" customHeight="1" x14ac:dyDescent="0.3">
      <c r="A822" s="52">
        <v>45127</v>
      </c>
      <c r="B822" s="27">
        <v>92.25</v>
      </c>
      <c r="C822" s="53">
        <f t="shared" si="24"/>
        <v>2.1727322107550555E-3</v>
      </c>
      <c r="E822" s="52">
        <v>45127</v>
      </c>
      <c r="F822" s="54">
        <v>19979.150390625</v>
      </c>
      <c r="G822" s="53">
        <f t="shared" si="25"/>
        <v>7.3614124394989332E-3</v>
      </c>
    </row>
    <row r="823" spans="1:7" ht="13.5" customHeight="1" x14ac:dyDescent="0.3">
      <c r="A823" s="52">
        <v>45128</v>
      </c>
      <c r="B823" s="27">
        <v>92.05</v>
      </c>
      <c r="C823" s="53">
        <f t="shared" si="24"/>
        <v>-2.168021680216833E-3</v>
      </c>
      <c r="E823" s="52">
        <v>45128</v>
      </c>
      <c r="F823" s="54">
        <v>19745</v>
      </c>
      <c r="G823" s="53">
        <f t="shared" si="25"/>
        <v>-1.1719737128305142E-2</v>
      </c>
    </row>
    <row r="824" spans="1:7" ht="13.5" customHeight="1" x14ac:dyDescent="0.3">
      <c r="A824" s="52">
        <v>45131</v>
      </c>
      <c r="B824" s="27">
        <v>92.15</v>
      </c>
      <c r="C824" s="53">
        <f t="shared" si="24"/>
        <v>1.0863661053776049E-3</v>
      </c>
      <c r="E824" s="52">
        <v>45131</v>
      </c>
      <c r="F824" s="54">
        <v>19672.349609375</v>
      </c>
      <c r="G824" s="53">
        <f t="shared" si="25"/>
        <v>-3.6794322929855658E-3</v>
      </c>
    </row>
    <row r="825" spans="1:7" ht="13.5" customHeight="1" x14ac:dyDescent="0.3">
      <c r="A825" s="52">
        <v>45132</v>
      </c>
      <c r="B825" s="27">
        <v>94.85</v>
      </c>
      <c r="C825" s="53">
        <f t="shared" si="24"/>
        <v>2.9300054259359616E-2</v>
      </c>
      <c r="E825" s="52">
        <v>45132</v>
      </c>
      <c r="F825" s="54">
        <v>19680.599609375</v>
      </c>
      <c r="G825" s="53">
        <f t="shared" si="25"/>
        <v>4.193703428322768E-4</v>
      </c>
    </row>
    <row r="826" spans="1:7" ht="13.5" customHeight="1" x14ac:dyDescent="0.3">
      <c r="A826" s="52">
        <v>45133</v>
      </c>
      <c r="B826" s="27">
        <v>94.9</v>
      </c>
      <c r="C826" s="53">
        <f t="shared" si="24"/>
        <v>5.2714812862426333E-4</v>
      </c>
      <c r="E826" s="52">
        <v>45133</v>
      </c>
      <c r="F826" s="54">
        <v>19778.30078125</v>
      </c>
      <c r="G826" s="53">
        <f t="shared" si="25"/>
        <v>4.9643391875346787E-3</v>
      </c>
    </row>
    <row r="827" spans="1:7" ht="13.5" customHeight="1" x14ac:dyDescent="0.3">
      <c r="A827" s="52">
        <v>45134</v>
      </c>
      <c r="B827" s="27">
        <v>94.75</v>
      </c>
      <c r="C827" s="53">
        <f t="shared" si="24"/>
        <v>-1.5806111696523254E-3</v>
      </c>
      <c r="E827" s="52">
        <v>45134</v>
      </c>
      <c r="F827" s="54">
        <v>19659.900390625</v>
      </c>
      <c r="G827" s="53">
        <f t="shared" si="25"/>
        <v>-5.9863783008722669E-3</v>
      </c>
    </row>
    <row r="828" spans="1:7" ht="13.5" customHeight="1" x14ac:dyDescent="0.3">
      <c r="A828" s="52">
        <v>45135</v>
      </c>
      <c r="B828" s="27">
        <v>95.35</v>
      </c>
      <c r="C828" s="53">
        <f t="shared" si="24"/>
        <v>6.3324538258574597E-3</v>
      </c>
      <c r="E828" s="52">
        <v>45135</v>
      </c>
      <c r="F828" s="54">
        <v>19646.05078125</v>
      </c>
      <c r="G828" s="53">
        <f t="shared" si="25"/>
        <v>-7.0445979378432207E-4</v>
      </c>
    </row>
    <row r="829" spans="1:7" ht="13.5" customHeight="1" x14ac:dyDescent="0.3">
      <c r="A829" s="52">
        <v>45138</v>
      </c>
      <c r="B829" s="27">
        <v>95.25</v>
      </c>
      <c r="C829" s="53">
        <f t="shared" si="24"/>
        <v>-1.0487676979548434E-3</v>
      </c>
      <c r="E829" s="52">
        <v>45138</v>
      </c>
      <c r="F829" s="54">
        <v>19753.80078125</v>
      </c>
      <c r="G829" s="53">
        <f t="shared" si="25"/>
        <v>5.4845628365592716E-3</v>
      </c>
    </row>
    <row r="830" spans="1:7" ht="13.5" customHeight="1" x14ac:dyDescent="0.3">
      <c r="A830" s="52">
        <v>45139</v>
      </c>
      <c r="B830" s="27">
        <v>95.6</v>
      </c>
      <c r="C830" s="53">
        <f t="shared" si="24"/>
        <v>3.6745406824146387E-3</v>
      </c>
      <c r="E830" s="52">
        <v>45139</v>
      </c>
      <c r="F830" s="54">
        <v>19733.55078125</v>
      </c>
      <c r="G830" s="53">
        <f t="shared" si="25"/>
        <v>-1.0251191770254656E-3</v>
      </c>
    </row>
    <row r="831" spans="1:7" ht="13.5" customHeight="1" x14ac:dyDescent="0.3">
      <c r="A831" s="52">
        <v>45140</v>
      </c>
      <c r="B831" s="27">
        <v>92.2</v>
      </c>
      <c r="C831" s="53">
        <f t="shared" si="24"/>
        <v>-3.5564853556485268E-2</v>
      </c>
      <c r="E831" s="52">
        <v>45140</v>
      </c>
      <c r="F831" s="54">
        <v>19526.55078125</v>
      </c>
      <c r="G831" s="53">
        <f t="shared" si="25"/>
        <v>-1.0489749274959822E-2</v>
      </c>
    </row>
    <row r="832" spans="1:7" ht="13.5" customHeight="1" x14ac:dyDescent="0.3">
      <c r="A832" s="52">
        <v>45141</v>
      </c>
      <c r="B832" s="27">
        <v>94.25</v>
      </c>
      <c r="C832" s="53">
        <f t="shared" si="24"/>
        <v>2.2234273318871987E-2</v>
      </c>
      <c r="E832" s="52">
        <v>45141</v>
      </c>
      <c r="F832" s="54">
        <v>19381.650390625</v>
      </c>
      <c r="G832" s="53">
        <f t="shared" si="25"/>
        <v>-7.4206854169113091E-3</v>
      </c>
    </row>
    <row r="833" spans="1:7" ht="13.5" customHeight="1" x14ac:dyDescent="0.3">
      <c r="A833" s="52">
        <v>45142</v>
      </c>
      <c r="B833" s="27">
        <v>95.05</v>
      </c>
      <c r="C833" s="53">
        <f t="shared" si="24"/>
        <v>8.4880636604774233E-3</v>
      </c>
      <c r="E833" s="52">
        <v>45142</v>
      </c>
      <c r="F833" s="54">
        <v>19517</v>
      </c>
      <c r="G833" s="53">
        <f t="shared" si="25"/>
        <v>6.9833892701144417E-3</v>
      </c>
    </row>
    <row r="834" spans="1:7" ht="13.5" customHeight="1" x14ac:dyDescent="0.3">
      <c r="A834" s="52">
        <v>45145</v>
      </c>
      <c r="B834" s="27">
        <v>94.9</v>
      </c>
      <c r="C834" s="53">
        <f t="shared" si="24"/>
        <v>-1.5781167806416779E-3</v>
      </c>
      <c r="E834" s="52">
        <v>45145</v>
      </c>
      <c r="F834" s="54">
        <v>19597.30078125</v>
      </c>
      <c r="G834" s="53">
        <f t="shared" si="25"/>
        <v>4.1144018676026028E-3</v>
      </c>
    </row>
    <row r="835" spans="1:7" ht="13.5" customHeight="1" x14ac:dyDescent="0.3">
      <c r="A835" s="52">
        <v>45146</v>
      </c>
      <c r="B835" s="27">
        <v>94.8</v>
      </c>
      <c r="C835" s="53">
        <f t="shared" si="24"/>
        <v>-1.0537407797682667E-3</v>
      </c>
      <c r="E835" s="52">
        <v>45146</v>
      </c>
      <c r="F835" s="54">
        <v>19570.849609375</v>
      </c>
      <c r="G835" s="53">
        <f t="shared" si="25"/>
        <v>-1.349735464605796E-3</v>
      </c>
    </row>
    <row r="836" spans="1:7" ht="13.5" customHeight="1" x14ac:dyDescent="0.3">
      <c r="A836" s="52">
        <v>45147</v>
      </c>
      <c r="B836" s="27">
        <v>96.85</v>
      </c>
      <c r="C836" s="53">
        <f t="shared" si="24"/>
        <v>2.1624472573839634E-2</v>
      </c>
      <c r="E836" s="52">
        <v>45147</v>
      </c>
      <c r="F836" s="54">
        <v>19632.55078125</v>
      </c>
      <c r="G836" s="53">
        <f t="shared" si="25"/>
        <v>3.1527078847636415E-3</v>
      </c>
    </row>
    <row r="837" spans="1:7" ht="13.5" customHeight="1" x14ac:dyDescent="0.3">
      <c r="A837" s="52">
        <v>45148</v>
      </c>
      <c r="B837" s="27">
        <v>95</v>
      </c>
      <c r="C837" s="53">
        <f t="shared" ref="C837:C900" si="26">(B837-B836)/B836</f>
        <v>-1.9101703665461996E-2</v>
      </c>
      <c r="E837" s="52">
        <v>45148</v>
      </c>
      <c r="F837" s="54">
        <v>19543.099609375</v>
      </c>
      <c r="G837" s="53">
        <f t="shared" ref="G837:G900" si="27">(F837-F836)/F836</f>
        <v>-4.5562684580156563E-3</v>
      </c>
    </row>
    <row r="838" spans="1:7" ht="13.5" customHeight="1" x14ac:dyDescent="0.3">
      <c r="A838" s="52">
        <v>45149</v>
      </c>
      <c r="B838" s="27">
        <v>94.3</v>
      </c>
      <c r="C838" s="53">
        <f t="shared" si="26"/>
        <v>-7.3684210526316091E-3</v>
      </c>
      <c r="E838" s="52">
        <v>45149</v>
      </c>
      <c r="F838" s="54">
        <v>19428.30078125</v>
      </c>
      <c r="G838" s="53">
        <f t="shared" si="27"/>
        <v>-5.8741361615907628E-3</v>
      </c>
    </row>
    <row r="839" spans="1:7" ht="13.5" customHeight="1" x14ac:dyDescent="0.3">
      <c r="A839" s="52">
        <v>45152</v>
      </c>
      <c r="B839" s="27">
        <v>90.65</v>
      </c>
      <c r="C839" s="53">
        <f t="shared" si="26"/>
        <v>-3.8706256627783577E-2</v>
      </c>
      <c r="E839" s="52">
        <v>45152</v>
      </c>
      <c r="F839" s="54">
        <v>19434.55078125</v>
      </c>
      <c r="G839" s="53">
        <f t="shared" si="27"/>
        <v>3.2169565781232879E-4</v>
      </c>
    </row>
    <row r="840" spans="1:7" ht="13.5" customHeight="1" x14ac:dyDescent="0.3">
      <c r="A840" s="52">
        <v>45154</v>
      </c>
      <c r="B840" s="27">
        <v>89.15</v>
      </c>
      <c r="C840" s="53">
        <f t="shared" si="26"/>
        <v>-1.6547159404302261E-2</v>
      </c>
      <c r="E840" s="52">
        <v>45154</v>
      </c>
      <c r="F840" s="54">
        <v>19465</v>
      </c>
      <c r="G840" s="53">
        <f t="shared" si="27"/>
        <v>1.5667570139761961E-3</v>
      </c>
    </row>
    <row r="841" spans="1:7" ht="13.5" customHeight="1" x14ac:dyDescent="0.3">
      <c r="A841" s="52">
        <v>45155</v>
      </c>
      <c r="B841" s="27">
        <v>87.8</v>
      </c>
      <c r="C841" s="53">
        <f t="shared" si="26"/>
        <v>-1.5143017386427465E-2</v>
      </c>
      <c r="E841" s="52">
        <v>45155</v>
      </c>
      <c r="F841" s="54">
        <v>19365.25</v>
      </c>
      <c r="G841" s="53">
        <f t="shared" si="27"/>
        <v>-5.124582584125353E-3</v>
      </c>
    </row>
    <row r="842" spans="1:7" ht="13.5" customHeight="1" x14ac:dyDescent="0.3">
      <c r="A842" s="52">
        <v>45156</v>
      </c>
      <c r="B842" s="27">
        <v>86.8</v>
      </c>
      <c r="C842" s="53">
        <f t="shared" si="26"/>
        <v>-1.1389521640091117E-2</v>
      </c>
      <c r="E842" s="52">
        <v>45156</v>
      </c>
      <c r="F842" s="54">
        <v>19310.150390625</v>
      </c>
      <c r="G842" s="53">
        <f t="shared" si="27"/>
        <v>-2.8452826260957128E-3</v>
      </c>
    </row>
    <row r="843" spans="1:7" ht="13.5" customHeight="1" x14ac:dyDescent="0.3">
      <c r="A843" s="52">
        <v>45159</v>
      </c>
      <c r="B843" s="27">
        <v>87.95</v>
      </c>
      <c r="C843" s="53">
        <f t="shared" si="26"/>
        <v>1.3248847926267347E-2</v>
      </c>
      <c r="E843" s="52">
        <v>45159</v>
      </c>
      <c r="F843" s="54">
        <v>19393.599609375</v>
      </c>
      <c r="G843" s="53">
        <f t="shared" si="27"/>
        <v>4.3215209131936255E-3</v>
      </c>
    </row>
    <row r="844" spans="1:7" ht="13.5" customHeight="1" x14ac:dyDescent="0.3">
      <c r="A844" s="52">
        <v>45160</v>
      </c>
      <c r="B844" s="27">
        <v>88.8</v>
      </c>
      <c r="C844" s="53">
        <f t="shared" si="26"/>
        <v>9.6645821489482007E-3</v>
      </c>
      <c r="E844" s="52">
        <v>45160</v>
      </c>
      <c r="F844" s="54">
        <v>19396.44921875</v>
      </c>
      <c r="G844" s="53">
        <f t="shared" si="27"/>
        <v>1.4693555773021523E-4</v>
      </c>
    </row>
    <row r="845" spans="1:7" ht="13.5" customHeight="1" x14ac:dyDescent="0.3">
      <c r="A845" s="52">
        <v>45161</v>
      </c>
      <c r="B845" s="27">
        <v>90</v>
      </c>
      <c r="C845" s="53">
        <f t="shared" si="26"/>
        <v>1.3513513513513545E-2</v>
      </c>
      <c r="E845" s="52">
        <v>45161</v>
      </c>
      <c r="F845" s="54">
        <v>19444</v>
      </c>
      <c r="G845" s="53">
        <f t="shared" si="27"/>
        <v>2.4515199000461384E-3</v>
      </c>
    </row>
    <row r="846" spans="1:7" ht="13.5" customHeight="1" x14ac:dyDescent="0.3">
      <c r="A846" s="52">
        <v>45162</v>
      </c>
      <c r="B846" s="27">
        <v>89.75</v>
      </c>
      <c r="C846" s="53">
        <f t="shared" si="26"/>
        <v>-2.7777777777777779E-3</v>
      </c>
      <c r="E846" s="52">
        <v>45162</v>
      </c>
      <c r="F846" s="54">
        <v>19386.69921875</v>
      </c>
      <c r="G846" s="53">
        <f t="shared" si="27"/>
        <v>-2.9469646806212714E-3</v>
      </c>
    </row>
    <row r="847" spans="1:7" ht="13.5" customHeight="1" x14ac:dyDescent="0.3">
      <c r="A847" s="52">
        <v>45163</v>
      </c>
      <c r="B847" s="27">
        <v>88.25</v>
      </c>
      <c r="C847" s="53">
        <f t="shared" si="26"/>
        <v>-1.6713091922005572E-2</v>
      </c>
      <c r="E847" s="52">
        <v>45163</v>
      </c>
      <c r="F847" s="54">
        <v>19265.80078125</v>
      </c>
      <c r="G847" s="53">
        <f t="shared" si="27"/>
        <v>-6.2361537740819812E-3</v>
      </c>
    </row>
    <row r="848" spans="1:7" ht="13.5" customHeight="1" x14ac:dyDescent="0.3">
      <c r="A848" s="52">
        <v>45166</v>
      </c>
      <c r="B848" s="27">
        <v>90.45</v>
      </c>
      <c r="C848" s="53">
        <f t="shared" si="26"/>
        <v>2.4929178470254991E-2</v>
      </c>
      <c r="E848" s="52">
        <v>45166</v>
      </c>
      <c r="F848" s="54">
        <v>19306.05078125</v>
      </c>
      <c r="G848" s="53">
        <f t="shared" si="27"/>
        <v>2.089194238900902E-3</v>
      </c>
    </row>
    <row r="849" spans="1:7" ht="13.5" customHeight="1" x14ac:dyDescent="0.3">
      <c r="A849" s="52">
        <v>45167</v>
      </c>
      <c r="B849" s="27">
        <v>92.75</v>
      </c>
      <c r="C849" s="53">
        <f t="shared" si="26"/>
        <v>2.5428413488114948E-2</v>
      </c>
      <c r="E849" s="52">
        <v>45167</v>
      </c>
      <c r="F849" s="54">
        <v>19342.650390625</v>
      </c>
      <c r="G849" s="53">
        <f t="shared" si="27"/>
        <v>1.8957584743610782E-3</v>
      </c>
    </row>
    <row r="850" spans="1:7" ht="13.5" customHeight="1" x14ac:dyDescent="0.3">
      <c r="A850" s="52">
        <v>45168</v>
      </c>
      <c r="B850" s="27">
        <v>94.2</v>
      </c>
      <c r="C850" s="53">
        <f t="shared" si="26"/>
        <v>1.5633423180593024E-2</v>
      </c>
      <c r="E850" s="52">
        <v>45168</v>
      </c>
      <c r="F850" s="54">
        <v>19347.44921875</v>
      </c>
      <c r="G850" s="53">
        <f t="shared" si="27"/>
        <v>2.4809568637635602E-4</v>
      </c>
    </row>
    <row r="851" spans="1:7" ht="13.5" customHeight="1" x14ac:dyDescent="0.3">
      <c r="A851" s="52">
        <v>45169</v>
      </c>
      <c r="B851" s="27">
        <v>94.15</v>
      </c>
      <c r="C851" s="53">
        <f t="shared" si="26"/>
        <v>-5.3078556263266624E-4</v>
      </c>
      <c r="E851" s="52">
        <v>45169</v>
      </c>
      <c r="F851" s="54">
        <v>19253.80078125</v>
      </c>
      <c r="G851" s="53">
        <f t="shared" si="27"/>
        <v>-4.8403506033882458E-3</v>
      </c>
    </row>
    <row r="852" spans="1:7" ht="13.5" customHeight="1" x14ac:dyDescent="0.3">
      <c r="A852" s="52">
        <v>45170</v>
      </c>
      <c r="B852" s="27">
        <v>98.35</v>
      </c>
      <c r="C852" s="53">
        <f t="shared" si="26"/>
        <v>4.4609665427509174E-2</v>
      </c>
      <c r="E852" s="52">
        <v>45170</v>
      </c>
      <c r="F852" s="54">
        <v>19435.30078125</v>
      </c>
      <c r="G852" s="53">
        <f t="shared" si="27"/>
        <v>9.4267101889176502E-3</v>
      </c>
    </row>
    <row r="853" spans="1:7" ht="13.5" customHeight="1" x14ac:dyDescent="0.3">
      <c r="A853" s="52">
        <v>45173</v>
      </c>
      <c r="B853" s="27">
        <v>104.35</v>
      </c>
      <c r="C853" s="53">
        <f t="shared" si="26"/>
        <v>6.1006609049313681E-2</v>
      </c>
      <c r="E853" s="52">
        <v>45173</v>
      </c>
      <c r="F853" s="54">
        <v>19528.80078125</v>
      </c>
      <c r="G853" s="53">
        <f t="shared" si="27"/>
        <v>4.8108337016426897E-3</v>
      </c>
    </row>
    <row r="854" spans="1:7" ht="13.5" customHeight="1" x14ac:dyDescent="0.3">
      <c r="A854" s="52">
        <v>45174</v>
      </c>
      <c r="B854" s="27">
        <v>102.45</v>
      </c>
      <c r="C854" s="53">
        <f t="shared" si="26"/>
        <v>-1.8207954000958232E-2</v>
      </c>
      <c r="E854" s="52">
        <v>45174</v>
      </c>
      <c r="F854" s="54">
        <v>19574.900390625</v>
      </c>
      <c r="G854" s="53">
        <f t="shared" si="27"/>
        <v>2.3605960187407502E-3</v>
      </c>
    </row>
    <row r="855" spans="1:7" ht="13.5" customHeight="1" x14ac:dyDescent="0.3">
      <c r="A855" s="52">
        <v>45175</v>
      </c>
      <c r="B855" s="27">
        <v>101.1</v>
      </c>
      <c r="C855" s="53">
        <f t="shared" si="26"/>
        <v>-1.3177159590044007E-2</v>
      </c>
      <c r="E855" s="52">
        <v>45175</v>
      </c>
      <c r="F855" s="54">
        <v>19611.05078125</v>
      </c>
      <c r="G855" s="53">
        <f t="shared" si="27"/>
        <v>1.8467726478094107E-3</v>
      </c>
    </row>
    <row r="856" spans="1:7" ht="13.5" customHeight="1" x14ac:dyDescent="0.3">
      <c r="A856" s="52">
        <v>45176</v>
      </c>
      <c r="B856" s="27">
        <v>100.1</v>
      </c>
      <c r="C856" s="53">
        <f t="shared" si="26"/>
        <v>-9.8911968348170138E-3</v>
      </c>
      <c r="E856" s="52">
        <v>45176</v>
      </c>
      <c r="F856" s="54">
        <v>19727.05078125</v>
      </c>
      <c r="G856" s="53">
        <f t="shared" si="27"/>
        <v>5.9150323607803238E-3</v>
      </c>
    </row>
    <row r="857" spans="1:7" ht="13.5" customHeight="1" x14ac:dyDescent="0.3">
      <c r="A857" s="52">
        <v>45177</v>
      </c>
      <c r="B857" s="27">
        <v>100.5</v>
      </c>
      <c r="C857" s="53">
        <f t="shared" si="26"/>
        <v>3.9960039960040532E-3</v>
      </c>
      <c r="E857" s="52">
        <v>45177</v>
      </c>
      <c r="F857" s="54">
        <v>19819.94921875</v>
      </c>
      <c r="G857" s="53">
        <f t="shared" si="27"/>
        <v>4.7091903665750848E-3</v>
      </c>
    </row>
    <row r="858" spans="1:7" ht="13.5" customHeight="1" x14ac:dyDescent="0.3">
      <c r="A858" s="52">
        <v>45180</v>
      </c>
      <c r="B858" s="27">
        <v>101.6</v>
      </c>
      <c r="C858" s="53">
        <f t="shared" si="26"/>
        <v>1.094527363184074E-2</v>
      </c>
      <c r="E858" s="52">
        <v>45180</v>
      </c>
      <c r="F858" s="54">
        <v>19996.349609375</v>
      </c>
      <c r="G858" s="53">
        <f t="shared" si="27"/>
        <v>8.9001434200508597E-3</v>
      </c>
    </row>
    <row r="859" spans="1:7" ht="13.5" customHeight="1" x14ac:dyDescent="0.3">
      <c r="A859" s="52">
        <v>45181</v>
      </c>
      <c r="B859" s="27">
        <v>95.4</v>
      </c>
      <c r="C859" s="53">
        <f t="shared" si="26"/>
        <v>-6.1023622047243986E-2</v>
      </c>
      <c r="E859" s="52">
        <v>45181</v>
      </c>
      <c r="F859" s="54">
        <v>19993.19921875</v>
      </c>
      <c r="G859" s="53">
        <f t="shared" si="27"/>
        <v>-1.5754828688947231E-4</v>
      </c>
    </row>
    <row r="860" spans="1:7" ht="13.5" customHeight="1" x14ac:dyDescent="0.3">
      <c r="A860" s="52">
        <v>45182</v>
      </c>
      <c r="B860" s="27">
        <v>97.2</v>
      </c>
      <c r="C860" s="53">
        <f t="shared" si="26"/>
        <v>1.8867924528301855E-2</v>
      </c>
      <c r="E860" s="52">
        <v>45182</v>
      </c>
      <c r="F860" s="54">
        <v>20070</v>
      </c>
      <c r="G860" s="53">
        <f t="shared" si="27"/>
        <v>3.8413452699443307E-3</v>
      </c>
    </row>
    <row r="861" spans="1:7" ht="13.5" customHeight="1" x14ac:dyDescent="0.3">
      <c r="A861" s="52">
        <v>45183</v>
      </c>
      <c r="B861" s="27">
        <v>99.3</v>
      </c>
      <c r="C861" s="53">
        <f t="shared" si="26"/>
        <v>2.1604938271604878E-2</v>
      </c>
      <c r="E861" s="52">
        <v>45183</v>
      </c>
      <c r="F861" s="54">
        <v>20103.099609375</v>
      </c>
      <c r="G861" s="53">
        <f t="shared" si="27"/>
        <v>1.6492082399103139E-3</v>
      </c>
    </row>
    <row r="862" spans="1:7" ht="13.5" customHeight="1" x14ac:dyDescent="0.3">
      <c r="A862" s="52">
        <v>45184</v>
      </c>
      <c r="B862" s="27">
        <v>97.35</v>
      </c>
      <c r="C862" s="53">
        <f t="shared" si="26"/>
        <v>-1.9637462235649578E-2</v>
      </c>
      <c r="E862" s="52">
        <v>45184</v>
      </c>
      <c r="F862" s="54">
        <v>20192.349609375</v>
      </c>
      <c r="G862" s="53">
        <f t="shared" si="27"/>
        <v>4.439613877174375E-3</v>
      </c>
    </row>
    <row r="863" spans="1:7" ht="13.5" customHeight="1" x14ac:dyDescent="0.3">
      <c r="A863" s="52">
        <v>45187</v>
      </c>
      <c r="B863" s="27">
        <v>95.95</v>
      </c>
      <c r="C863" s="53">
        <f t="shared" si="26"/>
        <v>-1.4381099126861752E-2</v>
      </c>
      <c r="E863" s="52">
        <v>45187</v>
      </c>
      <c r="F863" s="54">
        <v>20133.30078125</v>
      </c>
      <c r="G863" s="53">
        <f t="shared" si="27"/>
        <v>-2.9243168460982138E-3</v>
      </c>
    </row>
    <row r="864" spans="1:7" ht="13.5" customHeight="1" x14ac:dyDescent="0.3">
      <c r="A864" s="52">
        <v>45189</v>
      </c>
      <c r="B864" s="27">
        <v>95.05</v>
      </c>
      <c r="C864" s="53">
        <f t="shared" si="26"/>
        <v>-9.3798853569568071E-3</v>
      </c>
      <c r="E864" s="52">
        <v>45189</v>
      </c>
      <c r="F864" s="54">
        <v>19901.400390625</v>
      </c>
      <c r="G864" s="53">
        <f t="shared" si="27"/>
        <v>-1.1518249945432057E-2</v>
      </c>
    </row>
    <row r="865" spans="1:7" ht="13.5" customHeight="1" x14ac:dyDescent="0.3">
      <c r="A865" s="52">
        <v>45190</v>
      </c>
      <c r="B865" s="27">
        <v>94.05</v>
      </c>
      <c r="C865" s="53">
        <f t="shared" si="26"/>
        <v>-1.0520778537611783E-2</v>
      </c>
      <c r="E865" s="52">
        <v>45190</v>
      </c>
      <c r="F865" s="54">
        <v>19742.349609375</v>
      </c>
      <c r="G865" s="53">
        <f t="shared" si="27"/>
        <v>-7.9919391664982752E-3</v>
      </c>
    </row>
    <row r="866" spans="1:7" ht="13.5" customHeight="1" x14ac:dyDescent="0.3">
      <c r="A866" s="52">
        <v>45191</v>
      </c>
      <c r="B866" s="27">
        <v>93.5</v>
      </c>
      <c r="C866" s="53">
        <f t="shared" si="26"/>
        <v>-5.8479532163742392E-3</v>
      </c>
      <c r="E866" s="52">
        <v>45191</v>
      </c>
      <c r="F866" s="54">
        <v>19674.25</v>
      </c>
      <c r="G866" s="53">
        <f t="shared" si="27"/>
        <v>-3.4494176591149876E-3</v>
      </c>
    </row>
    <row r="867" spans="1:7" ht="13.5" customHeight="1" x14ac:dyDescent="0.3">
      <c r="A867" s="52">
        <v>45194</v>
      </c>
      <c r="B867" s="27">
        <v>93.25</v>
      </c>
      <c r="C867" s="53">
        <f t="shared" si="26"/>
        <v>-2.6737967914438501E-3</v>
      </c>
      <c r="E867" s="52">
        <v>45194</v>
      </c>
      <c r="F867" s="54">
        <v>19674.55078125</v>
      </c>
      <c r="G867" s="53">
        <f t="shared" si="27"/>
        <v>1.5288066889462116E-5</v>
      </c>
    </row>
    <row r="868" spans="1:7" ht="13.5" customHeight="1" x14ac:dyDescent="0.3">
      <c r="A868" s="52">
        <v>45195</v>
      </c>
      <c r="B868" s="27">
        <v>93.15</v>
      </c>
      <c r="C868" s="53">
        <f t="shared" si="26"/>
        <v>-1.0723860589811722E-3</v>
      </c>
      <c r="E868" s="52">
        <v>45195</v>
      </c>
      <c r="F868" s="54">
        <v>19664.69921875</v>
      </c>
      <c r="G868" s="53">
        <f t="shared" si="27"/>
        <v>-5.0072617207548218E-4</v>
      </c>
    </row>
    <row r="869" spans="1:7" ht="13.5" customHeight="1" x14ac:dyDescent="0.3">
      <c r="A869" s="52">
        <v>45196</v>
      </c>
      <c r="B869" s="27">
        <v>93</v>
      </c>
      <c r="C869" s="53">
        <f t="shared" si="26"/>
        <v>-1.610305958132106E-3</v>
      </c>
      <c r="E869" s="52">
        <v>45196</v>
      </c>
      <c r="F869" s="54">
        <v>19716.44921875</v>
      </c>
      <c r="G869" s="53">
        <f t="shared" si="27"/>
        <v>2.6316191986632139E-3</v>
      </c>
    </row>
    <row r="870" spans="1:7" ht="13.5" customHeight="1" x14ac:dyDescent="0.3">
      <c r="A870" s="52">
        <v>45197</v>
      </c>
      <c r="B870" s="27">
        <v>93.15</v>
      </c>
      <c r="C870" s="53">
        <f t="shared" si="26"/>
        <v>1.6129032258065128E-3</v>
      </c>
      <c r="E870" s="52">
        <v>45197</v>
      </c>
      <c r="F870" s="54">
        <v>19523.55078125</v>
      </c>
      <c r="G870" s="53">
        <f t="shared" si="27"/>
        <v>-9.7836296667737181E-3</v>
      </c>
    </row>
    <row r="871" spans="1:7" ht="13.5" customHeight="1" x14ac:dyDescent="0.3">
      <c r="A871" s="52">
        <v>45198</v>
      </c>
      <c r="B871" s="27">
        <v>97.2</v>
      </c>
      <c r="C871" s="53">
        <f t="shared" si="26"/>
        <v>4.3478260869565181E-2</v>
      </c>
      <c r="E871" s="52">
        <v>45198</v>
      </c>
      <c r="F871" s="54">
        <v>19638.30078125</v>
      </c>
      <c r="G871" s="53">
        <f t="shared" si="27"/>
        <v>5.8775169171687482E-3</v>
      </c>
    </row>
    <row r="872" spans="1:7" ht="13.5" customHeight="1" x14ac:dyDescent="0.3">
      <c r="A872" s="52">
        <v>45202</v>
      </c>
      <c r="B872" s="27">
        <v>96.55</v>
      </c>
      <c r="C872" s="53">
        <f t="shared" si="26"/>
        <v>-6.6872427983539675E-3</v>
      </c>
      <c r="E872" s="52">
        <v>45202</v>
      </c>
      <c r="F872" s="54">
        <v>19528.75</v>
      </c>
      <c r="G872" s="53">
        <f t="shared" si="27"/>
        <v>-5.5784246544688561E-3</v>
      </c>
    </row>
    <row r="873" spans="1:7" ht="13.5" customHeight="1" x14ac:dyDescent="0.3">
      <c r="A873" s="52">
        <v>45203</v>
      </c>
      <c r="B873" s="27">
        <v>94.5</v>
      </c>
      <c r="C873" s="53">
        <f t="shared" si="26"/>
        <v>-2.1232522009321565E-2</v>
      </c>
      <c r="E873" s="52">
        <v>45203</v>
      </c>
      <c r="F873" s="54">
        <v>19436.099609375</v>
      </c>
      <c r="G873" s="53">
        <f t="shared" si="27"/>
        <v>-4.7443072713307301E-3</v>
      </c>
    </row>
    <row r="874" spans="1:7" ht="13.5" customHeight="1" x14ac:dyDescent="0.3">
      <c r="A874" s="52">
        <v>45204</v>
      </c>
      <c r="B874" s="27">
        <v>94.4</v>
      </c>
      <c r="C874" s="53">
        <f t="shared" si="26"/>
        <v>-1.058201058200998E-3</v>
      </c>
      <c r="E874" s="52">
        <v>45204</v>
      </c>
      <c r="F874" s="54">
        <v>19545.75</v>
      </c>
      <c r="G874" s="53">
        <f t="shared" si="27"/>
        <v>5.6415841052857201E-3</v>
      </c>
    </row>
    <row r="875" spans="1:7" ht="13.5" customHeight="1" x14ac:dyDescent="0.3">
      <c r="A875" s="52">
        <v>45205</v>
      </c>
      <c r="B875" s="27">
        <v>94.95</v>
      </c>
      <c r="C875" s="53">
        <f t="shared" si="26"/>
        <v>5.8262711864406477E-3</v>
      </c>
      <c r="E875" s="52">
        <v>45205</v>
      </c>
      <c r="F875" s="54">
        <v>19653.5</v>
      </c>
      <c r="G875" s="53">
        <f t="shared" si="27"/>
        <v>5.512707366051443E-3</v>
      </c>
    </row>
    <row r="876" spans="1:7" ht="13.5" customHeight="1" x14ac:dyDescent="0.3">
      <c r="A876" s="52">
        <v>45208</v>
      </c>
      <c r="B876" s="27">
        <v>93.6</v>
      </c>
      <c r="C876" s="53">
        <f t="shared" si="26"/>
        <v>-1.4218009478673075E-2</v>
      </c>
      <c r="E876" s="52">
        <v>45208</v>
      </c>
      <c r="F876" s="54">
        <v>19512.349609375</v>
      </c>
      <c r="G876" s="53">
        <f t="shared" si="27"/>
        <v>-7.181946758847025E-3</v>
      </c>
    </row>
    <row r="877" spans="1:7" ht="13.5" customHeight="1" x14ac:dyDescent="0.3">
      <c r="A877" s="52">
        <v>45209</v>
      </c>
      <c r="B877" s="27">
        <v>97</v>
      </c>
      <c r="C877" s="53">
        <f t="shared" si="26"/>
        <v>3.632478632478639E-2</v>
      </c>
      <c r="E877" s="52">
        <v>45209</v>
      </c>
      <c r="F877" s="54">
        <v>19689.849609375</v>
      </c>
      <c r="G877" s="53">
        <f t="shared" si="27"/>
        <v>9.0968029762401072E-3</v>
      </c>
    </row>
    <row r="878" spans="1:7" ht="13.5" customHeight="1" x14ac:dyDescent="0.3">
      <c r="A878" s="52">
        <v>45210</v>
      </c>
      <c r="B878" s="27">
        <v>95.8</v>
      </c>
      <c r="C878" s="53">
        <f t="shared" si="26"/>
        <v>-1.2371134020618586E-2</v>
      </c>
      <c r="E878" s="52">
        <v>45210</v>
      </c>
      <c r="F878" s="54">
        <v>19811.349609375</v>
      </c>
      <c r="G878" s="53">
        <f t="shared" si="27"/>
        <v>6.1706921287072586E-3</v>
      </c>
    </row>
    <row r="879" spans="1:7" ht="13.5" customHeight="1" x14ac:dyDescent="0.3">
      <c r="A879" s="52">
        <v>45211</v>
      </c>
      <c r="B879" s="27">
        <v>99.75</v>
      </c>
      <c r="C879" s="53">
        <f t="shared" si="26"/>
        <v>4.1231732776617985E-2</v>
      </c>
      <c r="E879" s="52">
        <v>45211</v>
      </c>
      <c r="F879" s="54">
        <v>19794</v>
      </c>
      <c r="G879" s="53">
        <f t="shared" si="27"/>
        <v>-8.7574091200681898E-4</v>
      </c>
    </row>
    <row r="880" spans="1:7" ht="13.5" customHeight="1" x14ac:dyDescent="0.3">
      <c r="A880" s="52">
        <v>45212</v>
      </c>
      <c r="B880" s="27">
        <v>99</v>
      </c>
      <c r="C880" s="53">
        <f t="shared" si="26"/>
        <v>-7.5187969924812026E-3</v>
      </c>
      <c r="E880" s="52">
        <v>45212</v>
      </c>
      <c r="F880" s="54">
        <v>19751.05078125</v>
      </c>
      <c r="G880" s="53">
        <f t="shared" si="27"/>
        <v>-2.1698099802970596E-3</v>
      </c>
    </row>
    <row r="881" spans="1:7" ht="13.5" customHeight="1" x14ac:dyDescent="0.3">
      <c r="A881" s="52">
        <v>45215</v>
      </c>
      <c r="B881" s="27">
        <v>100.4</v>
      </c>
      <c r="C881" s="53">
        <f t="shared" si="26"/>
        <v>1.41414141414142E-2</v>
      </c>
      <c r="E881" s="52">
        <v>45215</v>
      </c>
      <c r="F881" s="54">
        <v>19731.75</v>
      </c>
      <c r="G881" s="53">
        <f t="shared" si="27"/>
        <v>-9.7720275562870559E-4</v>
      </c>
    </row>
    <row r="882" spans="1:7" ht="13.5" customHeight="1" x14ac:dyDescent="0.3">
      <c r="A882" s="52">
        <v>45216</v>
      </c>
      <c r="B882" s="27">
        <v>99.6</v>
      </c>
      <c r="C882" s="53">
        <f t="shared" si="26"/>
        <v>-7.9681274900399533E-3</v>
      </c>
      <c r="E882" s="52">
        <v>45216</v>
      </c>
      <c r="F882" s="54">
        <v>19811.5</v>
      </c>
      <c r="G882" s="53">
        <f t="shared" si="27"/>
        <v>4.0417094276990126E-3</v>
      </c>
    </row>
    <row r="883" spans="1:7" ht="13.5" customHeight="1" x14ac:dyDescent="0.3">
      <c r="A883" s="52">
        <v>45217</v>
      </c>
      <c r="B883" s="27">
        <v>98.5</v>
      </c>
      <c r="C883" s="53">
        <f t="shared" si="26"/>
        <v>-1.1044176706827252E-2</v>
      </c>
      <c r="E883" s="52">
        <v>45217</v>
      </c>
      <c r="F883" s="54">
        <v>19671.099609375</v>
      </c>
      <c r="G883" s="53">
        <f t="shared" si="27"/>
        <v>-7.0868127413371024E-3</v>
      </c>
    </row>
    <row r="884" spans="1:7" ht="13.5" customHeight="1" x14ac:dyDescent="0.3">
      <c r="A884" s="52">
        <v>45218</v>
      </c>
      <c r="B884" s="27">
        <v>97.95</v>
      </c>
      <c r="C884" s="53">
        <f t="shared" si="26"/>
        <v>-5.5837563451776361E-3</v>
      </c>
      <c r="E884" s="52">
        <v>45218</v>
      </c>
      <c r="F884" s="54">
        <v>19624.69921875</v>
      </c>
      <c r="G884" s="53">
        <f t="shared" si="27"/>
        <v>-2.3588102112444267E-3</v>
      </c>
    </row>
    <row r="885" spans="1:7" ht="13.5" customHeight="1" x14ac:dyDescent="0.3">
      <c r="A885" s="52">
        <v>45219</v>
      </c>
      <c r="B885" s="27">
        <v>94.65</v>
      </c>
      <c r="C885" s="53">
        <f t="shared" si="26"/>
        <v>-3.369065849923427E-2</v>
      </c>
      <c r="E885" s="52">
        <v>45219</v>
      </c>
      <c r="F885" s="54">
        <v>19542.650390625</v>
      </c>
      <c r="G885" s="53">
        <f t="shared" si="27"/>
        <v>-4.1808960845936532E-3</v>
      </c>
    </row>
    <row r="886" spans="1:7" ht="13.5" customHeight="1" x14ac:dyDescent="0.3">
      <c r="A886" s="52">
        <v>45222</v>
      </c>
      <c r="B886" s="27">
        <v>89.7</v>
      </c>
      <c r="C886" s="53">
        <f t="shared" si="26"/>
        <v>-5.2297939778129979E-2</v>
      </c>
      <c r="E886" s="52">
        <v>45222</v>
      </c>
      <c r="F886" s="54">
        <v>19281.75</v>
      </c>
      <c r="G886" s="53">
        <f t="shared" si="27"/>
        <v>-1.3350307425555702E-2</v>
      </c>
    </row>
    <row r="887" spans="1:7" ht="13.5" customHeight="1" x14ac:dyDescent="0.3">
      <c r="A887" s="52">
        <v>45224</v>
      </c>
      <c r="B887" s="27">
        <v>91.65</v>
      </c>
      <c r="C887" s="53">
        <f t="shared" si="26"/>
        <v>2.1739130434782639E-2</v>
      </c>
      <c r="E887" s="52">
        <v>45224</v>
      </c>
      <c r="F887" s="54">
        <v>19122.150390625</v>
      </c>
      <c r="G887" s="53">
        <f t="shared" si="27"/>
        <v>-8.2772367329210263E-3</v>
      </c>
    </row>
    <row r="888" spans="1:7" ht="13.5" customHeight="1" x14ac:dyDescent="0.3">
      <c r="A888" s="52">
        <v>45225</v>
      </c>
      <c r="B888" s="27">
        <v>90.1</v>
      </c>
      <c r="C888" s="53">
        <f t="shared" si="26"/>
        <v>-1.6912165848336182E-2</v>
      </c>
      <c r="E888" s="52">
        <v>45225</v>
      </c>
      <c r="F888" s="54">
        <v>18857.25</v>
      </c>
      <c r="G888" s="53">
        <f t="shared" si="27"/>
        <v>-1.385306491234754E-2</v>
      </c>
    </row>
    <row r="889" spans="1:7" ht="13.5" customHeight="1" x14ac:dyDescent="0.3">
      <c r="A889" s="52">
        <v>45226</v>
      </c>
      <c r="B889" s="27">
        <v>91.2</v>
      </c>
      <c r="C889" s="53">
        <f t="shared" si="26"/>
        <v>1.2208657047724846E-2</v>
      </c>
      <c r="E889" s="52">
        <v>45226</v>
      </c>
      <c r="F889" s="54">
        <v>19047.25</v>
      </c>
      <c r="G889" s="53">
        <f t="shared" si="27"/>
        <v>1.007570032746026E-2</v>
      </c>
    </row>
    <row r="890" spans="1:7" ht="13.5" customHeight="1" x14ac:dyDescent="0.3">
      <c r="A890" s="52">
        <v>45229</v>
      </c>
      <c r="B890" s="27">
        <v>92.05</v>
      </c>
      <c r="C890" s="53">
        <f t="shared" si="26"/>
        <v>9.3201754385964283E-3</v>
      </c>
      <c r="E890" s="52">
        <v>45229</v>
      </c>
      <c r="F890" s="54">
        <v>19140.900390625</v>
      </c>
      <c r="G890" s="53">
        <f t="shared" si="27"/>
        <v>4.9167407696649118E-3</v>
      </c>
    </row>
    <row r="891" spans="1:7" ht="13.5" customHeight="1" x14ac:dyDescent="0.3">
      <c r="A891" s="52">
        <v>45230</v>
      </c>
      <c r="B891" s="27">
        <v>92.25</v>
      </c>
      <c r="C891" s="53">
        <f t="shared" si="26"/>
        <v>2.1727322107550555E-3</v>
      </c>
      <c r="E891" s="52">
        <v>45230</v>
      </c>
      <c r="F891" s="54">
        <v>19079.599609375</v>
      </c>
      <c r="G891" s="53">
        <f t="shared" si="27"/>
        <v>-3.2026069828995319E-3</v>
      </c>
    </row>
    <row r="892" spans="1:7" ht="13.5" customHeight="1" x14ac:dyDescent="0.3">
      <c r="A892" s="52">
        <v>45231</v>
      </c>
      <c r="B892" s="27">
        <v>91.75</v>
      </c>
      <c r="C892" s="53">
        <f t="shared" si="26"/>
        <v>-5.4200542005420054E-3</v>
      </c>
      <c r="E892" s="52">
        <v>45231</v>
      </c>
      <c r="F892" s="54">
        <v>18989.150390625</v>
      </c>
      <c r="G892" s="53">
        <f t="shared" si="27"/>
        <v>-4.7406245729368791E-3</v>
      </c>
    </row>
    <row r="893" spans="1:7" ht="13.5" customHeight="1" x14ac:dyDescent="0.3">
      <c r="A893" s="52">
        <v>45232</v>
      </c>
      <c r="B893" s="27">
        <v>93.4</v>
      </c>
      <c r="C893" s="53">
        <f t="shared" si="26"/>
        <v>1.7983651226158099E-2</v>
      </c>
      <c r="E893" s="52">
        <v>45232</v>
      </c>
      <c r="F893" s="54">
        <v>19133.25</v>
      </c>
      <c r="G893" s="53">
        <f t="shared" si="27"/>
        <v>7.5885232572670764E-3</v>
      </c>
    </row>
    <row r="894" spans="1:7" ht="13.5" customHeight="1" x14ac:dyDescent="0.3">
      <c r="A894" s="52">
        <v>45233</v>
      </c>
      <c r="B894" s="27">
        <v>93.05</v>
      </c>
      <c r="C894" s="53">
        <f t="shared" si="26"/>
        <v>-3.7473233404711833E-3</v>
      </c>
      <c r="E894" s="52">
        <v>45233</v>
      </c>
      <c r="F894" s="54">
        <v>19230.599609375</v>
      </c>
      <c r="G894" s="53">
        <f t="shared" si="27"/>
        <v>5.0879808383311777E-3</v>
      </c>
    </row>
    <row r="895" spans="1:7" ht="13.5" customHeight="1" x14ac:dyDescent="0.3">
      <c r="A895" s="52">
        <v>45236</v>
      </c>
      <c r="B895" s="27">
        <v>94.95</v>
      </c>
      <c r="C895" s="53">
        <f t="shared" si="26"/>
        <v>2.0419129500268734E-2</v>
      </c>
      <c r="E895" s="52">
        <v>45236</v>
      </c>
      <c r="F895" s="54">
        <v>19411.75</v>
      </c>
      <c r="G895" s="53">
        <f t="shared" si="27"/>
        <v>9.4199033989916994E-3</v>
      </c>
    </row>
    <row r="896" spans="1:7" ht="13.5" customHeight="1" x14ac:dyDescent="0.3">
      <c r="A896" s="52">
        <v>45237</v>
      </c>
      <c r="B896" s="27">
        <v>93.7</v>
      </c>
      <c r="C896" s="53">
        <f t="shared" si="26"/>
        <v>-1.3164823591363875E-2</v>
      </c>
      <c r="E896" s="52">
        <v>45237</v>
      </c>
      <c r="F896" s="54">
        <v>19406.69921875</v>
      </c>
      <c r="G896" s="53">
        <f t="shared" si="27"/>
        <v>-2.6019195847875644E-4</v>
      </c>
    </row>
    <row r="897" spans="1:7" ht="13.5" customHeight="1" x14ac:dyDescent="0.3">
      <c r="A897" s="52">
        <v>45238</v>
      </c>
      <c r="B897" s="27">
        <v>94</v>
      </c>
      <c r="C897" s="53">
        <f t="shared" si="26"/>
        <v>3.2017075773745694E-3</v>
      </c>
      <c r="E897" s="52">
        <v>45238</v>
      </c>
      <c r="F897" s="54">
        <v>19443.5</v>
      </c>
      <c r="G897" s="53">
        <f t="shared" si="27"/>
        <v>1.8962926582818634E-3</v>
      </c>
    </row>
    <row r="898" spans="1:7" ht="13.5" customHeight="1" x14ac:dyDescent="0.3">
      <c r="A898" s="52">
        <v>45239</v>
      </c>
      <c r="B898" s="27">
        <v>90.4</v>
      </c>
      <c r="C898" s="53">
        <f t="shared" si="26"/>
        <v>-3.8297872340425469E-2</v>
      </c>
      <c r="E898" s="52">
        <v>45239</v>
      </c>
      <c r="F898" s="54">
        <v>19395.30078125</v>
      </c>
      <c r="G898" s="53">
        <f t="shared" si="27"/>
        <v>-2.4789373698151053E-3</v>
      </c>
    </row>
    <row r="899" spans="1:7" ht="13.5" customHeight="1" x14ac:dyDescent="0.3">
      <c r="A899" s="52">
        <v>45240</v>
      </c>
      <c r="B899" s="27">
        <v>91.3</v>
      </c>
      <c r="C899" s="53">
        <f t="shared" si="26"/>
        <v>9.955752212389285E-3</v>
      </c>
      <c r="E899" s="52">
        <v>45240</v>
      </c>
      <c r="F899" s="54">
        <v>19425.349609375</v>
      </c>
      <c r="G899" s="53">
        <f t="shared" si="27"/>
        <v>1.5492839458333678E-3</v>
      </c>
    </row>
    <row r="900" spans="1:7" ht="13.5" customHeight="1" x14ac:dyDescent="0.3">
      <c r="A900" s="52">
        <v>45243</v>
      </c>
      <c r="B900" s="27">
        <v>92.1</v>
      </c>
      <c r="C900" s="53">
        <f t="shared" si="26"/>
        <v>8.7623220153340321E-3</v>
      </c>
      <c r="E900" s="52">
        <v>45243</v>
      </c>
      <c r="F900" s="54">
        <v>19443.55078125</v>
      </c>
      <c r="G900" s="53">
        <f t="shared" si="27"/>
        <v>9.3698040143461864E-4</v>
      </c>
    </row>
    <row r="901" spans="1:7" ht="13.5" customHeight="1" x14ac:dyDescent="0.3">
      <c r="A901" s="52">
        <v>45245</v>
      </c>
      <c r="B901" s="27">
        <v>93.85</v>
      </c>
      <c r="C901" s="53">
        <f t="shared" ref="C901:C964" si="28">(B901-B900)/B900</f>
        <v>1.9001085776330078E-2</v>
      </c>
      <c r="E901" s="52">
        <v>45245</v>
      </c>
      <c r="F901" s="54">
        <v>19675.44921875</v>
      </c>
      <c r="G901" s="53">
        <f t="shared" ref="G901:G964" si="29">(F901-F900)/F900</f>
        <v>1.1926753508604336E-2</v>
      </c>
    </row>
    <row r="902" spans="1:7" ht="13.5" customHeight="1" x14ac:dyDescent="0.3">
      <c r="A902" s="52">
        <v>45246</v>
      </c>
      <c r="B902" s="27">
        <v>93.55</v>
      </c>
      <c r="C902" s="53">
        <f t="shared" si="28"/>
        <v>-3.1965903036760487E-3</v>
      </c>
      <c r="E902" s="52">
        <v>45246</v>
      </c>
      <c r="F902" s="54">
        <v>19765.19921875</v>
      </c>
      <c r="G902" s="53">
        <f t="shared" si="29"/>
        <v>4.5615222809993819E-3</v>
      </c>
    </row>
    <row r="903" spans="1:7" ht="13.5" customHeight="1" x14ac:dyDescent="0.3">
      <c r="A903" s="52">
        <v>45247</v>
      </c>
      <c r="B903" s="27">
        <v>92.75</v>
      </c>
      <c r="C903" s="53">
        <f t="shared" si="28"/>
        <v>-8.5515766969534706E-3</v>
      </c>
      <c r="E903" s="52">
        <v>45247</v>
      </c>
      <c r="F903" s="54">
        <v>19731.80078125</v>
      </c>
      <c r="G903" s="53">
        <f t="shared" si="29"/>
        <v>-1.6897597201204532E-3</v>
      </c>
    </row>
    <row r="904" spans="1:7" ht="13.5" customHeight="1" x14ac:dyDescent="0.3">
      <c r="A904" s="52">
        <v>45250</v>
      </c>
      <c r="B904" s="27">
        <v>92.6</v>
      </c>
      <c r="C904" s="53">
        <f t="shared" si="28"/>
        <v>-1.6172506738545086E-3</v>
      </c>
      <c r="E904" s="52">
        <v>45250</v>
      </c>
      <c r="F904" s="54">
        <v>19694</v>
      </c>
      <c r="G904" s="53">
        <f t="shared" si="29"/>
        <v>-1.9157289123818803E-3</v>
      </c>
    </row>
    <row r="905" spans="1:7" ht="13.5" customHeight="1" x14ac:dyDescent="0.3">
      <c r="A905" s="52">
        <v>45251</v>
      </c>
      <c r="B905" s="27">
        <v>93.7</v>
      </c>
      <c r="C905" s="53">
        <f t="shared" si="28"/>
        <v>1.187904967602601E-2</v>
      </c>
      <c r="E905" s="52">
        <v>45251</v>
      </c>
      <c r="F905" s="54">
        <v>19783.400390625</v>
      </c>
      <c r="G905" s="53">
        <f t="shared" si="29"/>
        <v>4.5394734754239871E-3</v>
      </c>
    </row>
    <row r="906" spans="1:7" ht="13.5" customHeight="1" x14ac:dyDescent="0.3">
      <c r="A906" s="52">
        <v>45252</v>
      </c>
      <c r="B906" s="27">
        <v>91.4</v>
      </c>
      <c r="C906" s="53">
        <f t="shared" si="28"/>
        <v>-2.4546424759871902E-2</v>
      </c>
      <c r="E906" s="52">
        <v>45252</v>
      </c>
      <c r="F906" s="54">
        <v>19811.849609375</v>
      </c>
      <c r="G906" s="53">
        <f t="shared" si="29"/>
        <v>1.438034826585301E-3</v>
      </c>
    </row>
    <row r="907" spans="1:7" ht="13.5" customHeight="1" x14ac:dyDescent="0.3">
      <c r="A907" s="52">
        <v>45253</v>
      </c>
      <c r="B907" s="27">
        <v>90.95</v>
      </c>
      <c r="C907" s="53">
        <f t="shared" si="28"/>
        <v>-4.9234135667396367E-3</v>
      </c>
      <c r="E907" s="52">
        <v>45253</v>
      </c>
      <c r="F907" s="54">
        <v>19802</v>
      </c>
      <c r="G907" s="53">
        <f t="shared" si="29"/>
        <v>-4.9715748752398909E-4</v>
      </c>
    </row>
    <row r="908" spans="1:7" ht="13.5" customHeight="1" x14ac:dyDescent="0.3">
      <c r="A908" s="52">
        <v>45254</v>
      </c>
      <c r="B908" s="27">
        <v>91.05</v>
      </c>
      <c r="C908" s="53">
        <f t="shared" si="28"/>
        <v>1.099505222649745E-3</v>
      </c>
      <c r="E908" s="52">
        <v>45254</v>
      </c>
      <c r="F908" s="54">
        <v>19794.69921875</v>
      </c>
      <c r="G908" s="53">
        <f t="shared" si="29"/>
        <v>-3.6868908443591557E-4</v>
      </c>
    </row>
    <row r="909" spans="1:7" ht="13.5" customHeight="1" x14ac:dyDescent="0.3">
      <c r="A909" s="52">
        <v>45258</v>
      </c>
      <c r="B909" s="27">
        <v>92</v>
      </c>
      <c r="C909" s="53">
        <f t="shared" si="28"/>
        <v>1.0433827567270761E-2</v>
      </c>
      <c r="E909" s="52">
        <v>45258</v>
      </c>
      <c r="F909" s="54">
        <v>19889.69921875</v>
      </c>
      <c r="G909" s="53">
        <f t="shared" si="29"/>
        <v>4.7992646389905125E-3</v>
      </c>
    </row>
    <row r="910" spans="1:7" ht="13.5" customHeight="1" x14ac:dyDescent="0.3">
      <c r="A910" s="52">
        <v>45259</v>
      </c>
      <c r="B910" s="27">
        <v>92.05</v>
      </c>
      <c r="C910" s="53">
        <f t="shared" si="28"/>
        <v>5.4347826086953432E-4</v>
      </c>
      <c r="E910" s="52">
        <v>45259</v>
      </c>
      <c r="F910" s="54">
        <v>20096.599609375</v>
      </c>
      <c r="G910" s="53">
        <f t="shared" si="29"/>
        <v>1.0402389113554579E-2</v>
      </c>
    </row>
    <row r="911" spans="1:7" ht="13.5" customHeight="1" x14ac:dyDescent="0.3">
      <c r="A911" s="52">
        <v>45260</v>
      </c>
      <c r="B911" s="27">
        <v>92</v>
      </c>
      <c r="C911" s="53">
        <f t="shared" si="28"/>
        <v>-5.4318305268872527E-4</v>
      </c>
      <c r="E911" s="52">
        <v>45260</v>
      </c>
      <c r="F911" s="54">
        <v>20133.150390625</v>
      </c>
      <c r="G911" s="53">
        <f t="shared" si="29"/>
        <v>1.8187545137212753E-3</v>
      </c>
    </row>
    <row r="912" spans="1:7" ht="13.5" customHeight="1" x14ac:dyDescent="0.3">
      <c r="A912" s="52">
        <v>45261</v>
      </c>
      <c r="B912" s="27">
        <v>93.75</v>
      </c>
      <c r="C912" s="53">
        <f t="shared" si="28"/>
        <v>1.9021739130434784E-2</v>
      </c>
      <c r="E912" s="52">
        <v>45261</v>
      </c>
      <c r="F912" s="54">
        <v>20267.900390625</v>
      </c>
      <c r="G912" s="53">
        <f t="shared" si="29"/>
        <v>6.6929416105065368E-3</v>
      </c>
    </row>
    <row r="913" spans="1:7" ht="13.5" customHeight="1" x14ac:dyDescent="0.3">
      <c r="A913" s="52">
        <v>45264</v>
      </c>
      <c r="B913" s="27">
        <v>96.95</v>
      </c>
      <c r="C913" s="53">
        <f t="shared" si="28"/>
        <v>3.4133333333333363E-2</v>
      </c>
      <c r="E913" s="52">
        <v>45264</v>
      </c>
      <c r="F913" s="54">
        <v>20686.80078125</v>
      </c>
      <c r="G913" s="53">
        <f t="shared" si="29"/>
        <v>2.0668169003769332E-2</v>
      </c>
    </row>
    <row r="914" spans="1:7" ht="13.5" customHeight="1" x14ac:dyDescent="0.3">
      <c r="A914" s="52">
        <v>45265</v>
      </c>
      <c r="B914" s="27">
        <v>96.25</v>
      </c>
      <c r="C914" s="53">
        <f t="shared" si="28"/>
        <v>-7.2202166064982238E-3</v>
      </c>
      <c r="E914" s="52">
        <v>45265</v>
      </c>
      <c r="F914" s="54">
        <v>20855.099609375</v>
      </c>
      <c r="G914" s="53">
        <f t="shared" si="29"/>
        <v>8.1355657602475619E-3</v>
      </c>
    </row>
    <row r="915" spans="1:7" ht="13.5" customHeight="1" x14ac:dyDescent="0.3">
      <c r="A915" s="52">
        <v>45266</v>
      </c>
      <c r="B915" s="27">
        <v>99.25</v>
      </c>
      <c r="C915" s="53">
        <f t="shared" si="28"/>
        <v>3.1168831168831169E-2</v>
      </c>
      <c r="E915" s="52">
        <v>45266</v>
      </c>
      <c r="F915" s="54">
        <v>20937.69921875</v>
      </c>
      <c r="G915" s="53">
        <f t="shared" si="29"/>
        <v>3.9606432442005199E-3</v>
      </c>
    </row>
    <row r="916" spans="1:7" ht="13.5" customHeight="1" x14ac:dyDescent="0.3">
      <c r="A916" s="52">
        <v>45267</v>
      </c>
      <c r="B916" s="27">
        <v>99.05</v>
      </c>
      <c r="C916" s="53">
        <f t="shared" si="28"/>
        <v>-2.0151133501259732E-3</v>
      </c>
      <c r="E916" s="52">
        <v>45267</v>
      </c>
      <c r="F916" s="54">
        <v>20901.150390625</v>
      </c>
      <c r="G916" s="53">
        <f t="shared" si="29"/>
        <v>-1.7455990623969808E-3</v>
      </c>
    </row>
    <row r="917" spans="1:7" ht="13.5" customHeight="1" x14ac:dyDescent="0.3">
      <c r="A917" s="52">
        <v>45268</v>
      </c>
      <c r="B917" s="27">
        <v>97.45</v>
      </c>
      <c r="C917" s="53">
        <f t="shared" si="28"/>
        <v>-1.6153457849570868E-2</v>
      </c>
      <c r="E917" s="52">
        <v>45268</v>
      </c>
      <c r="F917" s="54">
        <v>20969.400390625</v>
      </c>
      <c r="G917" s="53">
        <f t="shared" si="29"/>
        <v>3.2653705047073797E-3</v>
      </c>
    </row>
    <row r="918" spans="1:7" ht="13.5" customHeight="1" x14ac:dyDescent="0.3">
      <c r="A918" s="52">
        <v>45271</v>
      </c>
      <c r="B918" s="27">
        <v>98</v>
      </c>
      <c r="C918" s="53">
        <f t="shared" si="28"/>
        <v>5.6439199589532803E-3</v>
      </c>
      <c r="E918" s="52">
        <v>45271</v>
      </c>
      <c r="F918" s="54">
        <v>20997.099609375</v>
      </c>
      <c r="G918" s="53">
        <f t="shared" si="29"/>
        <v>1.3209351833628857E-3</v>
      </c>
    </row>
    <row r="919" spans="1:7" ht="13.5" customHeight="1" x14ac:dyDescent="0.3">
      <c r="A919" s="52">
        <v>45272</v>
      </c>
      <c r="B919" s="27">
        <v>96.95</v>
      </c>
      <c r="C919" s="53">
        <f t="shared" si="28"/>
        <v>-1.0714285714285685E-2</v>
      </c>
      <c r="E919" s="52">
        <v>45272</v>
      </c>
      <c r="F919" s="54">
        <v>20906.400390625</v>
      </c>
      <c r="G919" s="53">
        <f t="shared" si="29"/>
        <v>-4.3196070141755995E-3</v>
      </c>
    </row>
    <row r="920" spans="1:7" ht="13.5" customHeight="1" x14ac:dyDescent="0.3">
      <c r="A920" s="52">
        <v>45273</v>
      </c>
      <c r="B920" s="27">
        <v>98.95</v>
      </c>
      <c r="C920" s="53">
        <f t="shared" si="28"/>
        <v>2.0629190304280558E-2</v>
      </c>
      <c r="E920" s="52">
        <v>45273</v>
      </c>
      <c r="F920" s="54">
        <v>20926.349609375</v>
      </c>
      <c r="G920" s="53">
        <f t="shared" si="29"/>
        <v>9.5421585625738684E-4</v>
      </c>
    </row>
    <row r="921" spans="1:7" ht="13.5" customHeight="1" x14ac:dyDescent="0.3">
      <c r="A921" s="52">
        <v>45274</v>
      </c>
      <c r="B921" s="27">
        <v>104.25</v>
      </c>
      <c r="C921" s="53">
        <f t="shared" si="28"/>
        <v>5.356240525517935E-2</v>
      </c>
      <c r="E921" s="52">
        <v>45274</v>
      </c>
      <c r="F921" s="54">
        <v>21182.69921875</v>
      </c>
      <c r="G921" s="53">
        <f t="shared" si="29"/>
        <v>1.2250087289956937E-2</v>
      </c>
    </row>
    <row r="922" spans="1:7" ht="13.5" customHeight="1" x14ac:dyDescent="0.3">
      <c r="A922" s="52">
        <v>45275</v>
      </c>
      <c r="B922" s="27">
        <v>110.7</v>
      </c>
      <c r="C922" s="53">
        <f t="shared" si="28"/>
        <v>6.1870503597122331E-2</v>
      </c>
      <c r="E922" s="52">
        <v>45275</v>
      </c>
      <c r="F922" s="54">
        <v>21456.650390625</v>
      </c>
      <c r="G922" s="53">
        <f t="shared" si="29"/>
        <v>1.2932779200891942E-2</v>
      </c>
    </row>
    <row r="923" spans="1:7" ht="13.5" customHeight="1" x14ac:dyDescent="0.3">
      <c r="A923" s="52">
        <v>45278</v>
      </c>
      <c r="B923" s="27">
        <v>115.5</v>
      </c>
      <c r="C923" s="53">
        <f t="shared" si="28"/>
        <v>4.3360433604336016E-2</v>
      </c>
      <c r="E923" s="52">
        <v>45278</v>
      </c>
      <c r="F923" s="54">
        <v>21418.650390625</v>
      </c>
      <c r="G923" s="53">
        <f t="shared" si="29"/>
        <v>-1.7710126840955215E-3</v>
      </c>
    </row>
    <row r="924" spans="1:7" ht="13.5" customHeight="1" x14ac:dyDescent="0.3">
      <c r="A924" s="52">
        <v>45279</v>
      </c>
      <c r="B924" s="27">
        <v>112.65</v>
      </c>
      <c r="C924" s="53">
        <f t="shared" si="28"/>
        <v>-2.4675324675324625E-2</v>
      </c>
      <c r="E924" s="52">
        <v>45279</v>
      </c>
      <c r="F924" s="54">
        <v>21453.099609375</v>
      </c>
      <c r="G924" s="53">
        <f t="shared" si="29"/>
        <v>1.6083748565725931E-3</v>
      </c>
    </row>
    <row r="925" spans="1:7" ht="13.5" customHeight="1" x14ac:dyDescent="0.3">
      <c r="A925" s="52">
        <v>45280</v>
      </c>
      <c r="B925" s="27">
        <v>104.3</v>
      </c>
      <c r="C925" s="53">
        <f t="shared" si="28"/>
        <v>-7.4123391034176728E-2</v>
      </c>
      <c r="E925" s="52">
        <v>45280</v>
      </c>
      <c r="F925" s="54">
        <v>21150.150390625</v>
      </c>
      <c r="G925" s="53">
        <f t="shared" si="29"/>
        <v>-1.412146609423336E-2</v>
      </c>
    </row>
    <row r="926" spans="1:7" ht="13.5" customHeight="1" x14ac:dyDescent="0.3">
      <c r="A926" s="52">
        <v>45281</v>
      </c>
      <c r="B926" s="27">
        <v>110.4</v>
      </c>
      <c r="C926" s="53">
        <f t="shared" si="28"/>
        <v>5.8485139022051859E-2</v>
      </c>
      <c r="E926" s="52">
        <v>45281</v>
      </c>
      <c r="F926" s="54">
        <v>21255.05078125</v>
      </c>
      <c r="G926" s="53">
        <f t="shared" si="29"/>
        <v>4.9597940765233554E-3</v>
      </c>
    </row>
    <row r="927" spans="1:7" ht="13.5" customHeight="1" x14ac:dyDescent="0.3">
      <c r="A927" s="52">
        <v>45282</v>
      </c>
      <c r="B927" s="27">
        <v>115.1</v>
      </c>
      <c r="C927" s="53">
        <f t="shared" si="28"/>
        <v>4.257246376811584E-2</v>
      </c>
      <c r="E927" s="52">
        <v>45282</v>
      </c>
      <c r="F927" s="54">
        <v>21349.400390625</v>
      </c>
      <c r="G927" s="53">
        <f t="shared" si="29"/>
        <v>4.4389265566107177E-3</v>
      </c>
    </row>
    <row r="928" spans="1:7" ht="13.5" customHeight="1" x14ac:dyDescent="0.3">
      <c r="A928" s="52">
        <v>45286</v>
      </c>
      <c r="B928" s="27">
        <v>115.35</v>
      </c>
      <c r="C928" s="53">
        <f t="shared" si="28"/>
        <v>2.1720243266724589E-3</v>
      </c>
      <c r="E928" s="52">
        <v>45286</v>
      </c>
      <c r="F928" s="54">
        <v>21441.349609375</v>
      </c>
      <c r="G928" s="53">
        <f t="shared" si="29"/>
        <v>4.3068759341071223E-3</v>
      </c>
    </row>
    <row r="929" spans="1:7" ht="13.5" customHeight="1" x14ac:dyDescent="0.3">
      <c r="A929" s="52">
        <v>45287</v>
      </c>
      <c r="B929" s="27">
        <v>117.85</v>
      </c>
      <c r="C929" s="53">
        <f t="shared" si="28"/>
        <v>2.1673168617251843E-2</v>
      </c>
      <c r="E929" s="52">
        <v>45287</v>
      </c>
      <c r="F929" s="54">
        <v>21654.75</v>
      </c>
      <c r="G929" s="53">
        <f t="shared" si="29"/>
        <v>9.9527499207276091E-3</v>
      </c>
    </row>
    <row r="930" spans="1:7" ht="13.5" customHeight="1" x14ac:dyDescent="0.3">
      <c r="A930" s="52">
        <v>45288</v>
      </c>
      <c r="B930" s="27">
        <v>128.6</v>
      </c>
      <c r="C930" s="53">
        <f t="shared" si="28"/>
        <v>9.1217649554518457E-2</v>
      </c>
      <c r="E930" s="52">
        <v>45288</v>
      </c>
      <c r="F930" s="54">
        <v>21778.69921875</v>
      </c>
      <c r="G930" s="53">
        <f t="shared" si="29"/>
        <v>5.7238813077962114E-3</v>
      </c>
    </row>
    <row r="931" spans="1:7" ht="13.5" customHeight="1" x14ac:dyDescent="0.3">
      <c r="A931" s="52">
        <v>45289</v>
      </c>
      <c r="B931" s="27">
        <v>131.94999999999999</v>
      </c>
      <c r="C931" s="53">
        <f t="shared" si="28"/>
        <v>2.6049766718506954E-2</v>
      </c>
      <c r="E931" s="52">
        <v>45289</v>
      </c>
      <c r="F931" s="54">
        <v>21731.400390625</v>
      </c>
      <c r="G931" s="53">
        <f t="shared" si="29"/>
        <v>-2.171793074045436E-3</v>
      </c>
    </row>
    <row r="932" spans="1:7" ht="13.5" customHeight="1" x14ac:dyDescent="0.3">
      <c r="A932" s="52">
        <v>45292</v>
      </c>
      <c r="B932" s="27">
        <v>136.15</v>
      </c>
      <c r="C932" s="53">
        <f t="shared" si="28"/>
        <v>3.1830238726790583E-2</v>
      </c>
      <c r="E932" s="52">
        <v>45292</v>
      </c>
      <c r="F932" s="54">
        <v>21741.900390625</v>
      </c>
      <c r="G932" s="53">
        <f t="shared" si="29"/>
        <v>4.8317180721265139E-4</v>
      </c>
    </row>
    <row r="933" spans="1:7" ht="13.5" customHeight="1" x14ac:dyDescent="0.3">
      <c r="A933" s="52">
        <v>45293</v>
      </c>
      <c r="B933" s="27">
        <v>139.05000000000001</v>
      </c>
      <c r="C933" s="53">
        <f t="shared" si="28"/>
        <v>2.1300036724201291E-2</v>
      </c>
      <c r="E933" s="52">
        <v>45293</v>
      </c>
      <c r="F933" s="54">
        <v>21665.80078125</v>
      </c>
      <c r="G933" s="53">
        <f t="shared" si="29"/>
        <v>-3.5001360510240297E-3</v>
      </c>
    </row>
    <row r="934" spans="1:7" ht="13.5" customHeight="1" x14ac:dyDescent="0.3">
      <c r="A934" s="52">
        <v>45294</v>
      </c>
      <c r="B934" s="27">
        <v>129.85</v>
      </c>
      <c r="C934" s="53">
        <f t="shared" si="28"/>
        <v>-6.6163250629270171E-2</v>
      </c>
      <c r="E934" s="52">
        <v>45294</v>
      </c>
      <c r="F934" s="54">
        <v>21517.349609375</v>
      </c>
      <c r="G934" s="53">
        <f t="shared" si="29"/>
        <v>-6.8518663756694607E-3</v>
      </c>
    </row>
    <row r="935" spans="1:7" ht="13.5" customHeight="1" x14ac:dyDescent="0.3">
      <c r="A935" s="52">
        <v>45295</v>
      </c>
      <c r="B935" s="27">
        <v>130.5</v>
      </c>
      <c r="C935" s="53">
        <f t="shared" si="28"/>
        <v>5.0057758952638098E-3</v>
      </c>
      <c r="E935" s="52">
        <v>45295</v>
      </c>
      <c r="F935" s="54">
        <v>21658.599609375</v>
      </c>
      <c r="G935" s="53">
        <f t="shared" si="29"/>
        <v>6.5644701863494422E-3</v>
      </c>
    </row>
    <row r="936" spans="1:7" ht="13.5" customHeight="1" x14ac:dyDescent="0.3">
      <c r="A936" s="52">
        <v>45296</v>
      </c>
      <c r="B936" s="27">
        <v>128.1</v>
      </c>
      <c r="C936" s="53">
        <f t="shared" si="28"/>
        <v>-1.8390804597701194E-2</v>
      </c>
      <c r="E936" s="52">
        <v>45296</v>
      </c>
      <c r="F936" s="54">
        <v>21710.80078125</v>
      </c>
      <c r="G936" s="53">
        <f t="shared" si="29"/>
        <v>2.4101822286056087E-3</v>
      </c>
    </row>
    <row r="937" spans="1:7" ht="13.5" customHeight="1" x14ac:dyDescent="0.3">
      <c r="A937" s="52">
        <v>45299</v>
      </c>
      <c r="B937" s="27">
        <v>123.75</v>
      </c>
      <c r="C937" s="53">
        <f t="shared" si="28"/>
        <v>-3.3957845433255224E-2</v>
      </c>
      <c r="E937" s="52">
        <v>45299</v>
      </c>
      <c r="F937" s="54">
        <v>21513</v>
      </c>
      <c r="G937" s="53">
        <f t="shared" si="29"/>
        <v>-9.1107086856430358E-3</v>
      </c>
    </row>
    <row r="938" spans="1:7" ht="13.5" customHeight="1" x14ac:dyDescent="0.3">
      <c r="A938" s="52">
        <v>45300</v>
      </c>
      <c r="B938" s="27">
        <v>128.44999999999999</v>
      </c>
      <c r="C938" s="53">
        <f t="shared" si="28"/>
        <v>3.7979797979797891E-2</v>
      </c>
      <c r="E938" s="52">
        <v>45300</v>
      </c>
      <c r="F938" s="54">
        <v>21544.849609375</v>
      </c>
      <c r="G938" s="53">
        <f t="shared" si="29"/>
        <v>1.4804820050667038E-3</v>
      </c>
    </row>
    <row r="939" spans="1:7" ht="13.5" customHeight="1" x14ac:dyDescent="0.3">
      <c r="A939" s="52">
        <v>45301</v>
      </c>
      <c r="B939" s="27">
        <v>130.69999999999999</v>
      </c>
      <c r="C939" s="53">
        <f t="shared" si="28"/>
        <v>1.7516543402101986E-2</v>
      </c>
      <c r="E939" s="52">
        <v>45301</v>
      </c>
      <c r="F939" s="54">
        <v>21618.69921875</v>
      </c>
      <c r="G939" s="53">
        <f t="shared" si="29"/>
        <v>3.4277152411806657E-3</v>
      </c>
    </row>
    <row r="940" spans="1:7" ht="13.5" customHeight="1" x14ac:dyDescent="0.3">
      <c r="A940" s="52">
        <v>45302</v>
      </c>
      <c r="B940" s="27">
        <v>130.4</v>
      </c>
      <c r="C940" s="53">
        <f t="shared" si="28"/>
        <v>-2.2953328232592422E-3</v>
      </c>
      <c r="E940" s="52">
        <v>45302</v>
      </c>
      <c r="F940" s="54">
        <v>21647.19921875</v>
      </c>
      <c r="G940" s="53">
        <f t="shared" si="29"/>
        <v>1.3183031833516521E-3</v>
      </c>
    </row>
    <row r="941" spans="1:7" ht="13.5" customHeight="1" x14ac:dyDescent="0.3">
      <c r="A941" s="52">
        <v>45303</v>
      </c>
      <c r="B941" s="27">
        <v>131.44999999999999</v>
      </c>
      <c r="C941" s="53">
        <f t="shared" si="28"/>
        <v>8.0521472392636722E-3</v>
      </c>
      <c r="E941" s="52">
        <v>45303</v>
      </c>
      <c r="F941" s="54">
        <v>21894.55078125</v>
      </c>
      <c r="G941" s="53">
        <f t="shared" si="29"/>
        <v>1.1426492637705911E-2</v>
      </c>
    </row>
    <row r="942" spans="1:7" ht="13.5" customHeight="1" x14ac:dyDescent="0.3">
      <c r="A942" s="52">
        <v>45306</v>
      </c>
      <c r="B942" s="27">
        <v>135.30000000000001</v>
      </c>
      <c r="C942" s="53">
        <f t="shared" si="28"/>
        <v>2.928870292887047E-2</v>
      </c>
      <c r="E942" s="52">
        <v>45306</v>
      </c>
      <c r="F942" s="54">
        <v>22097.44921875</v>
      </c>
      <c r="G942" s="53">
        <f t="shared" si="29"/>
        <v>9.2670746948486215E-3</v>
      </c>
    </row>
    <row r="943" spans="1:7" ht="13.5" customHeight="1" x14ac:dyDescent="0.3">
      <c r="A943" s="52">
        <v>45307</v>
      </c>
      <c r="B943" s="27">
        <v>138.9</v>
      </c>
      <c r="C943" s="53">
        <f t="shared" si="28"/>
        <v>2.6607538802660709E-2</v>
      </c>
      <c r="E943" s="52">
        <v>45307</v>
      </c>
      <c r="F943" s="54">
        <v>22032.30078125</v>
      </c>
      <c r="G943" s="53">
        <f t="shared" si="29"/>
        <v>-2.9482333845447023E-3</v>
      </c>
    </row>
    <row r="944" spans="1:7" ht="13.5" customHeight="1" x14ac:dyDescent="0.3">
      <c r="A944" s="52">
        <v>45308</v>
      </c>
      <c r="B944" s="27">
        <v>133.6</v>
      </c>
      <c r="C944" s="53">
        <f t="shared" si="28"/>
        <v>-3.8156947444204545E-2</v>
      </c>
      <c r="E944" s="52">
        <v>45308</v>
      </c>
      <c r="F944" s="54">
        <v>21571.94921875</v>
      </c>
      <c r="G944" s="53">
        <f t="shared" si="29"/>
        <v>-2.0894393512082492E-2</v>
      </c>
    </row>
    <row r="945" spans="1:7" ht="13.5" customHeight="1" x14ac:dyDescent="0.3">
      <c r="A945" s="52">
        <v>45309</v>
      </c>
      <c r="B945" s="27">
        <v>131.25</v>
      </c>
      <c r="C945" s="53">
        <f t="shared" si="28"/>
        <v>-1.7589820359281395E-2</v>
      </c>
      <c r="E945" s="52">
        <v>45309</v>
      </c>
      <c r="F945" s="54">
        <v>21462.25</v>
      </c>
      <c r="G945" s="53">
        <f t="shared" si="29"/>
        <v>-5.0852715087355742E-3</v>
      </c>
    </row>
    <row r="946" spans="1:7" ht="13.5" customHeight="1" x14ac:dyDescent="0.3">
      <c r="A946" s="52">
        <v>45310</v>
      </c>
      <c r="B946" s="27">
        <v>133.65</v>
      </c>
      <c r="C946" s="53">
        <f t="shared" si="28"/>
        <v>1.8285714285714329E-2</v>
      </c>
      <c r="E946" s="52">
        <v>45310</v>
      </c>
      <c r="F946" s="54">
        <v>21622.400390625</v>
      </c>
      <c r="G946" s="53">
        <f t="shared" si="29"/>
        <v>7.4619571864552878E-3</v>
      </c>
    </row>
    <row r="947" spans="1:7" ht="13.5" customHeight="1" x14ac:dyDescent="0.3">
      <c r="A947" s="52">
        <v>45314</v>
      </c>
      <c r="B947" s="27">
        <v>126.75</v>
      </c>
      <c r="C947" s="53">
        <f t="shared" si="28"/>
        <v>-5.1627384960718337E-2</v>
      </c>
      <c r="E947" s="52">
        <v>45314</v>
      </c>
      <c r="F947" s="54">
        <v>21238.80078125</v>
      </c>
      <c r="G947" s="53">
        <f t="shared" si="29"/>
        <v>-1.7740842942734536E-2</v>
      </c>
    </row>
    <row r="948" spans="1:7" ht="13.5" customHeight="1" x14ac:dyDescent="0.3">
      <c r="A948" s="52">
        <v>45315</v>
      </c>
      <c r="B948" s="27">
        <v>135.6</v>
      </c>
      <c r="C948" s="53">
        <f t="shared" si="28"/>
        <v>6.9822485207100549E-2</v>
      </c>
      <c r="E948" s="52">
        <v>45315</v>
      </c>
      <c r="F948" s="54">
        <v>21453.94921875</v>
      </c>
      <c r="G948" s="53">
        <f t="shared" si="29"/>
        <v>1.0129971071150917E-2</v>
      </c>
    </row>
    <row r="949" spans="1:7" ht="13.5" customHeight="1" x14ac:dyDescent="0.3">
      <c r="A949" s="52">
        <v>45316</v>
      </c>
      <c r="B949" s="27">
        <v>141.1</v>
      </c>
      <c r="C949" s="53">
        <f t="shared" si="28"/>
        <v>4.0560471976401183E-2</v>
      </c>
      <c r="E949" s="52">
        <v>45316</v>
      </c>
      <c r="F949" s="54">
        <v>21352.599609375</v>
      </c>
      <c r="G949" s="53">
        <f t="shared" si="29"/>
        <v>-4.7240537554001476E-3</v>
      </c>
    </row>
    <row r="950" spans="1:7" ht="13.5" customHeight="1" x14ac:dyDescent="0.3">
      <c r="A950" s="52">
        <v>45320</v>
      </c>
      <c r="B950" s="27">
        <v>145.35</v>
      </c>
      <c r="C950" s="53">
        <f t="shared" si="28"/>
        <v>3.0120481927710843E-2</v>
      </c>
      <c r="E950" s="52">
        <v>45320</v>
      </c>
      <c r="F950" s="54">
        <v>21737.599609375</v>
      </c>
      <c r="G950" s="53">
        <f t="shared" si="29"/>
        <v>1.8030591452244681E-2</v>
      </c>
    </row>
    <row r="951" spans="1:7" ht="13.5" customHeight="1" x14ac:dyDescent="0.3">
      <c r="A951" s="52">
        <v>45321</v>
      </c>
      <c r="B951" s="27">
        <v>145.6</v>
      </c>
      <c r="C951" s="53">
        <f t="shared" si="28"/>
        <v>1.7199862401100791E-3</v>
      </c>
      <c r="E951" s="52">
        <v>45321</v>
      </c>
      <c r="F951" s="54">
        <v>21522.099609375</v>
      </c>
      <c r="G951" s="53">
        <f t="shared" si="29"/>
        <v>-9.9136981024831768E-3</v>
      </c>
    </row>
    <row r="952" spans="1:7" ht="13.5" customHeight="1" x14ac:dyDescent="0.3">
      <c r="A952" s="52">
        <v>45322</v>
      </c>
      <c r="B952" s="27">
        <v>148.85</v>
      </c>
      <c r="C952" s="53">
        <f t="shared" si="28"/>
        <v>2.2321428571428572E-2</v>
      </c>
      <c r="E952" s="52">
        <v>45322</v>
      </c>
      <c r="F952" s="54">
        <v>21725.69921875</v>
      </c>
      <c r="G952" s="53">
        <f t="shared" si="29"/>
        <v>9.4600254190029057E-3</v>
      </c>
    </row>
    <row r="953" spans="1:7" ht="13.5" customHeight="1" x14ac:dyDescent="0.3">
      <c r="A953" s="52">
        <v>45323</v>
      </c>
      <c r="B953" s="27">
        <v>147.05000000000001</v>
      </c>
      <c r="C953" s="53">
        <f t="shared" si="28"/>
        <v>-1.2092710782667E-2</v>
      </c>
      <c r="E953" s="52">
        <v>45323</v>
      </c>
      <c r="F953" s="54">
        <v>21697.44921875</v>
      </c>
      <c r="G953" s="53">
        <f t="shared" si="29"/>
        <v>-1.3003033741542051E-3</v>
      </c>
    </row>
    <row r="954" spans="1:7" ht="13.5" customHeight="1" x14ac:dyDescent="0.3">
      <c r="A954" s="52">
        <v>45324</v>
      </c>
      <c r="B954" s="27">
        <v>153</v>
      </c>
      <c r="C954" s="53">
        <f t="shared" si="28"/>
        <v>4.0462427745664657E-2</v>
      </c>
      <c r="E954" s="52">
        <v>45324</v>
      </c>
      <c r="F954" s="54">
        <v>21853.80078125</v>
      </c>
      <c r="G954" s="53">
        <f t="shared" si="29"/>
        <v>7.2059881750933062E-3</v>
      </c>
    </row>
    <row r="955" spans="1:7" ht="13.5" customHeight="1" x14ac:dyDescent="0.3">
      <c r="A955" s="52">
        <v>45327</v>
      </c>
      <c r="B955" s="27">
        <v>155.75</v>
      </c>
      <c r="C955" s="53">
        <f t="shared" si="28"/>
        <v>1.7973856209150325E-2</v>
      </c>
      <c r="E955" s="52">
        <v>45327</v>
      </c>
      <c r="F955" s="54">
        <v>21771.69921875</v>
      </c>
      <c r="G955" s="53">
        <f t="shared" si="29"/>
        <v>-3.7568550808077758E-3</v>
      </c>
    </row>
    <row r="956" spans="1:7" ht="13.5" customHeight="1" x14ac:dyDescent="0.3">
      <c r="A956" s="52">
        <v>45328</v>
      </c>
      <c r="B956" s="27">
        <v>162.75</v>
      </c>
      <c r="C956" s="53">
        <f t="shared" si="28"/>
        <v>4.49438202247191E-2</v>
      </c>
      <c r="E956" s="52">
        <v>45328</v>
      </c>
      <c r="F956" s="54">
        <v>21929.400390625</v>
      </c>
      <c r="G956" s="53">
        <f t="shared" si="29"/>
        <v>7.243402101531249E-3</v>
      </c>
    </row>
    <row r="957" spans="1:7" ht="13.5" customHeight="1" x14ac:dyDescent="0.3">
      <c r="A957" s="52">
        <v>45329</v>
      </c>
      <c r="B957" s="27">
        <v>161.15</v>
      </c>
      <c r="C957" s="53">
        <f t="shared" si="28"/>
        <v>-9.8310291858678608E-3</v>
      </c>
      <c r="E957" s="52">
        <v>45329</v>
      </c>
      <c r="F957" s="54">
        <v>21930.5</v>
      </c>
      <c r="G957" s="53">
        <f t="shared" si="29"/>
        <v>5.0143157378351857E-5</v>
      </c>
    </row>
    <row r="958" spans="1:7" ht="13.5" customHeight="1" x14ac:dyDescent="0.3">
      <c r="A958" s="52">
        <v>45330</v>
      </c>
      <c r="B958" s="27">
        <v>160.9</v>
      </c>
      <c r="C958" s="53">
        <f t="shared" si="28"/>
        <v>-1.5513496742165683E-3</v>
      </c>
      <c r="E958" s="52">
        <v>45330</v>
      </c>
      <c r="F958" s="54">
        <v>21717.94921875</v>
      </c>
      <c r="G958" s="53">
        <f t="shared" si="29"/>
        <v>-9.6920171108729851E-3</v>
      </c>
    </row>
    <row r="959" spans="1:7" ht="13.5" customHeight="1" x14ac:dyDescent="0.3">
      <c r="A959" s="52">
        <v>45331</v>
      </c>
      <c r="B959" s="27">
        <v>157.5</v>
      </c>
      <c r="C959" s="53">
        <f t="shared" si="28"/>
        <v>-2.1131137352392824E-2</v>
      </c>
      <c r="E959" s="52">
        <v>45331</v>
      </c>
      <c r="F959" s="54">
        <v>21782.5</v>
      </c>
      <c r="G959" s="53">
        <f t="shared" si="29"/>
        <v>2.9722318898448593E-3</v>
      </c>
    </row>
    <row r="960" spans="1:7" ht="13.5" customHeight="1" x14ac:dyDescent="0.3">
      <c r="A960" s="52">
        <v>45334</v>
      </c>
      <c r="B960" s="27">
        <v>143.19999999999999</v>
      </c>
      <c r="C960" s="53">
        <f t="shared" si="28"/>
        <v>-9.0793650793650871E-2</v>
      </c>
      <c r="E960" s="52">
        <v>45334</v>
      </c>
      <c r="F960" s="54">
        <v>21616.05078125</v>
      </c>
      <c r="G960" s="53">
        <f t="shared" si="29"/>
        <v>-7.6414194307356824E-3</v>
      </c>
    </row>
    <row r="961" spans="1:7" ht="13.5" customHeight="1" x14ac:dyDescent="0.3">
      <c r="A961" s="52">
        <v>45335</v>
      </c>
      <c r="B961" s="27">
        <v>141.94999999999999</v>
      </c>
      <c r="C961" s="53">
        <f t="shared" si="28"/>
        <v>-8.7290502793296101E-3</v>
      </c>
      <c r="E961" s="52">
        <v>45335</v>
      </c>
      <c r="F961" s="54">
        <v>21743.25</v>
      </c>
      <c r="G961" s="53">
        <f t="shared" si="29"/>
        <v>5.8844800115076526E-3</v>
      </c>
    </row>
    <row r="962" spans="1:7" ht="13.5" customHeight="1" x14ac:dyDescent="0.3">
      <c r="A962" s="52">
        <v>45336</v>
      </c>
      <c r="B962" s="27">
        <v>155.9</v>
      </c>
      <c r="C962" s="53">
        <f t="shared" si="28"/>
        <v>9.8274040154984282E-2</v>
      </c>
      <c r="E962" s="52">
        <v>45336</v>
      </c>
      <c r="F962" s="54">
        <v>21840.05078125</v>
      </c>
      <c r="G962" s="53">
        <f t="shared" si="29"/>
        <v>4.4519922849619994E-3</v>
      </c>
    </row>
    <row r="963" spans="1:7" ht="13.5" customHeight="1" x14ac:dyDescent="0.3">
      <c r="A963" s="52">
        <v>45337</v>
      </c>
      <c r="B963" s="27">
        <v>157.25</v>
      </c>
      <c r="C963" s="53">
        <f t="shared" si="28"/>
        <v>8.6593970493905985E-3</v>
      </c>
      <c r="E963" s="52">
        <v>45337</v>
      </c>
      <c r="F963" s="54">
        <v>21910.75</v>
      </c>
      <c r="G963" s="53">
        <f t="shared" si="29"/>
        <v>3.2371361888359849E-3</v>
      </c>
    </row>
    <row r="964" spans="1:7" ht="13.5" customHeight="1" x14ac:dyDescent="0.3">
      <c r="A964" s="52">
        <v>45338</v>
      </c>
      <c r="B964" s="27">
        <v>162.75</v>
      </c>
      <c r="C964" s="53">
        <f t="shared" si="28"/>
        <v>3.4976152623211444E-2</v>
      </c>
      <c r="E964" s="52">
        <v>45338</v>
      </c>
      <c r="F964" s="54">
        <v>22040.69921875</v>
      </c>
      <c r="G964" s="53">
        <f t="shared" si="29"/>
        <v>5.9308430222607626E-3</v>
      </c>
    </row>
    <row r="965" spans="1:7" ht="13.5" customHeight="1" x14ac:dyDescent="0.3">
      <c r="A965" s="52">
        <v>45341</v>
      </c>
      <c r="B965" s="27">
        <v>160.6</v>
      </c>
      <c r="C965" s="53">
        <f t="shared" ref="C965:C1028" si="30">(B965-B964)/B964</f>
        <v>-1.321044546851002E-2</v>
      </c>
      <c r="E965" s="52">
        <v>45341</v>
      </c>
      <c r="F965" s="54">
        <v>22122.25</v>
      </c>
      <c r="G965" s="53">
        <f t="shared" ref="G965:G1028" si="31">(F965-F964)/F964</f>
        <v>3.7000088082788604E-3</v>
      </c>
    </row>
    <row r="966" spans="1:7" ht="13.5" customHeight="1" x14ac:dyDescent="0.3">
      <c r="A966" s="52">
        <v>45342</v>
      </c>
      <c r="B966" s="27">
        <v>160.25</v>
      </c>
      <c r="C966" s="53">
        <f t="shared" si="30"/>
        <v>-2.1793275217932397E-3</v>
      </c>
      <c r="E966" s="52">
        <v>45342</v>
      </c>
      <c r="F966" s="54">
        <v>22196.94921875</v>
      </c>
      <c r="G966" s="53">
        <f t="shared" si="31"/>
        <v>3.3766555730090748E-3</v>
      </c>
    </row>
    <row r="967" spans="1:7" ht="13.5" customHeight="1" x14ac:dyDescent="0.3">
      <c r="A967" s="52">
        <v>45343</v>
      </c>
      <c r="B967" s="27">
        <v>157.30000000000001</v>
      </c>
      <c r="C967" s="53">
        <f t="shared" si="30"/>
        <v>-1.8408736349453909E-2</v>
      </c>
      <c r="E967" s="52">
        <v>45343</v>
      </c>
      <c r="F967" s="54">
        <v>22055.05078125</v>
      </c>
      <c r="G967" s="53">
        <f t="shared" si="31"/>
        <v>-6.3927000103301077E-3</v>
      </c>
    </row>
    <row r="968" spans="1:7" ht="13.5" customHeight="1" x14ac:dyDescent="0.3">
      <c r="A968" s="52">
        <v>45344</v>
      </c>
      <c r="B968" s="27">
        <v>161.6</v>
      </c>
      <c r="C968" s="53">
        <f t="shared" si="30"/>
        <v>2.7336300063572679E-2</v>
      </c>
      <c r="E968" s="52">
        <v>45344</v>
      </c>
      <c r="F968" s="54">
        <v>22217.44921875</v>
      </c>
      <c r="G968" s="53">
        <f t="shared" si="31"/>
        <v>7.3633218581415499E-3</v>
      </c>
    </row>
    <row r="969" spans="1:7" ht="13.5" customHeight="1" x14ac:dyDescent="0.3">
      <c r="A969" s="52">
        <v>45345</v>
      </c>
      <c r="B969" s="27">
        <v>159</v>
      </c>
      <c r="C969" s="53">
        <f t="shared" si="30"/>
        <v>-1.6089108910891055E-2</v>
      </c>
      <c r="E969" s="52">
        <v>45345</v>
      </c>
      <c r="F969" s="54">
        <v>22212.69921875</v>
      </c>
      <c r="G969" s="53">
        <f t="shared" si="31"/>
        <v>-2.1379592019012364E-4</v>
      </c>
    </row>
    <row r="970" spans="1:7" ht="13.5" customHeight="1" x14ac:dyDescent="0.3">
      <c r="A970" s="52">
        <v>45348</v>
      </c>
      <c r="B970" s="27">
        <v>156.9</v>
      </c>
      <c r="C970" s="53">
        <f t="shared" si="30"/>
        <v>-1.3207547169811285E-2</v>
      </c>
      <c r="E970" s="52">
        <v>45348</v>
      </c>
      <c r="F970" s="54">
        <v>22122.05078125</v>
      </c>
      <c r="G970" s="53">
        <f t="shared" si="31"/>
        <v>-4.0809285088361791E-3</v>
      </c>
    </row>
    <row r="971" spans="1:7" ht="13.5" customHeight="1" x14ac:dyDescent="0.3">
      <c r="A971" s="52">
        <v>45349</v>
      </c>
      <c r="B971" s="27">
        <v>155.4</v>
      </c>
      <c r="C971" s="53">
        <f t="shared" si="30"/>
        <v>-9.5602294455066923E-3</v>
      </c>
      <c r="E971" s="52">
        <v>45349</v>
      </c>
      <c r="F971" s="54">
        <v>22198.349609375</v>
      </c>
      <c r="G971" s="53">
        <f t="shared" si="31"/>
        <v>3.4489943486464033E-3</v>
      </c>
    </row>
    <row r="972" spans="1:7" ht="13.5" customHeight="1" x14ac:dyDescent="0.3">
      <c r="A972" s="52">
        <v>45350</v>
      </c>
      <c r="B972" s="27">
        <v>152.25</v>
      </c>
      <c r="C972" s="53">
        <f t="shared" si="30"/>
        <v>-2.0270270270270306E-2</v>
      </c>
      <c r="E972" s="52">
        <v>45350</v>
      </c>
      <c r="F972" s="54">
        <v>21951.150390625</v>
      </c>
      <c r="G972" s="53">
        <f t="shared" si="31"/>
        <v>-1.1135927809948569E-2</v>
      </c>
    </row>
    <row r="973" spans="1:7" ht="13.5" customHeight="1" x14ac:dyDescent="0.3">
      <c r="A973" s="52">
        <v>45351</v>
      </c>
      <c r="B973" s="27">
        <v>155.94999999999999</v>
      </c>
      <c r="C973" s="53">
        <f t="shared" si="30"/>
        <v>2.4302134646962157E-2</v>
      </c>
      <c r="E973" s="52">
        <v>45351</v>
      </c>
      <c r="F973" s="54">
        <v>21982.80078125</v>
      </c>
      <c r="G973" s="53">
        <f t="shared" si="31"/>
        <v>1.4418556686904846E-3</v>
      </c>
    </row>
    <row r="974" spans="1:7" ht="13.5" customHeight="1" x14ac:dyDescent="0.3">
      <c r="A974" s="52">
        <v>45352</v>
      </c>
      <c r="B974" s="27">
        <v>160.80000000000001</v>
      </c>
      <c r="C974" s="53">
        <f t="shared" si="30"/>
        <v>3.1099711445976421E-2</v>
      </c>
      <c r="E974" s="52">
        <v>45352</v>
      </c>
      <c r="F974" s="54">
        <v>22338.75</v>
      </c>
      <c r="G974" s="53">
        <f t="shared" si="31"/>
        <v>1.6192168700068607E-2</v>
      </c>
    </row>
    <row r="975" spans="1:7" ht="13.5" customHeight="1" x14ac:dyDescent="0.3">
      <c r="A975" s="52">
        <v>45355</v>
      </c>
      <c r="B975" s="27">
        <v>166.75</v>
      </c>
      <c r="C975" s="53">
        <f t="shared" si="30"/>
        <v>3.7002487562188983E-2</v>
      </c>
      <c r="E975" s="52">
        <v>45355</v>
      </c>
      <c r="F975" s="54">
        <v>22405.599609375</v>
      </c>
      <c r="G975" s="53">
        <f t="shared" si="31"/>
        <v>2.9925402887359411E-3</v>
      </c>
    </row>
    <row r="976" spans="1:7" ht="13.5" customHeight="1" x14ac:dyDescent="0.3">
      <c r="A976" s="52">
        <v>45356</v>
      </c>
      <c r="B976" s="27">
        <v>166.15</v>
      </c>
      <c r="C976" s="53">
        <f t="shared" si="30"/>
        <v>-3.5982008995501906E-3</v>
      </c>
      <c r="E976" s="52">
        <v>45356</v>
      </c>
      <c r="F976" s="54">
        <v>22356.30078125</v>
      </c>
      <c r="G976" s="53">
        <f t="shared" si="31"/>
        <v>-2.2002905070379049E-3</v>
      </c>
    </row>
    <row r="977" spans="1:7" ht="13.5" customHeight="1" x14ac:dyDescent="0.3">
      <c r="A977" s="52">
        <v>45357</v>
      </c>
      <c r="B977" s="27">
        <v>163</v>
      </c>
      <c r="C977" s="53">
        <f t="shared" si="30"/>
        <v>-1.8958772193800814E-2</v>
      </c>
      <c r="E977" s="52">
        <v>45357</v>
      </c>
      <c r="F977" s="54">
        <v>22474.05078125</v>
      </c>
      <c r="G977" s="53">
        <f t="shared" si="31"/>
        <v>5.2669715420341689E-3</v>
      </c>
    </row>
    <row r="978" spans="1:7" ht="13.5" customHeight="1" x14ac:dyDescent="0.3">
      <c r="A978" s="52">
        <v>45358</v>
      </c>
      <c r="B978" s="27">
        <v>163.19999999999999</v>
      </c>
      <c r="C978" s="53">
        <f t="shared" si="30"/>
        <v>1.2269938650306051E-3</v>
      </c>
      <c r="E978" s="52">
        <v>45358</v>
      </c>
      <c r="F978" s="54">
        <v>22493.55078125</v>
      </c>
      <c r="G978" s="53">
        <f t="shared" si="31"/>
        <v>8.6766734621195941E-4</v>
      </c>
    </row>
    <row r="979" spans="1:7" ht="13.5" customHeight="1" x14ac:dyDescent="0.3">
      <c r="A979" s="52">
        <v>45362</v>
      </c>
      <c r="B979" s="27">
        <v>158.35</v>
      </c>
      <c r="C979" s="53">
        <f t="shared" si="30"/>
        <v>-2.9718137254901928E-2</v>
      </c>
      <c r="E979" s="52">
        <v>45362</v>
      </c>
      <c r="F979" s="54">
        <v>22332.650390625</v>
      </c>
      <c r="G979" s="53">
        <f t="shared" si="31"/>
        <v>-7.1531788017711326E-3</v>
      </c>
    </row>
    <row r="980" spans="1:7" ht="13.5" customHeight="1" x14ac:dyDescent="0.3">
      <c r="A980" s="52">
        <v>45363</v>
      </c>
      <c r="B980" s="27">
        <v>151.65</v>
      </c>
      <c r="C980" s="53">
        <f t="shared" si="30"/>
        <v>-4.2311335648878998E-2</v>
      </c>
      <c r="E980" s="52">
        <v>45363</v>
      </c>
      <c r="F980" s="54">
        <v>22335.69921875</v>
      </c>
      <c r="G980" s="53">
        <f t="shared" si="31"/>
        <v>1.3651886684617893E-4</v>
      </c>
    </row>
    <row r="981" spans="1:7" ht="13.5" customHeight="1" x14ac:dyDescent="0.3">
      <c r="A981" s="52">
        <v>45364</v>
      </c>
      <c r="B981" s="27">
        <v>136.15</v>
      </c>
      <c r="C981" s="53">
        <f t="shared" si="30"/>
        <v>-0.10220903395977579</v>
      </c>
      <c r="E981" s="52">
        <v>45364</v>
      </c>
      <c r="F981" s="54">
        <v>21997.69921875</v>
      </c>
      <c r="G981" s="53">
        <f t="shared" si="31"/>
        <v>-1.5132725270416491E-2</v>
      </c>
    </row>
    <row r="982" spans="1:7" ht="13.5" customHeight="1" x14ac:dyDescent="0.3">
      <c r="A982" s="52">
        <v>45365</v>
      </c>
      <c r="B982" s="27">
        <v>141.44999999999999</v>
      </c>
      <c r="C982" s="53">
        <f t="shared" si="30"/>
        <v>3.8927653323540083E-2</v>
      </c>
      <c r="E982" s="52">
        <v>45365</v>
      </c>
      <c r="F982" s="54">
        <v>22146.650390625</v>
      </c>
      <c r="G982" s="53">
        <f t="shared" si="31"/>
        <v>6.7712159528047237E-3</v>
      </c>
    </row>
    <row r="983" spans="1:7" ht="13.5" customHeight="1" x14ac:dyDescent="0.3">
      <c r="A983" s="52">
        <v>45366</v>
      </c>
      <c r="B983" s="27">
        <v>136.4</v>
      </c>
      <c r="C983" s="53">
        <f t="shared" si="30"/>
        <v>-3.5701661364439613E-2</v>
      </c>
      <c r="E983" s="52">
        <v>45366</v>
      </c>
      <c r="F983" s="54">
        <v>22023.349609375</v>
      </c>
      <c r="G983" s="53">
        <f t="shared" si="31"/>
        <v>-5.5674686273186943E-3</v>
      </c>
    </row>
    <row r="984" spans="1:7" ht="13.5" customHeight="1" x14ac:dyDescent="0.3">
      <c r="A984" s="52">
        <v>45369</v>
      </c>
      <c r="B984" s="27">
        <v>139.1</v>
      </c>
      <c r="C984" s="53">
        <f t="shared" si="30"/>
        <v>1.979472140762455E-2</v>
      </c>
      <c r="E984" s="52">
        <v>45369</v>
      </c>
      <c r="F984" s="54">
        <v>22055.69921875</v>
      </c>
      <c r="G984" s="53">
        <f t="shared" si="31"/>
        <v>1.4688778023679591E-3</v>
      </c>
    </row>
    <row r="985" spans="1:7" ht="13.5" customHeight="1" x14ac:dyDescent="0.3">
      <c r="A985" s="52">
        <v>45370</v>
      </c>
      <c r="B985" s="27">
        <v>137.1</v>
      </c>
      <c r="C985" s="53">
        <f t="shared" si="30"/>
        <v>-1.4378145219266714E-2</v>
      </c>
      <c r="E985" s="52">
        <v>45370</v>
      </c>
      <c r="F985" s="54">
        <v>21817.44921875</v>
      </c>
      <c r="G985" s="53">
        <f t="shared" si="31"/>
        <v>-1.080219664028873E-2</v>
      </c>
    </row>
    <row r="986" spans="1:7" ht="13.5" customHeight="1" x14ac:dyDescent="0.3">
      <c r="A986" s="52">
        <v>45371</v>
      </c>
      <c r="B986" s="27">
        <v>137.80000000000001</v>
      </c>
      <c r="C986" s="53">
        <f t="shared" si="30"/>
        <v>5.105762217359716E-3</v>
      </c>
      <c r="E986" s="52">
        <v>45371</v>
      </c>
      <c r="F986" s="54">
        <v>21839.099609375</v>
      </c>
      <c r="G986" s="53">
        <f t="shared" si="31"/>
        <v>9.9234289068006964E-4</v>
      </c>
    </row>
    <row r="987" spans="1:7" ht="13.5" customHeight="1" x14ac:dyDescent="0.3">
      <c r="A987" s="52">
        <v>45372</v>
      </c>
      <c r="B987" s="27">
        <v>145.75</v>
      </c>
      <c r="C987" s="53">
        <f t="shared" si="30"/>
        <v>5.7692307692307605E-2</v>
      </c>
      <c r="E987" s="52">
        <v>45372</v>
      </c>
      <c r="F987" s="54">
        <v>22011.94921875</v>
      </c>
      <c r="G987" s="53">
        <f t="shared" si="31"/>
        <v>7.9146856998078725E-3</v>
      </c>
    </row>
    <row r="988" spans="1:7" ht="13.5" customHeight="1" x14ac:dyDescent="0.3">
      <c r="A988" s="52">
        <v>45373</v>
      </c>
      <c r="B988" s="27">
        <v>148.75</v>
      </c>
      <c r="C988" s="53">
        <f t="shared" si="30"/>
        <v>2.0583190394511151E-2</v>
      </c>
      <c r="E988" s="52">
        <v>45373</v>
      </c>
      <c r="F988" s="54">
        <v>22096.75</v>
      </c>
      <c r="G988" s="53">
        <f t="shared" si="31"/>
        <v>3.8524885010077091E-3</v>
      </c>
    </row>
    <row r="989" spans="1:7" ht="13.5" customHeight="1" x14ac:dyDescent="0.3">
      <c r="A989" s="52">
        <v>45377</v>
      </c>
      <c r="B989" s="27">
        <v>151.9</v>
      </c>
      <c r="C989" s="53">
        <f t="shared" si="30"/>
        <v>2.1176470588235331E-2</v>
      </c>
      <c r="E989" s="52">
        <v>45377</v>
      </c>
      <c r="F989" s="54">
        <v>22004.69921875</v>
      </c>
      <c r="G989" s="53">
        <f t="shared" si="31"/>
        <v>-4.1658063402989125E-3</v>
      </c>
    </row>
    <row r="990" spans="1:7" ht="13.5" customHeight="1" x14ac:dyDescent="0.3">
      <c r="A990" s="52">
        <v>45378</v>
      </c>
      <c r="B990" s="27">
        <v>151.6</v>
      </c>
      <c r="C990" s="53">
        <f t="shared" si="30"/>
        <v>-1.974983541803893E-3</v>
      </c>
      <c r="E990" s="52">
        <v>45378</v>
      </c>
      <c r="F990" s="54">
        <v>22123.650390625</v>
      </c>
      <c r="G990" s="53">
        <f t="shared" si="31"/>
        <v>5.40571678315161E-3</v>
      </c>
    </row>
    <row r="991" spans="1:7" ht="13.5" customHeight="1" x14ac:dyDescent="0.3">
      <c r="A991" s="52">
        <v>45379</v>
      </c>
      <c r="B991" s="27">
        <v>152.55000000000001</v>
      </c>
      <c r="C991" s="53">
        <f t="shared" si="30"/>
        <v>6.2664907651716166E-3</v>
      </c>
      <c r="E991" s="52">
        <v>45379</v>
      </c>
      <c r="F991" s="54">
        <v>22326.900390625</v>
      </c>
      <c r="G991" s="53">
        <f t="shared" si="31"/>
        <v>9.1870010785438973E-3</v>
      </c>
    </row>
    <row r="992" spans="1:7" ht="13.5" customHeight="1" x14ac:dyDescent="0.3">
      <c r="A992" s="52">
        <v>45383</v>
      </c>
      <c r="B992" s="27">
        <v>161.5</v>
      </c>
      <c r="C992" s="53">
        <f t="shared" si="30"/>
        <v>5.8669288757784252E-2</v>
      </c>
      <c r="E992" s="52">
        <v>45383</v>
      </c>
      <c r="F992" s="54">
        <v>22462</v>
      </c>
      <c r="G992" s="53">
        <f t="shared" si="31"/>
        <v>6.0509791780917303E-3</v>
      </c>
    </row>
    <row r="993" spans="1:7" ht="13.5" customHeight="1" x14ac:dyDescent="0.3">
      <c r="A993" s="52">
        <v>45384</v>
      </c>
      <c r="B993" s="27">
        <v>166.2</v>
      </c>
      <c r="C993" s="53">
        <f t="shared" si="30"/>
        <v>2.9102167182662467E-2</v>
      </c>
      <c r="E993" s="52">
        <v>45384</v>
      </c>
      <c r="F993" s="54">
        <v>22453.30078125</v>
      </c>
      <c r="G993" s="53">
        <f t="shared" si="31"/>
        <v>-3.872860275131333E-4</v>
      </c>
    </row>
    <row r="994" spans="1:7" ht="13.5" customHeight="1" x14ac:dyDescent="0.3">
      <c r="A994" s="52">
        <v>45385</v>
      </c>
      <c r="B994" s="27">
        <v>174.75</v>
      </c>
      <c r="C994" s="53">
        <f t="shared" si="30"/>
        <v>5.1444043321299711E-2</v>
      </c>
      <c r="E994" s="52">
        <v>45385</v>
      </c>
      <c r="F994" s="54">
        <v>22434.650390625</v>
      </c>
      <c r="G994" s="53">
        <f t="shared" si="31"/>
        <v>-8.3063024036868183E-4</v>
      </c>
    </row>
    <row r="995" spans="1:7" ht="13.5" customHeight="1" x14ac:dyDescent="0.3">
      <c r="A995" s="52">
        <v>45386</v>
      </c>
      <c r="B995" s="27">
        <v>175.35</v>
      </c>
      <c r="C995" s="53">
        <f t="shared" si="30"/>
        <v>3.4334763948497527E-3</v>
      </c>
      <c r="E995" s="52">
        <v>45386</v>
      </c>
      <c r="F995" s="54">
        <v>22514.650390625</v>
      </c>
      <c r="G995" s="53">
        <f t="shared" si="31"/>
        <v>3.5659124883635554E-3</v>
      </c>
    </row>
    <row r="996" spans="1:7" ht="13.5" customHeight="1" x14ac:dyDescent="0.3">
      <c r="A996" s="52">
        <v>45387</v>
      </c>
      <c r="B996" s="27">
        <v>177.5</v>
      </c>
      <c r="C996" s="53">
        <f t="shared" si="30"/>
        <v>1.2261191901910497E-2</v>
      </c>
      <c r="E996" s="52">
        <v>45387</v>
      </c>
      <c r="F996" s="54">
        <v>22513.69921875</v>
      </c>
      <c r="G996" s="53">
        <f t="shared" si="31"/>
        <v>-4.2246797462867275E-5</v>
      </c>
    </row>
    <row r="997" spans="1:7" ht="13.5" customHeight="1" x14ac:dyDescent="0.3">
      <c r="A997" s="52">
        <v>45390</v>
      </c>
      <c r="B997" s="27">
        <v>178</v>
      </c>
      <c r="C997" s="53">
        <f t="shared" si="30"/>
        <v>2.8169014084507044E-3</v>
      </c>
      <c r="E997" s="52">
        <v>45390</v>
      </c>
      <c r="F997" s="54">
        <v>22666.30078125</v>
      </c>
      <c r="G997" s="53">
        <f t="shared" si="31"/>
        <v>6.7781647528145621E-3</v>
      </c>
    </row>
    <row r="998" spans="1:7" ht="13.5" customHeight="1" x14ac:dyDescent="0.3">
      <c r="A998" s="52">
        <v>45391</v>
      </c>
      <c r="B998" s="27">
        <v>183.45</v>
      </c>
      <c r="C998" s="53">
        <f t="shared" si="30"/>
        <v>3.0617977528089823E-2</v>
      </c>
      <c r="E998" s="52">
        <v>45391</v>
      </c>
      <c r="F998" s="54">
        <v>22642.75</v>
      </c>
      <c r="G998" s="53">
        <f t="shared" si="31"/>
        <v>-1.0390218270412109E-3</v>
      </c>
    </row>
    <row r="999" spans="1:7" ht="13.5" customHeight="1" x14ac:dyDescent="0.3">
      <c r="A999" s="52">
        <v>45392</v>
      </c>
      <c r="B999" s="27">
        <v>182.7</v>
      </c>
      <c r="C999" s="53">
        <f t="shared" si="30"/>
        <v>-4.0883074407195427E-3</v>
      </c>
      <c r="E999" s="52">
        <v>45392</v>
      </c>
      <c r="F999" s="54">
        <v>22753.80078125</v>
      </c>
      <c r="G999" s="53">
        <f t="shared" si="31"/>
        <v>4.9044741142308243E-3</v>
      </c>
    </row>
    <row r="1000" spans="1:7" ht="13.5" customHeight="1" x14ac:dyDescent="0.3">
      <c r="A1000" s="52">
        <v>45394</v>
      </c>
      <c r="B1000" s="27">
        <v>178.2</v>
      </c>
      <c r="C1000" s="53">
        <f t="shared" si="30"/>
        <v>-2.4630541871921183E-2</v>
      </c>
      <c r="E1000" s="52">
        <v>45394</v>
      </c>
      <c r="F1000" s="54">
        <v>22519.400390625</v>
      </c>
      <c r="G1000" s="53">
        <f t="shared" si="31"/>
        <v>-1.0301592814249954E-2</v>
      </c>
    </row>
    <row r="1001" spans="1:7" ht="13.5" customHeight="1" x14ac:dyDescent="0.3">
      <c r="A1001" s="52">
        <v>45397</v>
      </c>
      <c r="B1001" s="27">
        <v>181.65</v>
      </c>
      <c r="C1001" s="53">
        <f t="shared" si="30"/>
        <v>1.9360269360269456E-2</v>
      </c>
      <c r="E1001" s="52">
        <v>45397</v>
      </c>
      <c r="F1001" s="54">
        <v>22272.5</v>
      </c>
      <c r="G1001" s="53">
        <f t="shared" si="31"/>
        <v>-1.0963897188301094E-2</v>
      </c>
    </row>
    <row r="1002" spans="1:7" ht="13.5" customHeight="1" x14ac:dyDescent="0.3">
      <c r="A1002" s="52">
        <v>45398</v>
      </c>
      <c r="B1002" s="27">
        <v>182.95</v>
      </c>
      <c r="C1002" s="53">
        <f t="shared" si="30"/>
        <v>7.1566198733827848E-3</v>
      </c>
      <c r="E1002" s="52">
        <v>45398</v>
      </c>
      <c r="F1002" s="54">
        <v>22147.900390625</v>
      </c>
      <c r="G1002" s="53">
        <f t="shared" si="31"/>
        <v>-5.5943252609720511E-3</v>
      </c>
    </row>
    <row r="1003" spans="1:7" ht="13.5" customHeight="1" x14ac:dyDescent="0.3">
      <c r="A1003" s="52">
        <v>45400</v>
      </c>
      <c r="B1003" s="27">
        <v>181.35</v>
      </c>
      <c r="C1003" s="53">
        <f t="shared" si="30"/>
        <v>-8.7455588958731591E-3</v>
      </c>
      <c r="E1003" s="52">
        <v>45400</v>
      </c>
      <c r="F1003" s="54">
        <v>21995.849609375</v>
      </c>
      <c r="G1003" s="53">
        <f t="shared" si="31"/>
        <v>-6.8652458503182393E-3</v>
      </c>
    </row>
    <row r="1004" spans="1:7" ht="13.5" customHeight="1" x14ac:dyDescent="0.3">
      <c r="A1004" s="52">
        <v>45401</v>
      </c>
      <c r="B1004" s="27">
        <v>184.8</v>
      </c>
      <c r="C1004" s="53">
        <f t="shared" si="30"/>
        <v>1.9023986765922346E-2</v>
      </c>
      <c r="E1004" s="52">
        <v>45401</v>
      </c>
      <c r="F1004" s="54">
        <v>22147</v>
      </c>
      <c r="G1004" s="53">
        <f t="shared" si="31"/>
        <v>6.8717686886064708E-3</v>
      </c>
    </row>
    <row r="1005" spans="1:7" ht="13.5" customHeight="1" x14ac:dyDescent="0.3">
      <c r="A1005" s="52">
        <v>45404</v>
      </c>
      <c r="B1005" s="27">
        <v>185.45</v>
      </c>
      <c r="C1005" s="53">
        <f t="shared" si="30"/>
        <v>3.5173160173158939E-3</v>
      </c>
      <c r="E1005" s="52">
        <v>45404</v>
      </c>
      <c r="F1005" s="54">
        <v>22336.400390625</v>
      </c>
      <c r="G1005" s="53">
        <f t="shared" si="31"/>
        <v>8.5519659829773782E-3</v>
      </c>
    </row>
    <row r="1006" spans="1:7" ht="13.5" customHeight="1" x14ac:dyDescent="0.3">
      <c r="A1006" s="52">
        <v>45405</v>
      </c>
      <c r="B1006" s="27">
        <v>183.35</v>
      </c>
      <c r="C1006" s="53">
        <f t="shared" si="30"/>
        <v>-1.1323806956052814E-2</v>
      </c>
      <c r="E1006" s="52">
        <v>45405</v>
      </c>
      <c r="F1006" s="54">
        <v>22368</v>
      </c>
      <c r="G1006" s="53">
        <f t="shared" si="31"/>
        <v>1.4147135985377009E-3</v>
      </c>
    </row>
    <row r="1007" spans="1:7" ht="13.5" customHeight="1" x14ac:dyDescent="0.3">
      <c r="A1007" s="52">
        <v>45406</v>
      </c>
      <c r="B1007" s="27">
        <v>188</v>
      </c>
      <c r="C1007" s="53">
        <f t="shared" si="30"/>
        <v>2.5361330788110203E-2</v>
      </c>
      <c r="E1007" s="52">
        <v>45406</v>
      </c>
      <c r="F1007" s="54">
        <v>22402.400390625</v>
      </c>
      <c r="G1007" s="53">
        <f t="shared" si="31"/>
        <v>1.5379287654238199E-3</v>
      </c>
    </row>
    <row r="1008" spans="1:7" ht="13.5" customHeight="1" x14ac:dyDescent="0.3">
      <c r="A1008" s="52">
        <v>45407</v>
      </c>
      <c r="B1008" s="27">
        <v>188.25</v>
      </c>
      <c r="C1008" s="53">
        <f t="shared" si="30"/>
        <v>1.3297872340425532E-3</v>
      </c>
      <c r="E1008" s="52">
        <v>45407</v>
      </c>
      <c r="F1008" s="54">
        <v>22570.349609375</v>
      </c>
      <c r="G1008" s="53">
        <f t="shared" si="31"/>
        <v>7.4969296067167743E-3</v>
      </c>
    </row>
    <row r="1009" spans="1:7" ht="13.5" customHeight="1" x14ac:dyDescent="0.3">
      <c r="A1009" s="52">
        <v>45408</v>
      </c>
      <c r="B1009" s="27">
        <v>188.9</v>
      </c>
      <c r="C1009" s="53">
        <f t="shared" si="30"/>
        <v>3.4528552456839609E-3</v>
      </c>
      <c r="E1009" s="52">
        <v>45408</v>
      </c>
      <c r="F1009" s="54">
        <v>22419.94921875</v>
      </c>
      <c r="G1009" s="53">
        <f t="shared" si="31"/>
        <v>-6.6636269808832953E-3</v>
      </c>
    </row>
    <row r="1010" spans="1:7" ht="13.5" customHeight="1" x14ac:dyDescent="0.3">
      <c r="A1010" s="52">
        <v>45411</v>
      </c>
      <c r="B1010" s="27">
        <v>188.5</v>
      </c>
      <c r="C1010" s="53">
        <f t="shared" si="30"/>
        <v>-2.1175224986765785E-3</v>
      </c>
      <c r="E1010" s="52">
        <v>45411</v>
      </c>
      <c r="F1010" s="54">
        <v>22643.400390625</v>
      </c>
      <c r="G1010" s="53">
        <f t="shared" si="31"/>
        <v>9.9666225688025117E-3</v>
      </c>
    </row>
    <row r="1011" spans="1:7" ht="13.5" customHeight="1" x14ac:dyDescent="0.3">
      <c r="A1011" s="52">
        <v>45412</v>
      </c>
      <c r="B1011" s="27">
        <v>185.25</v>
      </c>
      <c r="C1011" s="53">
        <f t="shared" si="30"/>
        <v>-1.7241379310344827E-2</v>
      </c>
      <c r="E1011" s="52">
        <v>45412</v>
      </c>
      <c r="F1011" s="54">
        <v>22604.849609375</v>
      </c>
      <c r="G1011" s="53">
        <f t="shared" si="31"/>
        <v>-1.7025173156396201E-3</v>
      </c>
    </row>
    <row r="1012" spans="1:7" ht="13.5" customHeight="1" x14ac:dyDescent="0.3">
      <c r="A1012" s="52">
        <v>45414</v>
      </c>
      <c r="B1012" s="27">
        <v>186.65</v>
      </c>
      <c r="C1012" s="53">
        <f t="shared" si="30"/>
        <v>7.5573549257760093E-3</v>
      </c>
      <c r="E1012" s="52">
        <v>45414</v>
      </c>
      <c r="F1012" s="54">
        <v>22648.19921875</v>
      </c>
      <c r="G1012" s="53">
        <f t="shared" si="31"/>
        <v>1.9177127972141625E-3</v>
      </c>
    </row>
    <row r="1013" spans="1:7" ht="13.5" customHeight="1" x14ac:dyDescent="0.3">
      <c r="A1013" s="52">
        <v>45415</v>
      </c>
      <c r="B1013" s="27">
        <v>185.1</v>
      </c>
      <c r="C1013" s="53">
        <f t="shared" si="30"/>
        <v>-8.3043128850790859E-3</v>
      </c>
      <c r="E1013" s="52">
        <v>45415</v>
      </c>
      <c r="F1013" s="54">
        <v>22475.849609375</v>
      </c>
      <c r="G1013" s="53">
        <f t="shared" si="31"/>
        <v>-7.6098592965534824E-3</v>
      </c>
    </row>
    <row r="1014" spans="1:7" ht="13.5" customHeight="1" x14ac:dyDescent="0.3">
      <c r="A1014" s="52">
        <v>45418</v>
      </c>
      <c r="B1014" s="27">
        <v>183.05</v>
      </c>
      <c r="C1014" s="53">
        <f t="shared" si="30"/>
        <v>-1.1075094543489913E-2</v>
      </c>
      <c r="E1014" s="52">
        <v>45418</v>
      </c>
      <c r="F1014" s="54">
        <v>22442.69921875</v>
      </c>
      <c r="G1014" s="53">
        <f t="shared" si="31"/>
        <v>-1.4749338156797639E-3</v>
      </c>
    </row>
    <row r="1015" spans="1:7" ht="13.5" customHeight="1" x14ac:dyDescent="0.3">
      <c r="A1015" s="52">
        <v>45419</v>
      </c>
      <c r="B1015" s="27">
        <v>176.6</v>
      </c>
      <c r="C1015" s="53">
        <f t="shared" si="30"/>
        <v>-3.5236274242010472E-2</v>
      </c>
      <c r="E1015" s="52">
        <v>45419</v>
      </c>
      <c r="F1015" s="54">
        <v>22302.5</v>
      </c>
      <c r="G1015" s="53">
        <f t="shared" si="31"/>
        <v>-6.2469855957820357E-3</v>
      </c>
    </row>
    <row r="1016" spans="1:7" ht="13.5" customHeight="1" x14ac:dyDescent="0.3">
      <c r="A1016" s="52">
        <v>45420</v>
      </c>
      <c r="B1016" s="27">
        <v>179.2</v>
      </c>
      <c r="C1016" s="53">
        <f t="shared" si="30"/>
        <v>1.4722536806341984E-2</v>
      </c>
      <c r="E1016" s="52">
        <v>45420</v>
      </c>
      <c r="F1016" s="54">
        <v>22302.5</v>
      </c>
      <c r="G1016" s="53">
        <f t="shared" si="31"/>
        <v>0</v>
      </c>
    </row>
    <row r="1017" spans="1:7" ht="13.5" customHeight="1" x14ac:dyDescent="0.3">
      <c r="A1017" s="52">
        <v>45421</v>
      </c>
      <c r="B1017" s="27">
        <v>170.75</v>
      </c>
      <c r="C1017" s="53">
        <f t="shared" si="30"/>
        <v>-4.7154017857142794E-2</v>
      </c>
      <c r="E1017" s="52">
        <v>45421</v>
      </c>
      <c r="F1017" s="54">
        <v>21957.5</v>
      </c>
      <c r="G1017" s="53">
        <f t="shared" si="31"/>
        <v>-1.5469117811904494E-2</v>
      </c>
    </row>
    <row r="1018" spans="1:7" ht="13.5" customHeight="1" x14ac:dyDescent="0.3">
      <c r="A1018" s="52">
        <v>45422</v>
      </c>
      <c r="B1018" s="27">
        <v>173.95</v>
      </c>
      <c r="C1018" s="53">
        <f t="shared" si="30"/>
        <v>1.874084919472907E-2</v>
      </c>
      <c r="E1018" s="52">
        <v>45422</v>
      </c>
      <c r="F1018" s="54">
        <v>22055.19921875</v>
      </c>
      <c r="G1018" s="53">
        <f t="shared" si="31"/>
        <v>4.4494691449390869E-3</v>
      </c>
    </row>
    <row r="1019" spans="1:7" ht="13.5" customHeight="1" x14ac:dyDescent="0.3">
      <c r="A1019" s="52">
        <v>45425</v>
      </c>
      <c r="B1019" s="27">
        <v>176.95</v>
      </c>
      <c r="C1019" s="53">
        <f t="shared" si="30"/>
        <v>1.7246335153779824E-2</v>
      </c>
      <c r="E1019" s="52">
        <v>45425</v>
      </c>
      <c r="F1019" s="54">
        <v>22104.05078125</v>
      </c>
      <c r="G1019" s="53">
        <f t="shared" si="31"/>
        <v>2.214968090538459E-3</v>
      </c>
    </row>
    <row r="1020" spans="1:7" ht="13.5" customHeight="1" x14ac:dyDescent="0.3">
      <c r="A1020" s="52">
        <v>45426</v>
      </c>
      <c r="B1020" s="27">
        <v>189.85</v>
      </c>
      <c r="C1020" s="53">
        <f t="shared" si="30"/>
        <v>7.290194970330606E-2</v>
      </c>
      <c r="E1020" s="52">
        <v>45426</v>
      </c>
      <c r="F1020" s="54">
        <v>22217.849609375</v>
      </c>
      <c r="G1020" s="53">
        <f t="shared" si="31"/>
        <v>5.1483245877054842E-3</v>
      </c>
    </row>
    <row r="1021" spans="1:7" ht="13.5" customHeight="1" x14ac:dyDescent="0.3">
      <c r="A1021" s="52">
        <v>45427</v>
      </c>
      <c r="B1021" s="27">
        <v>189.5</v>
      </c>
      <c r="C1021" s="53">
        <f t="shared" si="30"/>
        <v>-1.8435607058203546E-3</v>
      </c>
      <c r="E1021" s="52">
        <v>45427</v>
      </c>
      <c r="F1021" s="54">
        <v>22200.55078125</v>
      </c>
      <c r="G1021" s="53">
        <f t="shared" si="31"/>
        <v>-7.7860046895360301E-4</v>
      </c>
    </row>
    <row r="1022" spans="1:7" ht="13.5" customHeight="1" x14ac:dyDescent="0.3">
      <c r="A1022" s="52">
        <v>45428</v>
      </c>
      <c r="B1022" s="27">
        <v>189.95</v>
      </c>
      <c r="C1022" s="53">
        <f t="shared" si="30"/>
        <v>2.37467018469651E-3</v>
      </c>
      <c r="E1022" s="52">
        <v>45428</v>
      </c>
      <c r="F1022" s="54">
        <v>22403.849609375</v>
      </c>
      <c r="G1022" s="53">
        <f t="shared" si="31"/>
        <v>9.1573776762647191E-3</v>
      </c>
    </row>
    <row r="1023" spans="1:7" ht="13.5" customHeight="1" x14ac:dyDescent="0.3">
      <c r="A1023" s="52">
        <v>45429</v>
      </c>
      <c r="B1023" s="27">
        <v>194.85</v>
      </c>
      <c r="C1023" s="53">
        <f t="shared" si="30"/>
        <v>2.5796262174256415E-2</v>
      </c>
      <c r="E1023" s="52">
        <v>45429</v>
      </c>
      <c r="F1023" s="54">
        <v>22466.099609375</v>
      </c>
      <c r="G1023" s="53">
        <f t="shared" si="31"/>
        <v>2.7785403439751347E-3</v>
      </c>
    </row>
    <row r="1024" spans="1:7" ht="13.5" customHeight="1" x14ac:dyDescent="0.3">
      <c r="A1024" s="52">
        <v>45433</v>
      </c>
      <c r="B1024" s="27">
        <v>199.05</v>
      </c>
      <c r="C1024" s="53">
        <f t="shared" si="30"/>
        <v>2.1555042340261829E-2</v>
      </c>
      <c r="E1024" s="52">
        <v>45433</v>
      </c>
      <c r="F1024" s="54">
        <v>22529.05078125</v>
      </c>
      <c r="G1024" s="53">
        <f t="shared" si="31"/>
        <v>2.8020516676036979E-3</v>
      </c>
    </row>
    <row r="1025" spans="1:7" ht="13.5" customHeight="1" x14ac:dyDescent="0.3">
      <c r="A1025" s="52">
        <v>45434</v>
      </c>
      <c r="B1025" s="27">
        <v>197.5</v>
      </c>
      <c r="C1025" s="53">
        <f t="shared" si="30"/>
        <v>-7.786988193921182E-3</v>
      </c>
      <c r="E1025" s="52">
        <v>45434</v>
      </c>
      <c r="F1025" s="54">
        <v>22597.80078125</v>
      </c>
      <c r="G1025" s="53">
        <f t="shared" si="31"/>
        <v>3.051615474950138E-3</v>
      </c>
    </row>
    <row r="1026" spans="1:7" ht="13.5" customHeight="1" x14ac:dyDescent="0.3">
      <c r="A1026" s="52">
        <v>45435</v>
      </c>
      <c r="B1026" s="27">
        <v>191.15</v>
      </c>
      <c r="C1026" s="53">
        <f t="shared" si="30"/>
        <v>-3.2151898734177189E-2</v>
      </c>
      <c r="E1026" s="52">
        <v>45435</v>
      </c>
      <c r="F1026" s="54">
        <v>22967.650390625</v>
      </c>
      <c r="G1026" s="53">
        <f t="shared" si="31"/>
        <v>1.6366619608483058E-2</v>
      </c>
    </row>
    <row r="1027" spans="1:7" ht="13.5" customHeight="1" x14ac:dyDescent="0.3">
      <c r="A1027" s="52">
        <v>45436</v>
      </c>
      <c r="B1027" s="27">
        <v>193.15</v>
      </c>
      <c r="C1027" s="53">
        <f t="shared" si="30"/>
        <v>1.0462987182840701E-2</v>
      </c>
      <c r="E1027" s="52">
        <v>45436</v>
      </c>
      <c r="F1027" s="54">
        <v>22957.099609375</v>
      </c>
      <c r="G1027" s="53">
        <f t="shared" si="31"/>
        <v>-4.5937573371922485E-4</v>
      </c>
    </row>
    <row r="1028" spans="1:7" ht="13.5" customHeight="1" x14ac:dyDescent="0.3">
      <c r="A1028" s="52">
        <v>45439</v>
      </c>
      <c r="B1028" s="27">
        <v>194.35</v>
      </c>
      <c r="C1028" s="53">
        <f t="shared" si="30"/>
        <v>6.2127879886098294E-3</v>
      </c>
      <c r="E1028" s="52">
        <v>45439</v>
      </c>
      <c r="F1028" s="54">
        <v>22932.44921875</v>
      </c>
      <c r="G1028" s="53">
        <f t="shared" si="31"/>
        <v>-1.0737589261900274E-3</v>
      </c>
    </row>
    <row r="1029" spans="1:7" ht="13.5" customHeight="1" x14ac:dyDescent="0.3">
      <c r="A1029" s="52">
        <v>45440</v>
      </c>
      <c r="B1029" s="27">
        <v>191.4</v>
      </c>
      <c r="C1029" s="53">
        <f t="shared" ref="C1029:C1092" si="32">(B1029-B1028)/B1028</f>
        <v>-1.5178801131978331E-2</v>
      </c>
      <c r="E1029" s="52">
        <v>45440</v>
      </c>
      <c r="F1029" s="54">
        <v>22888.150390625</v>
      </c>
      <c r="G1029" s="53">
        <f t="shared" ref="G1029:G1092" si="33">(F1029-F1028)/F1028</f>
        <v>-1.9317094176221025E-3</v>
      </c>
    </row>
    <row r="1030" spans="1:7" ht="13.5" customHeight="1" x14ac:dyDescent="0.3">
      <c r="A1030" s="52">
        <v>45441</v>
      </c>
      <c r="B1030" s="27">
        <v>194.75</v>
      </c>
      <c r="C1030" s="53">
        <f t="shared" si="32"/>
        <v>1.7502612330198508E-2</v>
      </c>
      <c r="E1030" s="52">
        <v>45441</v>
      </c>
      <c r="F1030" s="54">
        <v>22704.69921875</v>
      </c>
      <c r="G1030" s="53">
        <f t="shared" si="33"/>
        <v>-8.0151156272610692E-3</v>
      </c>
    </row>
    <row r="1031" spans="1:7" ht="13.5" customHeight="1" x14ac:dyDescent="0.3">
      <c r="A1031" s="52">
        <v>45442</v>
      </c>
      <c r="B1031" s="27">
        <v>189.5</v>
      </c>
      <c r="C1031" s="53">
        <f t="shared" si="32"/>
        <v>-2.6957637997432605E-2</v>
      </c>
      <c r="E1031" s="52">
        <v>45442</v>
      </c>
      <c r="F1031" s="54">
        <v>22488.650390625</v>
      </c>
      <c r="G1031" s="53">
        <f t="shared" si="33"/>
        <v>-9.5155996581792416E-3</v>
      </c>
    </row>
    <row r="1032" spans="1:7" ht="13.5" customHeight="1" x14ac:dyDescent="0.3">
      <c r="A1032" s="52">
        <v>45443</v>
      </c>
      <c r="B1032" s="27">
        <v>191.65</v>
      </c>
      <c r="C1032" s="53">
        <f t="shared" si="32"/>
        <v>1.1345646437994752E-2</v>
      </c>
      <c r="E1032" s="52">
        <v>45443</v>
      </c>
      <c r="F1032" s="54">
        <v>22530.69921875</v>
      </c>
      <c r="G1032" s="53">
        <f t="shared" si="33"/>
        <v>1.869779973213919E-3</v>
      </c>
    </row>
    <row r="1033" spans="1:7" ht="13.5" customHeight="1" x14ac:dyDescent="0.3">
      <c r="A1033" s="52">
        <v>45446</v>
      </c>
      <c r="B1033" s="27">
        <v>196.2</v>
      </c>
      <c r="C1033" s="53">
        <f t="shared" si="32"/>
        <v>2.3741194886511781E-2</v>
      </c>
      <c r="E1033" s="52">
        <v>45446</v>
      </c>
      <c r="F1033" s="54">
        <v>23263.900390625</v>
      </c>
      <c r="G1033" s="53">
        <f t="shared" si="33"/>
        <v>3.2542317695352818E-2</v>
      </c>
    </row>
    <row r="1034" spans="1:7" ht="13.5" customHeight="1" x14ac:dyDescent="0.3">
      <c r="A1034" s="52">
        <v>45447</v>
      </c>
      <c r="B1034" s="27">
        <v>158.55000000000001</v>
      </c>
      <c r="C1034" s="53">
        <f t="shared" si="32"/>
        <v>-0.1918960244648317</v>
      </c>
      <c r="E1034" s="52">
        <v>45447</v>
      </c>
      <c r="F1034" s="54">
        <v>21884.5</v>
      </c>
      <c r="G1034" s="53">
        <f t="shared" si="33"/>
        <v>-5.9293599416410735E-2</v>
      </c>
    </row>
    <row r="1035" spans="1:7" ht="13.5" customHeight="1" x14ac:dyDescent="0.3">
      <c r="A1035" s="52">
        <v>45448</v>
      </c>
      <c r="B1035" s="27">
        <v>176.15</v>
      </c>
      <c r="C1035" s="53">
        <f t="shared" si="32"/>
        <v>0.11100599180069375</v>
      </c>
      <c r="E1035" s="52">
        <v>45448</v>
      </c>
      <c r="F1035" s="54">
        <v>22620.349609375</v>
      </c>
      <c r="G1035" s="53">
        <f t="shared" si="33"/>
        <v>3.362423676003564E-2</v>
      </c>
    </row>
    <row r="1036" spans="1:7" ht="13.5" customHeight="1" x14ac:dyDescent="0.3">
      <c r="A1036" s="52">
        <v>45449</v>
      </c>
      <c r="B1036" s="27">
        <v>180.6</v>
      </c>
      <c r="C1036" s="53">
        <f t="shared" si="32"/>
        <v>2.5262560317910805E-2</v>
      </c>
      <c r="E1036" s="52">
        <v>45449</v>
      </c>
      <c r="F1036" s="54">
        <v>22821.400390625</v>
      </c>
      <c r="G1036" s="53">
        <f t="shared" si="33"/>
        <v>8.8880492442377883E-3</v>
      </c>
    </row>
    <row r="1037" spans="1:7" ht="13.5" customHeight="1" x14ac:dyDescent="0.3">
      <c r="A1037" s="52">
        <v>45450</v>
      </c>
      <c r="B1037" s="27">
        <v>185.3</v>
      </c>
      <c r="C1037" s="53">
        <f t="shared" si="32"/>
        <v>2.6024363233665655E-2</v>
      </c>
      <c r="E1037" s="52">
        <v>45450</v>
      </c>
      <c r="F1037" s="54">
        <v>23290.150390625</v>
      </c>
      <c r="G1037" s="53">
        <f t="shared" si="33"/>
        <v>2.0539931466807E-2</v>
      </c>
    </row>
    <row r="1038" spans="1:7" ht="13.5" customHeight="1" x14ac:dyDescent="0.3">
      <c r="A1038" s="52">
        <v>45453</v>
      </c>
      <c r="B1038" s="27">
        <v>183.41</v>
      </c>
      <c r="C1038" s="53">
        <f t="shared" si="32"/>
        <v>-1.0199676200755611E-2</v>
      </c>
      <c r="E1038" s="52">
        <v>45453</v>
      </c>
      <c r="F1038" s="54">
        <v>23259.19921875</v>
      </c>
      <c r="G1038" s="53">
        <f t="shared" si="33"/>
        <v>-1.328938257412833E-3</v>
      </c>
    </row>
    <row r="1039" spans="1:7" ht="13.5" customHeight="1" x14ac:dyDescent="0.3">
      <c r="A1039" s="52">
        <v>45454</v>
      </c>
      <c r="B1039" s="27">
        <v>183.17</v>
      </c>
      <c r="C1039" s="53">
        <f t="shared" si="32"/>
        <v>-1.3085436999073611E-3</v>
      </c>
      <c r="E1039" s="52">
        <v>45454</v>
      </c>
      <c r="F1039" s="54">
        <v>23264.849609375</v>
      </c>
      <c r="G1039" s="53">
        <f t="shared" si="33"/>
        <v>2.4293143421915555E-4</v>
      </c>
    </row>
    <row r="1040" spans="1:7" ht="13.5" customHeight="1" x14ac:dyDescent="0.3">
      <c r="A1040" s="52">
        <v>45455</v>
      </c>
      <c r="B1040" s="27">
        <v>185.02</v>
      </c>
      <c r="C1040" s="53">
        <f t="shared" si="32"/>
        <v>1.0099907190042163E-2</v>
      </c>
      <c r="E1040" s="52">
        <v>45455</v>
      </c>
      <c r="F1040" s="54">
        <v>23322.94921875</v>
      </c>
      <c r="G1040" s="53">
        <f t="shared" si="33"/>
        <v>2.4973129141392641E-3</v>
      </c>
    </row>
    <row r="1041" spans="1:7" ht="13.5" customHeight="1" x14ac:dyDescent="0.3">
      <c r="A1041" s="52">
        <v>45456</v>
      </c>
      <c r="B1041" s="27">
        <v>186.56</v>
      </c>
      <c r="C1041" s="53">
        <f t="shared" si="32"/>
        <v>8.3234244946491839E-3</v>
      </c>
      <c r="E1041" s="52">
        <v>45456</v>
      </c>
      <c r="F1041" s="54">
        <v>23398.900390625</v>
      </c>
      <c r="G1041" s="53">
        <f t="shared" si="33"/>
        <v>3.2564994745150257E-3</v>
      </c>
    </row>
    <row r="1042" spans="1:7" ht="13.5" customHeight="1" x14ac:dyDescent="0.3">
      <c r="A1042" s="52">
        <v>45457</v>
      </c>
      <c r="B1042" s="27">
        <v>191.91</v>
      </c>
      <c r="C1042" s="53">
        <f t="shared" si="32"/>
        <v>2.8677101200686075E-2</v>
      </c>
      <c r="E1042" s="52">
        <v>45457</v>
      </c>
      <c r="F1042" s="54">
        <v>23465.599609375</v>
      </c>
      <c r="G1042" s="53">
        <f t="shared" si="33"/>
        <v>2.8505279152657831E-3</v>
      </c>
    </row>
    <row r="1043" spans="1:7" ht="13.5" customHeight="1" x14ac:dyDescent="0.3">
      <c r="A1043" s="52">
        <v>45461</v>
      </c>
      <c r="B1043" s="27">
        <v>188.13</v>
      </c>
      <c r="C1043" s="53">
        <f t="shared" si="32"/>
        <v>-1.9696732843520408E-2</v>
      </c>
      <c r="E1043" s="52">
        <v>45461</v>
      </c>
      <c r="F1043" s="54">
        <v>23557.900390625</v>
      </c>
      <c r="G1043" s="53">
        <f t="shared" si="33"/>
        <v>3.9334507869606666E-3</v>
      </c>
    </row>
    <row r="1044" spans="1:7" ht="13.5" customHeight="1" x14ac:dyDescent="0.3">
      <c r="A1044" s="52">
        <v>45462</v>
      </c>
      <c r="B1044" s="27">
        <v>184.88</v>
      </c>
      <c r="C1044" s="53">
        <f t="shared" si="32"/>
        <v>-1.7275288364428851E-2</v>
      </c>
      <c r="E1044" s="52">
        <v>45462</v>
      </c>
      <c r="F1044" s="54">
        <v>23516</v>
      </c>
      <c r="G1044" s="53">
        <f t="shared" si="33"/>
        <v>-1.7786131162042989E-3</v>
      </c>
    </row>
    <row r="1045" spans="1:7" ht="13.5" customHeight="1" x14ac:dyDescent="0.3">
      <c r="A1045" s="52">
        <v>45463</v>
      </c>
      <c r="B1045" s="27">
        <v>191.29</v>
      </c>
      <c r="C1045" s="53">
        <f t="shared" si="32"/>
        <v>3.4671138035482454E-2</v>
      </c>
      <c r="E1045" s="52">
        <v>45463</v>
      </c>
      <c r="F1045" s="54">
        <v>23567</v>
      </c>
      <c r="G1045" s="53">
        <f t="shared" si="33"/>
        <v>2.1687361796223848E-3</v>
      </c>
    </row>
    <row r="1046" spans="1:7" ht="13.5" customHeight="1" x14ac:dyDescent="0.3">
      <c r="A1046" s="52">
        <v>45464</v>
      </c>
      <c r="B1046" s="27">
        <v>193.98</v>
      </c>
      <c r="C1046" s="53">
        <f t="shared" si="32"/>
        <v>1.4062418317737455E-2</v>
      </c>
      <c r="E1046" s="52">
        <v>45464</v>
      </c>
      <c r="F1046" s="54">
        <v>23501.099609375</v>
      </c>
      <c r="G1046" s="53">
        <f t="shared" si="33"/>
        <v>-2.7962995130903384E-3</v>
      </c>
    </row>
    <row r="1047" spans="1:7" ht="13.5" customHeight="1" x14ac:dyDescent="0.3">
      <c r="A1047" s="52">
        <v>45467</v>
      </c>
      <c r="B1047" s="27">
        <v>189.98</v>
      </c>
      <c r="C1047" s="53">
        <f t="shared" si="32"/>
        <v>-2.0620682544592227E-2</v>
      </c>
      <c r="E1047" s="52">
        <v>45467</v>
      </c>
      <c r="F1047" s="54">
        <v>23537.849609375</v>
      </c>
      <c r="G1047" s="53">
        <f t="shared" si="33"/>
        <v>1.5637566161091365E-3</v>
      </c>
    </row>
    <row r="1048" spans="1:7" ht="13.5" customHeight="1" x14ac:dyDescent="0.3">
      <c r="A1048" s="52">
        <v>45468</v>
      </c>
      <c r="B1048" s="27">
        <v>188.47</v>
      </c>
      <c r="C1048" s="53">
        <f t="shared" si="32"/>
        <v>-7.9482050742182911E-3</v>
      </c>
      <c r="E1048" s="52">
        <v>45468</v>
      </c>
      <c r="F1048" s="54">
        <v>23721.30078125</v>
      </c>
      <c r="G1048" s="53">
        <f t="shared" si="33"/>
        <v>7.7938798539154731E-3</v>
      </c>
    </row>
    <row r="1049" spans="1:7" ht="13.5" customHeight="1" x14ac:dyDescent="0.3">
      <c r="A1049" s="52">
        <v>45469</v>
      </c>
      <c r="B1049" s="27">
        <v>186.9</v>
      </c>
      <c r="C1049" s="53">
        <f t="shared" si="32"/>
        <v>-8.330238234201693E-3</v>
      </c>
      <c r="E1049" s="52">
        <v>45469</v>
      </c>
      <c r="F1049" s="54">
        <v>23868.80078125</v>
      </c>
      <c r="G1049" s="53">
        <f t="shared" si="33"/>
        <v>6.2180401218380173E-3</v>
      </c>
    </row>
    <row r="1050" spans="1:7" ht="13.5" customHeight="1" x14ac:dyDescent="0.3">
      <c r="A1050" s="52">
        <v>45470</v>
      </c>
      <c r="B1050" s="27">
        <v>185.1</v>
      </c>
      <c r="C1050" s="53">
        <f t="shared" si="32"/>
        <v>-9.6308186195827247E-3</v>
      </c>
      <c r="E1050" s="52">
        <v>45470</v>
      </c>
      <c r="F1050" s="54">
        <v>24044.5</v>
      </c>
      <c r="G1050" s="53">
        <f t="shared" si="33"/>
        <v>7.3610408985448281E-3</v>
      </c>
    </row>
    <row r="1051" spans="1:7" ht="13.5" customHeight="1" x14ac:dyDescent="0.3">
      <c r="A1051" s="52">
        <v>45471</v>
      </c>
      <c r="B1051" s="27">
        <v>187.11</v>
      </c>
      <c r="C1051" s="53">
        <f t="shared" si="32"/>
        <v>1.0858995137763476E-2</v>
      </c>
      <c r="E1051" s="52">
        <v>45471</v>
      </c>
      <c r="F1051" s="54">
        <v>24010.599609375</v>
      </c>
      <c r="G1051" s="53">
        <f t="shared" si="33"/>
        <v>-1.4099020825968517E-3</v>
      </c>
    </row>
    <row r="1052" spans="1:7" ht="13.5" customHeight="1" x14ac:dyDescent="0.3">
      <c r="A1052" s="52">
        <v>45474</v>
      </c>
      <c r="B1052" s="27">
        <v>191.32</v>
      </c>
      <c r="C1052" s="53">
        <f t="shared" si="32"/>
        <v>2.2500133611244613E-2</v>
      </c>
      <c r="E1052" s="52">
        <v>45474</v>
      </c>
      <c r="F1052" s="54">
        <v>24141.94921875</v>
      </c>
      <c r="G1052" s="53">
        <f t="shared" si="33"/>
        <v>5.4704843490753228E-3</v>
      </c>
    </row>
    <row r="1053" spans="1:7" ht="13.5" customHeight="1" x14ac:dyDescent="0.3">
      <c r="A1053" s="52">
        <v>45475</v>
      </c>
      <c r="B1053" s="27">
        <v>192.73</v>
      </c>
      <c r="C1053" s="53">
        <f t="shared" si="32"/>
        <v>7.3698515575998155E-3</v>
      </c>
      <c r="E1053" s="52">
        <v>45475</v>
      </c>
      <c r="F1053" s="54">
        <v>24123.849609375</v>
      </c>
      <c r="G1053" s="53">
        <f t="shared" si="33"/>
        <v>-7.4971615634676354E-4</v>
      </c>
    </row>
    <row r="1054" spans="1:7" ht="13.5" customHeight="1" x14ac:dyDescent="0.3">
      <c r="A1054" s="52">
        <v>45476</v>
      </c>
      <c r="B1054" s="27">
        <v>193.74</v>
      </c>
      <c r="C1054" s="53">
        <f t="shared" si="32"/>
        <v>5.2404918798319901E-3</v>
      </c>
      <c r="E1054" s="52">
        <v>45476</v>
      </c>
      <c r="F1054" s="54">
        <v>24286.5</v>
      </c>
      <c r="G1054" s="53">
        <f t="shared" si="33"/>
        <v>6.742306607722794E-3</v>
      </c>
    </row>
    <row r="1055" spans="1:7" ht="13.5" customHeight="1" x14ac:dyDescent="0.3">
      <c r="A1055" s="52">
        <v>45477</v>
      </c>
      <c r="B1055" s="27">
        <v>194.58</v>
      </c>
      <c r="C1055" s="53">
        <f t="shared" si="32"/>
        <v>4.3357076494270844E-3</v>
      </c>
      <c r="E1055" s="52">
        <v>45477</v>
      </c>
      <c r="F1055" s="54">
        <v>24302.150390625</v>
      </c>
      <c r="G1055" s="53">
        <f t="shared" si="33"/>
        <v>6.4440700080291519E-4</v>
      </c>
    </row>
    <row r="1056" spans="1:7" ht="13.5" customHeight="1" x14ac:dyDescent="0.3">
      <c r="A1056" s="52">
        <v>45478</v>
      </c>
      <c r="B1056" s="27">
        <v>199.02</v>
      </c>
      <c r="C1056" s="53">
        <f t="shared" si="32"/>
        <v>2.281837804502003E-2</v>
      </c>
      <c r="E1056" s="52">
        <v>45478</v>
      </c>
      <c r="F1056" s="54">
        <v>24323.849609375</v>
      </c>
      <c r="G1056" s="53">
        <f t="shared" si="33"/>
        <v>8.928929498506795E-4</v>
      </c>
    </row>
    <row r="1057" spans="1:7" ht="13.5" customHeight="1" x14ac:dyDescent="0.3">
      <c r="A1057" s="52">
        <v>45481</v>
      </c>
      <c r="B1057" s="27">
        <v>206.31</v>
      </c>
      <c r="C1057" s="53">
        <f t="shared" si="32"/>
        <v>3.6629484473922176E-2</v>
      </c>
      <c r="E1057" s="52">
        <v>45481</v>
      </c>
      <c r="F1057" s="54">
        <v>24320.55078125</v>
      </c>
      <c r="G1057" s="53">
        <f t="shared" si="33"/>
        <v>-1.3562113637343622E-4</v>
      </c>
    </row>
    <row r="1058" spans="1:7" ht="13.5" customHeight="1" x14ac:dyDescent="0.3">
      <c r="A1058" s="52">
        <v>45482</v>
      </c>
      <c r="B1058" s="27">
        <v>203.93</v>
      </c>
      <c r="C1058" s="53">
        <f t="shared" si="32"/>
        <v>-1.1536038001066335E-2</v>
      </c>
      <c r="E1058" s="52">
        <v>45482</v>
      </c>
      <c r="F1058" s="54">
        <v>24433.19921875</v>
      </c>
      <c r="G1058" s="53">
        <f t="shared" si="33"/>
        <v>4.631820986013468E-3</v>
      </c>
    </row>
    <row r="1059" spans="1:7" ht="13.5" customHeight="1" x14ac:dyDescent="0.3">
      <c r="A1059" s="52">
        <v>45483</v>
      </c>
      <c r="B1059" s="27">
        <v>199.47</v>
      </c>
      <c r="C1059" s="53">
        <f t="shared" si="32"/>
        <v>-2.1870249595449458E-2</v>
      </c>
      <c r="E1059" s="52">
        <v>45483</v>
      </c>
      <c r="F1059" s="54">
        <v>24324.44921875</v>
      </c>
      <c r="G1059" s="53">
        <f t="shared" si="33"/>
        <v>-4.4509111977667423E-3</v>
      </c>
    </row>
    <row r="1060" spans="1:7" ht="13.5" customHeight="1" x14ac:dyDescent="0.3">
      <c r="A1060" s="52">
        <v>45484</v>
      </c>
      <c r="B1060" s="27">
        <v>198.9</v>
      </c>
      <c r="C1060" s="53">
        <f t="shared" si="32"/>
        <v>-2.8575725673033198E-3</v>
      </c>
      <c r="E1060" s="52">
        <v>45484</v>
      </c>
      <c r="F1060" s="54">
        <v>24315.94921875</v>
      </c>
      <c r="G1060" s="53">
        <f t="shared" si="33"/>
        <v>-3.4944265021417015E-4</v>
      </c>
    </row>
    <row r="1061" spans="1:7" ht="13.5" customHeight="1" x14ac:dyDescent="0.3">
      <c r="A1061" s="52">
        <v>45485</v>
      </c>
      <c r="B1061" s="27">
        <v>197.56</v>
      </c>
      <c r="C1061" s="53">
        <f t="shared" si="32"/>
        <v>-6.7370537958773421E-3</v>
      </c>
      <c r="E1061" s="52">
        <v>45485</v>
      </c>
      <c r="F1061" s="54">
        <v>24502.150390625</v>
      </c>
      <c r="G1061" s="53">
        <f t="shared" si="33"/>
        <v>7.6575736443560468E-3</v>
      </c>
    </row>
    <row r="1062" spans="1:7" ht="13.5" customHeight="1" x14ac:dyDescent="0.3">
      <c r="A1062" s="52">
        <v>45488</v>
      </c>
      <c r="B1062" s="27">
        <v>198.67</v>
      </c>
      <c r="C1062" s="53">
        <f t="shared" si="32"/>
        <v>5.6185462644259224E-3</v>
      </c>
      <c r="E1062" s="52">
        <v>45488</v>
      </c>
      <c r="F1062" s="54">
        <v>24586.69921875</v>
      </c>
      <c r="G1062" s="53">
        <f t="shared" si="33"/>
        <v>3.4506697076412537E-3</v>
      </c>
    </row>
    <row r="1063" spans="1:7" ht="13.5" customHeight="1" x14ac:dyDescent="0.3">
      <c r="A1063" s="52">
        <v>45489</v>
      </c>
      <c r="B1063" s="27">
        <v>199.84</v>
      </c>
      <c r="C1063" s="53">
        <f t="shared" si="32"/>
        <v>5.8891629335079071E-3</v>
      </c>
      <c r="E1063" s="52">
        <v>45489</v>
      </c>
      <c r="F1063" s="54">
        <v>24613</v>
      </c>
      <c r="G1063" s="53">
        <f t="shared" si="33"/>
        <v>1.0697158254550424E-3</v>
      </c>
    </row>
    <row r="1064" spans="1:7" ht="13.5" customHeight="1" x14ac:dyDescent="0.3">
      <c r="A1064" s="52">
        <v>45491</v>
      </c>
      <c r="B1064" s="27">
        <v>192.25</v>
      </c>
      <c r="C1064" s="53">
        <f t="shared" si="32"/>
        <v>-3.798038430744597E-2</v>
      </c>
      <c r="E1064" s="52">
        <v>45491</v>
      </c>
      <c r="F1064" s="54">
        <v>24800.849609375</v>
      </c>
      <c r="G1064" s="53">
        <f t="shared" si="33"/>
        <v>7.63212974342827E-3</v>
      </c>
    </row>
    <row r="1065" spans="1:7" ht="13.5" customHeight="1" x14ac:dyDescent="0.3">
      <c r="A1065" s="52">
        <v>45492</v>
      </c>
      <c r="B1065" s="27">
        <v>186.33</v>
      </c>
      <c r="C1065" s="53">
        <f t="shared" si="32"/>
        <v>-3.0793237971391354E-2</v>
      </c>
      <c r="E1065" s="52">
        <v>45492</v>
      </c>
      <c r="F1065" s="54">
        <v>24530.900390625</v>
      </c>
      <c r="G1065" s="53">
        <f t="shared" si="33"/>
        <v>-1.0884676251089243E-2</v>
      </c>
    </row>
    <row r="1066" spans="1:7" ht="13.5" customHeight="1" x14ac:dyDescent="0.3">
      <c r="A1066" s="52">
        <v>45495</v>
      </c>
      <c r="B1066" s="27">
        <v>190.74</v>
      </c>
      <c r="C1066" s="53">
        <f t="shared" si="32"/>
        <v>2.3667686362904505E-2</v>
      </c>
      <c r="E1066" s="52">
        <v>45495</v>
      </c>
      <c r="F1066" s="54">
        <v>24509.25</v>
      </c>
      <c r="G1066" s="53">
        <f t="shared" si="33"/>
        <v>-8.8257627238477363E-4</v>
      </c>
    </row>
    <row r="1067" spans="1:7" ht="13.5" customHeight="1" x14ac:dyDescent="0.3">
      <c r="A1067" s="52">
        <v>45496</v>
      </c>
      <c r="B1067" s="27">
        <v>185.17</v>
      </c>
      <c r="C1067" s="53">
        <f t="shared" si="32"/>
        <v>-2.920205515361236E-2</v>
      </c>
      <c r="E1067" s="52">
        <v>45496</v>
      </c>
      <c r="F1067" s="54">
        <v>24479.05078125</v>
      </c>
      <c r="G1067" s="53">
        <f t="shared" si="33"/>
        <v>-1.2321559717249609E-3</v>
      </c>
    </row>
    <row r="1068" spans="1:7" ht="13.5" customHeight="1" x14ac:dyDescent="0.3">
      <c r="A1068" s="52">
        <v>45497</v>
      </c>
      <c r="B1068" s="27">
        <v>186.57</v>
      </c>
      <c r="C1068" s="53">
        <f t="shared" si="32"/>
        <v>7.5606199708376396E-3</v>
      </c>
      <c r="E1068" s="52">
        <v>45497</v>
      </c>
      <c r="F1068" s="54">
        <v>24413.5</v>
      </c>
      <c r="G1068" s="53">
        <f t="shared" si="33"/>
        <v>-2.6778318259059845E-3</v>
      </c>
    </row>
    <row r="1069" spans="1:7" ht="13.5" customHeight="1" x14ac:dyDescent="0.3">
      <c r="A1069" s="52">
        <v>45498</v>
      </c>
      <c r="B1069" s="27">
        <v>184.12</v>
      </c>
      <c r="C1069" s="53">
        <f t="shared" si="32"/>
        <v>-1.3131800396633911E-2</v>
      </c>
      <c r="E1069" s="52">
        <v>45498</v>
      </c>
      <c r="F1069" s="54">
        <v>24406.099609375</v>
      </c>
      <c r="G1069" s="53">
        <f t="shared" si="33"/>
        <v>-3.031269840457124E-4</v>
      </c>
    </row>
    <row r="1070" spans="1:7" ht="13.5" customHeight="1" x14ac:dyDescent="0.3">
      <c r="A1070" s="52">
        <v>45499</v>
      </c>
      <c r="B1070" s="27">
        <v>189.5</v>
      </c>
      <c r="C1070" s="53">
        <f t="shared" si="32"/>
        <v>2.9220073864870712E-2</v>
      </c>
      <c r="E1070" s="52">
        <v>45499</v>
      </c>
      <c r="F1070" s="54">
        <v>24834.849609375</v>
      </c>
      <c r="G1070" s="53">
        <f t="shared" si="33"/>
        <v>1.756732976027461E-2</v>
      </c>
    </row>
    <row r="1071" spans="1:7" ht="13.5" customHeight="1" x14ac:dyDescent="0.3">
      <c r="A1071" s="52">
        <v>45502</v>
      </c>
      <c r="B1071" s="27">
        <v>191.68</v>
      </c>
      <c r="C1071" s="53">
        <f t="shared" si="32"/>
        <v>1.1503957783641197E-2</v>
      </c>
      <c r="E1071" s="52">
        <v>45502</v>
      </c>
      <c r="F1071" s="54">
        <v>24836.099609375</v>
      </c>
      <c r="G1071" s="53">
        <f t="shared" si="33"/>
        <v>5.0332497263367071E-5</v>
      </c>
    </row>
    <row r="1072" spans="1:7" ht="13.5" customHeight="1" x14ac:dyDescent="0.3">
      <c r="A1072" s="52">
        <v>45503</v>
      </c>
      <c r="B1072" s="27">
        <v>191.4</v>
      </c>
      <c r="C1072" s="53">
        <f t="shared" si="32"/>
        <v>-1.4607679465776353E-3</v>
      </c>
      <c r="E1072" s="52">
        <v>45503</v>
      </c>
      <c r="F1072" s="54">
        <v>24857.30078125</v>
      </c>
      <c r="G1072" s="53">
        <f t="shared" si="33"/>
        <v>8.5364337430008915E-4</v>
      </c>
    </row>
    <row r="1073" spans="1:7" ht="13.5" customHeight="1" x14ac:dyDescent="0.3">
      <c r="A1073" s="52">
        <v>45504</v>
      </c>
      <c r="B1073" s="27">
        <v>194.22</v>
      </c>
      <c r="C1073" s="53">
        <f t="shared" si="32"/>
        <v>1.4733542319749181E-2</v>
      </c>
      <c r="E1073" s="52">
        <v>45504</v>
      </c>
      <c r="F1073" s="54">
        <v>24951.150390625</v>
      </c>
      <c r="G1073" s="53">
        <f t="shared" si="33"/>
        <v>3.7755350108564997E-3</v>
      </c>
    </row>
    <row r="1074" spans="1:7" ht="13.5" customHeight="1" x14ac:dyDescent="0.3">
      <c r="A1074" s="52">
        <v>45505</v>
      </c>
      <c r="B1074" s="27">
        <v>192.77</v>
      </c>
      <c r="C1074" s="53">
        <f t="shared" si="32"/>
        <v>-7.4657604778086122E-3</v>
      </c>
      <c r="E1074" s="52">
        <v>45505</v>
      </c>
      <c r="F1074" s="54">
        <v>25010.900390625</v>
      </c>
      <c r="G1074" s="53">
        <f t="shared" si="33"/>
        <v>2.3946791656728628E-3</v>
      </c>
    </row>
    <row r="1075" spans="1:7" ht="13.5" customHeight="1" x14ac:dyDescent="0.3">
      <c r="A1075" s="52">
        <v>45506</v>
      </c>
      <c r="B1075" s="27">
        <v>185.21</v>
      </c>
      <c r="C1075" s="53">
        <f t="shared" si="32"/>
        <v>-3.9217720599678381E-2</v>
      </c>
      <c r="E1075" s="52">
        <v>45506</v>
      </c>
      <c r="F1075" s="54">
        <v>24717.69921875</v>
      </c>
      <c r="G1075" s="53">
        <f t="shared" si="33"/>
        <v>-1.1722935491954641E-2</v>
      </c>
    </row>
    <row r="1076" spans="1:7" ht="13.5" customHeight="1" x14ac:dyDescent="0.3">
      <c r="A1076" s="52">
        <v>45509</v>
      </c>
      <c r="B1076" s="27">
        <v>172.94</v>
      </c>
      <c r="C1076" s="53">
        <f t="shared" si="32"/>
        <v>-6.6249122617569295E-2</v>
      </c>
      <c r="E1076" s="52">
        <v>45509</v>
      </c>
      <c r="F1076" s="54">
        <v>24055.599609375</v>
      </c>
      <c r="G1076" s="53">
        <f t="shared" si="33"/>
        <v>-2.6786457894622889E-2</v>
      </c>
    </row>
    <row r="1077" spans="1:7" ht="13.5" customHeight="1" x14ac:dyDescent="0.3">
      <c r="A1077" s="52">
        <v>45510</v>
      </c>
      <c r="B1077" s="27">
        <v>172.62</v>
      </c>
      <c r="C1077" s="53">
        <f t="shared" si="32"/>
        <v>-1.8503527234878755E-3</v>
      </c>
      <c r="E1077" s="52">
        <v>45510</v>
      </c>
      <c r="F1077" s="54">
        <v>23992.55078125</v>
      </c>
      <c r="G1077" s="53">
        <f t="shared" si="33"/>
        <v>-2.6209626510589443E-3</v>
      </c>
    </row>
    <row r="1078" spans="1:7" ht="13.5" customHeight="1" x14ac:dyDescent="0.3">
      <c r="A1078" s="52">
        <v>45511</v>
      </c>
      <c r="B1078" s="27">
        <v>179.34</v>
      </c>
      <c r="C1078" s="53">
        <f t="shared" si="32"/>
        <v>3.8929440389294398E-2</v>
      </c>
      <c r="E1078" s="52">
        <v>45511</v>
      </c>
      <c r="F1078" s="54">
        <v>24297.5</v>
      </c>
      <c r="G1078" s="53">
        <f t="shared" si="33"/>
        <v>1.2710162480444369E-2</v>
      </c>
    </row>
    <row r="1079" spans="1:7" ht="13.5" customHeight="1" x14ac:dyDescent="0.3">
      <c r="A1079" s="52">
        <v>45512</v>
      </c>
      <c r="B1079" s="27">
        <v>172.67</v>
      </c>
      <c r="C1079" s="53">
        <f t="shared" si="32"/>
        <v>-3.7191925950708242E-2</v>
      </c>
      <c r="E1079" s="52">
        <v>45512</v>
      </c>
      <c r="F1079" s="54">
        <v>24117</v>
      </c>
      <c r="G1079" s="53">
        <f t="shared" si="33"/>
        <v>-7.428747813561066E-3</v>
      </c>
    </row>
    <row r="1080" spans="1:7" ht="13.5" customHeight="1" x14ac:dyDescent="0.3">
      <c r="A1080" s="52">
        <v>45513</v>
      </c>
      <c r="B1080" s="27">
        <v>177.25</v>
      </c>
      <c r="C1080" s="53">
        <f t="shared" si="32"/>
        <v>2.6524584467481398E-2</v>
      </c>
      <c r="E1080" s="52">
        <v>45513</v>
      </c>
      <c r="F1080" s="54">
        <v>24367.5</v>
      </c>
      <c r="G1080" s="53">
        <f t="shared" si="33"/>
        <v>1.0386864037815649E-2</v>
      </c>
    </row>
    <row r="1081" spans="1:7" ht="13.5" customHeight="1" x14ac:dyDescent="0.3">
      <c r="A1081" s="52">
        <v>45516</v>
      </c>
      <c r="B1081" s="27">
        <v>174.21</v>
      </c>
      <c r="C1081" s="53">
        <f t="shared" si="32"/>
        <v>-1.7150916784203059E-2</v>
      </c>
      <c r="E1081" s="52">
        <v>45516</v>
      </c>
      <c r="F1081" s="54">
        <v>24347</v>
      </c>
      <c r="G1081" s="53">
        <f t="shared" si="33"/>
        <v>-8.412844977941931E-4</v>
      </c>
    </row>
    <row r="1082" spans="1:7" ht="13.5" customHeight="1" x14ac:dyDescent="0.3">
      <c r="A1082" s="52">
        <v>45517</v>
      </c>
      <c r="B1082" s="27">
        <v>169.88</v>
      </c>
      <c r="C1082" s="53">
        <f t="shared" si="32"/>
        <v>-2.4855059985075555E-2</v>
      </c>
      <c r="E1082" s="52">
        <v>45517</v>
      </c>
      <c r="F1082" s="54">
        <v>24139</v>
      </c>
      <c r="G1082" s="53">
        <f t="shared" si="33"/>
        <v>-8.5431469996303452E-3</v>
      </c>
    </row>
    <row r="1083" spans="1:7" ht="13.5" customHeight="1" x14ac:dyDescent="0.3">
      <c r="A1083" s="52">
        <v>45518</v>
      </c>
      <c r="B1083" s="27">
        <v>165.09</v>
      </c>
      <c r="C1083" s="53">
        <f t="shared" si="32"/>
        <v>-2.8196373910995953E-2</v>
      </c>
      <c r="E1083" s="52">
        <v>45518</v>
      </c>
      <c r="F1083" s="54">
        <v>24143.75</v>
      </c>
      <c r="G1083" s="53">
        <f t="shared" si="33"/>
        <v>1.9677699987571978E-4</v>
      </c>
    </row>
    <row r="1084" spans="1:7" ht="13.5" customHeight="1" x14ac:dyDescent="0.3">
      <c r="A1084" s="52">
        <v>45520</v>
      </c>
      <c r="B1084" s="27">
        <v>165.13</v>
      </c>
      <c r="C1084" s="53">
        <f t="shared" si="32"/>
        <v>2.422920831061363E-4</v>
      </c>
      <c r="E1084" s="52">
        <v>45520</v>
      </c>
      <c r="F1084" s="54">
        <v>24541.150390625</v>
      </c>
      <c r="G1084" s="53">
        <f t="shared" si="33"/>
        <v>1.6459762490292518E-2</v>
      </c>
    </row>
    <row r="1085" spans="1:7" ht="13.5" customHeight="1" x14ac:dyDescent="0.3">
      <c r="A1085" s="52">
        <v>45523</v>
      </c>
      <c r="B1085" s="27">
        <v>171.37</v>
      </c>
      <c r="C1085" s="53">
        <f t="shared" si="32"/>
        <v>3.7788409132198927E-2</v>
      </c>
      <c r="E1085" s="52">
        <v>45523</v>
      </c>
      <c r="F1085" s="54">
        <v>24572.650390625</v>
      </c>
      <c r="G1085" s="53">
        <f t="shared" si="33"/>
        <v>1.2835584110202657E-3</v>
      </c>
    </row>
    <row r="1086" spans="1:7" ht="13.5" customHeight="1" x14ac:dyDescent="0.3">
      <c r="A1086" s="52">
        <v>45524</v>
      </c>
      <c r="B1086" s="27">
        <v>172.06</v>
      </c>
      <c r="C1086" s="53">
        <f t="shared" si="32"/>
        <v>4.0263756783567584E-3</v>
      </c>
      <c r="E1086" s="52">
        <v>45524</v>
      </c>
      <c r="F1086" s="54">
        <v>24698.849609375</v>
      </c>
      <c r="G1086" s="53">
        <f t="shared" si="33"/>
        <v>5.1357593399101852E-3</v>
      </c>
    </row>
    <row r="1087" spans="1:7" ht="13.5" customHeight="1" x14ac:dyDescent="0.3">
      <c r="A1087" s="52">
        <v>45525</v>
      </c>
      <c r="B1087" s="27">
        <v>170.78</v>
      </c>
      <c r="C1087" s="53">
        <f t="shared" si="32"/>
        <v>-7.439265372544468E-3</v>
      </c>
      <c r="E1087" s="52">
        <v>45525</v>
      </c>
      <c r="F1087" s="54">
        <v>24770.19921875</v>
      </c>
      <c r="G1087" s="53">
        <f t="shared" si="33"/>
        <v>2.8887826964992596E-3</v>
      </c>
    </row>
    <row r="1088" spans="1:7" ht="13.5" customHeight="1" x14ac:dyDescent="0.3">
      <c r="A1088" s="52">
        <v>45526</v>
      </c>
      <c r="B1088" s="27">
        <v>171.35</v>
      </c>
      <c r="C1088" s="53">
        <f t="shared" si="32"/>
        <v>3.337627356833313E-3</v>
      </c>
      <c r="E1088" s="52">
        <v>45526</v>
      </c>
      <c r="F1088" s="54">
        <v>24811.5</v>
      </c>
      <c r="G1088" s="53">
        <f t="shared" si="33"/>
        <v>1.667357653657345E-3</v>
      </c>
    </row>
    <row r="1089" spans="1:7" ht="13.5" customHeight="1" x14ac:dyDescent="0.3">
      <c r="A1089" s="52">
        <v>45527</v>
      </c>
      <c r="B1089" s="27">
        <v>173.16</v>
      </c>
      <c r="C1089" s="53">
        <f t="shared" si="32"/>
        <v>1.0563174788444717E-2</v>
      </c>
      <c r="E1089" s="52">
        <v>45527</v>
      </c>
      <c r="F1089" s="54">
        <v>24823.150390625</v>
      </c>
      <c r="G1089" s="53">
        <f t="shared" si="33"/>
        <v>4.6955607782681415E-4</v>
      </c>
    </row>
    <row r="1090" spans="1:7" ht="13.5" customHeight="1" x14ac:dyDescent="0.3">
      <c r="A1090" s="52">
        <v>45530</v>
      </c>
      <c r="B1090" s="27">
        <v>181.98</v>
      </c>
      <c r="C1090" s="53">
        <f t="shared" si="32"/>
        <v>5.0935550935550897E-2</v>
      </c>
      <c r="E1090" s="52">
        <v>45530</v>
      </c>
      <c r="F1090" s="54">
        <v>25010.599609375</v>
      </c>
      <c r="G1090" s="53">
        <f t="shared" si="33"/>
        <v>7.551387144670978E-3</v>
      </c>
    </row>
    <row r="1091" spans="1:7" ht="13.5" customHeight="1" x14ac:dyDescent="0.3">
      <c r="A1091" s="52">
        <v>45531</v>
      </c>
      <c r="B1091" s="27">
        <v>185.53</v>
      </c>
      <c r="C1091" s="53">
        <f t="shared" si="32"/>
        <v>1.9507638202000282E-2</v>
      </c>
      <c r="E1091" s="52">
        <v>45531</v>
      </c>
      <c r="F1091" s="54">
        <v>25017.75</v>
      </c>
      <c r="G1091" s="53">
        <f t="shared" si="33"/>
        <v>2.8589441023715959E-4</v>
      </c>
    </row>
    <row r="1092" spans="1:7" ht="13.5" customHeight="1" x14ac:dyDescent="0.3">
      <c r="A1092" s="52">
        <v>45532</v>
      </c>
      <c r="B1092" s="27">
        <v>184.56</v>
      </c>
      <c r="C1092" s="53">
        <f t="shared" si="32"/>
        <v>-5.2282649706246907E-3</v>
      </c>
      <c r="E1092" s="52">
        <v>45532</v>
      </c>
      <c r="F1092" s="54">
        <v>25052.349609375</v>
      </c>
      <c r="G1092" s="53">
        <f t="shared" si="33"/>
        <v>1.3830024432652816E-3</v>
      </c>
    </row>
    <row r="1093" spans="1:7" ht="13.5" customHeight="1" x14ac:dyDescent="0.3">
      <c r="A1093" s="52">
        <v>45533</v>
      </c>
      <c r="B1093" s="27">
        <v>182.73</v>
      </c>
      <c r="C1093" s="53">
        <f t="shared" ref="C1093:C1156" si="34">(B1093-B1092)/B1092</f>
        <v>-9.9154746423927853E-3</v>
      </c>
      <c r="E1093" s="52">
        <v>45533</v>
      </c>
      <c r="F1093" s="54">
        <v>25151.94921875</v>
      </c>
      <c r="G1093" s="53">
        <f t="shared" ref="G1093:G1156" si="35">(F1093-F1092)/F1092</f>
        <v>3.9756594063228385E-3</v>
      </c>
    </row>
    <row r="1094" spans="1:7" ht="13.5" customHeight="1" x14ac:dyDescent="0.3">
      <c r="A1094" s="52">
        <v>45534</v>
      </c>
      <c r="B1094" s="27">
        <v>182.6</v>
      </c>
      <c r="C1094" s="53">
        <f t="shared" si="34"/>
        <v>-7.1143216767906455E-4</v>
      </c>
      <c r="E1094" s="52">
        <v>45534</v>
      </c>
      <c r="F1094" s="54">
        <v>25235.900390625</v>
      </c>
      <c r="G1094" s="53">
        <f t="shared" si="35"/>
        <v>3.3377600735777966E-3</v>
      </c>
    </row>
    <row r="1095" spans="1:7" ht="13.5" customHeight="1" x14ac:dyDescent="0.3">
      <c r="A1095" s="52">
        <v>45537</v>
      </c>
      <c r="B1095" s="27">
        <v>178.6</v>
      </c>
      <c r="C1095" s="53">
        <f t="shared" si="34"/>
        <v>-2.1905805038335158E-2</v>
      </c>
      <c r="E1095" s="52">
        <v>45537</v>
      </c>
      <c r="F1095" s="54">
        <v>25278.69921875</v>
      </c>
      <c r="G1095" s="53">
        <f t="shared" si="35"/>
        <v>1.6959501132323192E-3</v>
      </c>
    </row>
    <row r="1096" spans="1:7" ht="13.5" customHeight="1" x14ac:dyDescent="0.3">
      <c r="A1096" s="52">
        <v>45538</v>
      </c>
      <c r="B1096" s="27">
        <v>178.67</v>
      </c>
      <c r="C1096" s="53">
        <f t="shared" si="34"/>
        <v>3.9193729003355644E-4</v>
      </c>
      <c r="E1096" s="52">
        <v>45538</v>
      </c>
      <c r="F1096" s="54">
        <v>25279.849609375</v>
      </c>
      <c r="G1096" s="53">
        <f t="shared" si="35"/>
        <v>4.5508299894905958E-5</v>
      </c>
    </row>
    <row r="1097" spans="1:7" ht="13.5" customHeight="1" x14ac:dyDescent="0.3">
      <c r="A1097" s="52">
        <v>45539</v>
      </c>
      <c r="B1097" s="27">
        <v>174.72</v>
      </c>
      <c r="C1097" s="53">
        <f t="shared" si="34"/>
        <v>-2.2107796496333963E-2</v>
      </c>
      <c r="E1097" s="52">
        <v>45539</v>
      </c>
      <c r="F1097" s="54">
        <v>25198.69921875</v>
      </c>
      <c r="G1097" s="53">
        <f t="shared" si="35"/>
        <v>-3.2100820170585776E-3</v>
      </c>
    </row>
    <row r="1098" spans="1:7" ht="13.5" customHeight="1" x14ac:dyDescent="0.3">
      <c r="A1098" s="52">
        <v>45540</v>
      </c>
      <c r="B1098" s="27">
        <v>176.29</v>
      </c>
      <c r="C1098" s="53">
        <f t="shared" si="34"/>
        <v>8.9858058608058219E-3</v>
      </c>
      <c r="E1098" s="52">
        <v>45540</v>
      </c>
      <c r="F1098" s="54">
        <v>25145.099609375</v>
      </c>
      <c r="G1098" s="53">
        <f t="shared" si="35"/>
        <v>-2.1270784221717794E-3</v>
      </c>
    </row>
    <row r="1099" spans="1:7" ht="13.5" customHeight="1" x14ac:dyDescent="0.3">
      <c r="A1099" s="52">
        <v>45541</v>
      </c>
      <c r="B1099" s="27">
        <v>174</v>
      </c>
      <c r="C1099" s="53">
        <f t="shared" si="34"/>
        <v>-1.2989959725452334E-2</v>
      </c>
      <c r="E1099" s="52">
        <v>45541</v>
      </c>
      <c r="F1099" s="54">
        <v>24852.150390625</v>
      </c>
      <c r="G1099" s="53">
        <f t="shared" si="35"/>
        <v>-1.1650350298901897E-2</v>
      </c>
    </row>
    <row r="1100" spans="1:7" ht="13.5" customHeight="1" x14ac:dyDescent="0.3">
      <c r="A1100" s="52">
        <v>45544</v>
      </c>
      <c r="B1100" s="27">
        <v>171.15</v>
      </c>
      <c r="C1100" s="53">
        <f t="shared" si="34"/>
        <v>-1.6379310344827553E-2</v>
      </c>
      <c r="E1100" s="52">
        <v>45544</v>
      </c>
      <c r="F1100" s="54">
        <v>24936.400390625</v>
      </c>
      <c r="G1100" s="53">
        <f t="shared" si="35"/>
        <v>3.3900486950127948E-3</v>
      </c>
    </row>
    <row r="1101" spans="1:7" ht="13.5" customHeight="1" x14ac:dyDescent="0.3">
      <c r="A1101" s="52">
        <v>45545</v>
      </c>
      <c r="B1101" s="27">
        <v>175.61</v>
      </c>
      <c r="C1101" s="53">
        <f t="shared" si="34"/>
        <v>2.6059012562080094E-2</v>
      </c>
      <c r="E1101" s="52">
        <v>45545</v>
      </c>
      <c r="F1101" s="54">
        <v>25041.099609375</v>
      </c>
      <c r="G1101" s="53">
        <f t="shared" si="35"/>
        <v>4.1986500501236075E-3</v>
      </c>
    </row>
    <row r="1102" spans="1:7" ht="13.5" customHeight="1" x14ac:dyDescent="0.3">
      <c r="A1102" s="52">
        <v>45546</v>
      </c>
      <c r="B1102" s="27">
        <v>171.44</v>
      </c>
      <c r="C1102" s="53">
        <f t="shared" si="34"/>
        <v>-2.3745800353055155E-2</v>
      </c>
      <c r="E1102" s="52">
        <v>45546</v>
      </c>
      <c r="F1102" s="54">
        <v>24918.44921875</v>
      </c>
      <c r="G1102" s="53">
        <f t="shared" si="35"/>
        <v>-4.8979634496195048E-3</v>
      </c>
    </row>
    <row r="1103" spans="1:7" ht="13.5" customHeight="1" x14ac:dyDescent="0.3">
      <c r="A1103" s="52">
        <v>45547</v>
      </c>
      <c r="B1103" s="27">
        <v>179.43</v>
      </c>
      <c r="C1103" s="53">
        <f t="shared" si="34"/>
        <v>4.6605226318245506E-2</v>
      </c>
      <c r="E1103" s="52">
        <v>45547</v>
      </c>
      <c r="F1103" s="54">
        <v>25388.900390625</v>
      </c>
      <c r="G1103" s="53">
        <f t="shared" si="35"/>
        <v>1.8879632827271085E-2</v>
      </c>
    </row>
    <row r="1104" spans="1:7" ht="13.5" customHeight="1" x14ac:dyDescent="0.3">
      <c r="A1104" s="52">
        <v>45548</v>
      </c>
      <c r="B1104" s="27">
        <v>182.35</v>
      </c>
      <c r="C1104" s="53">
        <f t="shared" si="34"/>
        <v>1.6273755782199115E-2</v>
      </c>
      <c r="E1104" s="52">
        <v>45548</v>
      </c>
      <c r="F1104" s="54">
        <v>25356.5</v>
      </c>
      <c r="G1104" s="53">
        <f t="shared" si="35"/>
        <v>-1.2761636040355664E-3</v>
      </c>
    </row>
    <row r="1105" spans="1:7" ht="13.5" customHeight="1" x14ac:dyDescent="0.3">
      <c r="A1105" s="52">
        <v>45551</v>
      </c>
      <c r="B1105" s="27">
        <v>189.38</v>
      </c>
      <c r="C1105" s="53">
        <f t="shared" si="34"/>
        <v>3.8552234713463127E-2</v>
      </c>
      <c r="E1105" s="52">
        <v>45551</v>
      </c>
      <c r="F1105" s="54">
        <v>25383.75</v>
      </c>
      <c r="G1105" s="53">
        <f t="shared" si="35"/>
        <v>1.0746751326089958E-3</v>
      </c>
    </row>
    <row r="1106" spans="1:7" ht="13.5" customHeight="1" x14ac:dyDescent="0.3">
      <c r="A1106" s="52">
        <v>45552</v>
      </c>
      <c r="B1106" s="27">
        <v>186.77</v>
      </c>
      <c r="C1106" s="53">
        <f t="shared" si="34"/>
        <v>-1.378181434153546E-2</v>
      </c>
      <c r="E1106" s="52">
        <v>45552</v>
      </c>
      <c r="F1106" s="54">
        <v>25418.55078125</v>
      </c>
      <c r="G1106" s="53">
        <f t="shared" si="35"/>
        <v>1.3709866056039789E-3</v>
      </c>
    </row>
    <row r="1107" spans="1:7" ht="13.5" customHeight="1" x14ac:dyDescent="0.3">
      <c r="A1107" s="52">
        <v>45553</v>
      </c>
      <c r="B1107" s="27">
        <v>185.16</v>
      </c>
      <c r="C1107" s="53">
        <f t="shared" si="34"/>
        <v>-8.6202280880227737E-3</v>
      </c>
      <c r="E1107" s="52">
        <v>45553</v>
      </c>
      <c r="F1107" s="54">
        <v>25377.55078125</v>
      </c>
      <c r="G1107" s="53">
        <f t="shared" si="35"/>
        <v>-1.6129951842196943E-3</v>
      </c>
    </row>
    <row r="1108" spans="1:7" ht="13.5" customHeight="1" x14ac:dyDescent="0.3">
      <c r="A1108" s="52">
        <v>45554</v>
      </c>
      <c r="B1108" s="27">
        <v>182.2</v>
      </c>
      <c r="C1108" s="53">
        <f t="shared" si="34"/>
        <v>-1.598617411968032E-2</v>
      </c>
      <c r="E1108" s="52">
        <v>45554</v>
      </c>
      <c r="F1108" s="54">
        <v>25415.80078125</v>
      </c>
      <c r="G1108" s="53">
        <f t="shared" si="35"/>
        <v>1.5072376499098844E-3</v>
      </c>
    </row>
    <row r="1109" spans="1:7" ht="13.5" customHeight="1" x14ac:dyDescent="0.3">
      <c r="A1109" s="52">
        <v>45555</v>
      </c>
      <c r="B1109" s="27">
        <v>184.03</v>
      </c>
      <c r="C1109" s="53">
        <f t="shared" si="34"/>
        <v>1.004390779363344E-2</v>
      </c>
      <c r="E1109" s="52">
        <v>45555</v>
      </c>
      <c r="F1109" s="54">
        <v>25790.94921875</v>
      </c>
      <c r="G1109" s="53">
        <f t="shared" si="35"/>
        <v>1.4760441377741608E-2</v>
      </c>
    </row>
    <row r="1110" spans="1:7" ht="13.5" customHeight="1" x14ac:dyDescent="0.3">
      <c r="A1110" s="52">
        <v>45558</v>
      </c>
      <c r="B1110" s="27">
        <v>180.24</v>
      </c>
      <c r="C1110" s="53">
        <f t="shared" si="34"/>
        <v>-2.0594468293213021E-2</v>
      </c>
      <c r="E1110" s="52">
        <v>45558</v>
      </c>
      <c r="F1110" s="54">
        <v>25939.05078125</v>
      </c>
      <c r="G1110" s="53">
        <f t="shared" si="35"/>
        <v>5.7423850996662926E-3</v>
      </c>
    </row>
    <row r="1111" spans="1:7" ht="13.5" customHeight="1" x14ac:dyDescent="0.3">
      <c r="A1111" s="52">
        <v>45559</v>
      </c>
      <c r="B1111" s="27">
        <v>191.48</v>
      </c>
      <c r="C1111" s="53">
        <f t="shared" si="34"/>
        <v>6.2361296049711384E-2</v>
      </c>
      <c r="E1111" s="52">
        <v>45559</v>
      </c>
      <c r="F1111" s="54">
        <v>25940.400390625</v>
      </c>
      <c r="G1111" s="53">
        <f t="shared" si="35"/>
        <v>5.2030021699003842E-5</v>
      </c>
    </row>
    <row r="1112" spans="1:7" ht="13.5" customHeight="1" x14ac:dyDescent="0.3">
      <c r="A1112" s="52">
        <v>45560</v>
      </c>
      <c r="B1112" s="27">
        <v>195.2</v>
      </c>
      <c r="C1112" s="53">
        <f t="shared" si="34"/>
        <v>1.9427616461249211E-2</v>
      </c>
      <c r="E1112" s="52">
        <v>45560</v>
      </c>
      <c r="F1112" s="54">
        <v>26004.150390625</v>
      </c>
      <c r="G1112" s="53">
        <f t="shared" si="35"/>
        <v>2.4575565157058869E-3</v>
      </c>
    </row>
    <row r="1113" spans="1:7" ht="13.5" customHeight="1" x14ac:dyDescent="0.3">
      <c r="A1113" s="52">
        <v>45561</v>
      </c>
      <c r="B1113" s="27">
        <v>203.02</v>
      </c>
      <c r="C1113" s="53">
        <f t="shared" si="34"/>
        <v>4.0061475409836178E-2</v>
      </c>
      <c r="E1113" s="52">
        <v>45561</v>
      </c>
      <c r="F1113" s="54">
        <v>26216.05078125</v>
      </c>
      <c r="G1113" s="53">
        <f t="shared" si="35"/>
        <v>8.1487142414540942E-3</v>
      </c>
    </row>
    <row r="1114" spans="1:7" ht="13.5" customHeight="1" x14ac:dyDescent="0.3">
      <c r="A1114" s="52">
        <v>45562</v>
      </c>
      <c r="B1114" s="27">
        <v>207.04</v>
      </c>
      <c r="C1114" s="53">
        <f t="shared" si="34"/>
        <v>1.980100482711054E-2</v>
      </c>
      <c r="E1114" s="52">
        <v>45562</v>
      </c>
      <c r="F1114" s="54">
        <v>26178.94921875</v>
      </c>
      <c r="G1114" s="53">
        <f t="shared" si="35"/>
        <v>-1.4152231703234049E-3</v>
      </c>
    </row>
    <row r="1115" spans="1:7" ht="13.5" customHeight="1" x14ac:dyDescent="0.3">
      <c r="A1115" s="52">
        <v>45565</v>
      </c>
      <c r="B1115" s="27">
        <v>210.29</v>
      </c>
      <c r="C1115" s="53">
        <f t="shared" si="34"/>
        <v>1.5697449768160742E-2</v>
      </c>
      <c r="E1115" s="52">
        <v>45565</v>
      </c>
      <c r="F1115" s="54">
        <v>25810.849609375</v>
      </c>
      <c r="G1115" s="53">
        <f t="shared" si="35"/>
        <v>-1.406090085202343E-2</v>
      </c>
    </row>
    <row r="1116" spans="1:7" ht="13.5" customHeight="1" x14ac:dyDescent="0.3">
      <c r="A1116" s="52">
        <v>45566</v>
      </c>
      <c r="B1116" s="27">
        <v>224.23</v>
      </c>
      <c r="C1116" s="53">
        <f t="shared" si="34"/>
        <v>6.6289409862570731E-2</v>
      </c>
      <c r="E1116" s="52">
        <v>45566</v>
      </c>
      <c r="F1116" s="54">
        <v>25796.900390625</v>
      </c>
      <c r="G1116" s="53">
        <f t="shared" si="35"/>
        <v>-5.4044012347944466E-4</v>
      </c>
    </row>
    <row r="1117" spans="1:7" ht="13.5" customHeight="1" x14ac:dyDescent="0.3">
      <c r="A1117" s="52">
        <v>45568</v>
      </c>
      <c r="B1117" s="27">
        <v>222.55</v>
      </c>
      <c r="C1117" s="53">
        <f t="shared" si="34"/>
        <v>-7.4923070061988957E-3</v>
      </c>
      <c r="E1117" s="52">
        <v>45568</v>
      </c>
      <c r="F1117" s="54">
        <v>25250.099609375</v>
      </c>
      <c r="G1117" s="53">
        <f t="shared" si="35"/>
        <v>-2.1196375260987402E-2</v>
      </c>
    </row>
    <row r="1118" spans="1:7" ht="13.5" customHeight="1" x14ac:dyDescent="0.3">
      <c r="A1118" s="52">
        <v>45569</v>
      </c>
      <c r="B1118" s="27">
        <v>220.35</v>
      </c>
      <c r="C1118" s="53">
        <f t="shared" si="34"/>
        <v>-9.8854190069648032E-3</v>
      </c>
      <c r="E1118" s="52">
        <v>45569</v>
      </c>
      <c r="F1118" s="54">
        <v>25014.599609375</v>
      </c>
      <c r="G1118" s="53">
        <f t="shared" si="35"/>
        <v>-9.3266958801446562E-3</v>
      </c>
    </row>
    <row r="1119" spans="1:7" ht="13.5" customHeight="1" x14ac:dyDescent="0.3">
      <c r="A1119" s="52">
        <v>45572</v>
      </c>
      <c r="B1119" s="27">
        <v>214.89</v>
      </c>
      <c r="C1119" s="53">
        <f t="shared" si="34"/>
        <v>-2.477876106194694E-2</v>
      </c>
      <c r="E1119" s="52">
        <v>45572</v>
      </c>
      <c r="F1119" s="54">
        <v>24795.75</v>
      </c>
      <c r="G1119" s="53">
        <f t="shared" si="35"/>
        <v>-8.7488751686027114E-3</v>
      </c>
    </row>
    <row r="1120" spans="1:7" ht="13.5" customHeight="1" x14ac:dyDescent="0.3">
      <c r="A1120" s="52">
        <v>45573</v>
      </c>
      <c r="B1120" s="27">
        <v>212.79</v>
      </c>
      <c r="C1120" s="53">
        <f t="shared" si="34"/>
        <v>-9.7724417143654641E-3</v>
      </c>
      <c r="E1120" s="52">
        <v>45573</v>
      </c>
      <c r="F1120" s="54">
        <v>25013.150390625</v>
      </c>
      <c r="G1120" s="53">
        <f t="shared" si="35"/>
        <v>8.7676473034693451E-3</v>
      </c>
    </row>
    <row r="1121" spans="1:7" ht="13.5" customHeight="1" x14ac:dyDescent="0.3">
      <c r="A1121" s="52">
        <v>45574</v>
      </c>
      <c r="B1121" s="27">
        <v>214.28</v>
      </c>
      <c r="C1121" s="53">
        <f t="shared" si="34"/>
        <v>7.0022087504112464E-3</v>
      </c>
      <c r="E1121" s="52">
        <v>45574</v>
      </c>
      <c r="F1121" s="54">
        <v>24981.94921875</v>
      </c>
      <c r="G1121" s="53">
        <f t="shared" si="35"/>
        <v>-1.2473907279865989E-3</v>
      </c>
    </row>
    <row r="1122" spans="1:7" ht="13.5" customHeight="1" x14ac:dyDescent="0.3">
      <c r="A1122" s="52">
        <v>45575</v>
      </c>
      <c r="B1122" s="27">
        <v>212.72</v>
      </c>
      <c r="C1122" s="53">
        <f t="shared" si="34"/>
        <v>-7.280194138510371E-3</v>
      </c>
      <c r="E1122" s="52">
        <v>45575</v>
      </c>
      <c r="F1122" s="54">
        <v>24998.44921875</v>
      </c>
      <c r="G1122" s="53">
        <f t="shared" si="35"/>
        <v>6.6047688495083712E-4</v>
      </c>
    </row>
    <row r="1123" spans="1:7" ht="13.5" customHeight="1" x14ac:dyDescent="0.3">
      <c r="A1123" s="52">
        <v>45576</v>
      </c>
      <c r="B1123" s="27">
        <v>222.92</v>
      </c>
      <c r="C1123" s="53">
        <f t="shared" si="34"/>
        <v>4.7950357277171819E-2</v>
      </c>
      <c r="E1123" s="52">
        <v>45576</v>
      </c>
      <c r="F1123" s="54">
        <v>24964.25</v>
      </c>
      <c r="G1123" s="53">
        <f t="shared" si="35"/>
        <v>-1.3680536120756241E-3</v>
      </c>
    </row>
    <row r="1124" spans="1:7" ht="13.5" customHeight="1" x14ac:dyDescent="0.3">
      <c r="A1124" s="52">
        <v>45579</v>
      </c>
      <c r="B1124" s="27">
        <v>226.56</v>
      </c>
      <c r="C1124" s="53">
        <f t="shared" si="34"/>
        <v>1.6328727794724631E-2</v>
      </c>
      <c r="E1124" s="52">
        <v>45579</v>
      </c>
      <c r="F1124" s="54">
        <v>25127.94921875</v>
      </c>
      <c r="G1124" s="53">
        <f t="shared" si="35"/>
        <v>6.5573457544288337E-3</v>
      </c>
    </row>
    <row r="1125" spans="1:7" ht="13.5" customHeight="1" x14ac:dyDescent="0.3">
      <c r="A1125" s="52">
        <v>45580</v>
      </c>
      <c r="B1125" s="27">
        <v>219.02</v>
      </c>
      <c r="C1125" s="53">
        <f t="shared" si="34"/>
        <v>-3.328036723163838E-2</v>
      </c>
      <c r="E1125" s="52">
        <v>45580</v>
      </c>
      <c r="F1125" s="54">
        <v>25057.349609375</v>
      </c>
      <c r="G1125" s="53">
        <f t="shared" si="35"/>
        <v>-2.8096049048968912E-3</v>
      </c>
    </row>
    <row r="1126" spans="1:7" ht="13.5" customHeight="1" x14ac:dyDescent="0.3">
      <c r="A1126" s="52">
        <v>45581</v>
      </c>
      <c r="B1126" s="27">
        <v>217.31</v>
      </c>
      <c r="C1126" s="53">
        <f t="shared" si="34"/>
        <v>-7.8075061638206919E-3</v>
      </c>
      <c r="E1126" s="52">
        <v>45581</v>
      </c>
      <c r="F1126" s="54">
        <v>24971.30078125</v>
      </c>
      <c r="G1126" s="53">
        <f t="shared" si="35"/>
        <v>-3.4340754096676505E-3</v>
      </c>
    </row>
    <row r="1127" spans="1:7" ht="13.5" customHeight="1" x14ac:dyDescent="0.3">
      <c r="A1127" s="52">
        <v>45582</v>
      </c>
      <c r="B1127" s="27">
        <v>225.17</v>
      </c>
      <c r="C1127" s="53">
        <f t="shared" si="34"/>
        <v>3.6169527403248747E-2</v>
      </c>
      <c r="E1127" s="52">
        <v>45582</v>
      </c>
      <c r="F1127" s="54">
        <v>24749.849609375</v>
      </c>
      <c r="G1127" s="53">
        <f t="shared" si="35"/>
        <v>-8.8682273228345102E-3</v>
      </c>
    </row>
    <row r="1128" spans="1:7" ht="13.5" customHeight="1" x14ac:dyDescent="0.3">
      <c r="A1128" s="52">
        <v>45583</v>
      </c>
      <c r="B1128" s="27">
        <v>232.12</v>
      </c>
      <c r="C1128" s="53">
        <f t="shared" si="34"/>
        <v>3.0865568237331872E-2</v>
      </c>
      <c r="E1128" s="52">
        <v>45583</v>
      </c>
      <c r="F1128" s="54">
        <v>24854.05078125</v>
      </c>
      <c r="G1128" s="53">
        <f t="shared" si="35"/>
        <v>4.2101739412400158E-3</v>
      </c>
    </row>
    <row r="1129" spans="1:7" ht="13.5" customHeight="1" x14ac:dyDescent="0.3">
      <c r="A1129" s="52">
        <v>45586</v>
      </c>
      <c r="B1129" s="27">
        <v>230</v>
      </c>
      <c r="C1129" s="53">
        <f t="shared" si="34"/>
        <v>-9.1332069619162702E-3</v>
      </c>
      <c r="E1129" s="52">
        <v>45586</v>
      </c>
      <c r="F1129" s="54">
        <v>24781.099609375</v>
      </c>
      <c r="G1129" s="53">
        <f t="shared" si="35"/>
        <v>-2.9351823779983047E-3</v>
      </c>
    </row>
    <row r="1130" spans="1:7" ht="13.5" customHeight="1" x14ac:dyDescent="0.3">
      <c r="A1130" s="52">
        <v>45587</v>
      </c>
      <c r="B1130" s="27">
        <v>220.47</v>
      </c>
      <c r="C1130" s="53">
        <f t="shared" si="34"/>
        <v>-4.143478260869566E-2</v>
      </c>
      <c r="E1130" s="52">
        <v>45587</v>
      </c>
      <c r="F1130" s="54">
        <v>24472.099609375</v>
      </c>
      <c r="G1130" s="53">
        <f t="shared" si="35"/>
        <v>-1.2469180337869326E-2</v>
      </c>
    </row>
    <row r="1131" spans="1:7" ht="13.5" customHeight="1" x14ac:dyDescent="0.3">
      <c r="A1131" s="52">
        <v>45588</v>
      </c>
      <c r="B1131" s="27">
        <v>224.01</v>
      </c>
      <c r="C1131" s="53">
        <f t="shared" si="34"/>
        <v>1.6056606340998741E-2</v>
      </c>
      <c r="E1131" s="52">
        <v>45588</v>
      </c>
      <c r="F1131" s="54">
        <v>24435.5</v>
      </c>
      <c r="G1131" s="53">
        <f t="shared" si="35"/>
        <v>-1.4955647434917714E-3</v>
      </c>
    </row>
    <row r="1132" spans="1:7" ht="13.5" customHeight="1" x14ac:dyDescent="0.3">
      <c r="A1132" s="52">
        <v>45589</v>
      </c>
      <c r="B1132" s="27">
        <v>226.35</v>
      </c>
      <c r="C1132" s="53">
        <f t="shared" si="34"/>
        <v>1.0445962233828862E-2</v>
      </c>
      <c r="E1132" s="52">
        <v>45589</v>
      </c>
      <c r="F1132" s="54">
        <v>24399.400390625</v>
      </c>
      <c r="G1132" s="53">
        <f t="shared" si="35"/>
        <v>-1.4773427748562542E-3</v>
      </c>
    </row>
    <row r="1133" spans="1:7" ht="13.5" customHeight="1" x14ac:dyDescent="0.3">
      <c r="A1133" s="52">
        <v>45590</v>
      </c>
      <c r="B1133" s="27">
        <v>218.87</v>
      </c>
      <c r="C1133" s="53">
        <f t="shared" si="34"/>
        <v>-3.3046167439805568E-2</v>
      </c>
      <c r="E1133" s="52">
        <v>45590</v>
      </c>
      <c r="F1133" s="54">
        <v>24180.80078125</v>
      </c>
      <c r="G1133" s="53">
        <f t="shared" si="35"/>
        <v>-8.9592205494932031E-3</v>
      </c>
    </row>
    <row r="1134" spans="1:7" ht="13.5" customHeight="1" x14ac:dyDescent="0.3">
      <c r="A1134" s="52">
        <v>45593</v>
      </c>
      <c r="B1134" s="27">
        <v>223.79</v>
      </c>
      <c r="C1134" s="53">
        <f t="shared" si="34"/>
        <v>2.247909718097495E-2</v>
      </c>
      <c r="E1134" s="52">
        <v>45593</v>
      </c>
      <c r="F1134" s="54">
        <v>24339.150390625</v>
      </c>
      <c r="G1134" s="53">
        <f t="shared" si="35"/>
        <v>6.5485676346080995E-3</v>
      </c>
    </row>
    <row r="1135" spans="1:7" ht="13.5" customHeight="1" x14ac:dyDescent="0.3">
      <c r="A1135" s="52">
        <v>45594</v>
      </c>
      <c r="B1135" s="27">
        <v>228.25</v>
      </c>
      <c r="C1135" s="53">
        <f t="shared" si="34"/>
        <v>1.9929398096429726E-2</v>
      </c>
      <c r="E1135" s="52">
        <v>45594</v>
      </c>
      <c r="F1135" s="54">
        <v>24466.849609375</v>
      </c>
      <c r="G1135" s="53">
        <f t="shared" si="35"/>
        <v>5.2466588480092318E-3</v>
      </c>
    </row>
    <row r="1136" spans="1:7" ht="13.5" customHeight="1" x14ac:dyDescent="0.3">
      <c r="A1136" s="52">
        <v>45595</v>
      </c>
      <c r="B1136" s="27">
        <v>227.12</v>
      </c>
      <c r="C1136" s="53">
        <f t="shared" si="34"/>
        <v>-4.9507119386637257E-3</v>
      </c>
      <c r="E1136" s="52">
        <v>45595</v>
      </c>
      <c r="F1136" s="54">
        <v>24340.849609375</v>
      </c>
      <c r="G1136" s="53">
        <f t="shared" si="35"/>
        <v>-5.149825253829181E-3</v>
      </c>
    </row>
    <row r="1137" spans="1:7" ht="13.5" customHeight="1" x14ac:dyDescent="0.3">
      <c r="A1137" s="52">
        <v>45596</v>
      </c>
      <c r="B1137" s="27">
        <v>227.32</v>
      </c>
      <c r="C1137" s="53">
        <f t="shared" si="34"/>
        <v>8.8059175766109826E-4</v>
      </c>
      <c r="E1137" s="52">
        <v>45596</v>
      </c>
      <c r="F1137" s="54">
        <v>24205.349609375</v>
      </c>
      <c r="G1137" s="53">
        <f t="shared" si="35"/>
        <v>-5.566773640794013E-3</v>
      </c>
    </row>
    <row r="1138" spans="1:7" ht="13.5" customHeight="1" x14ac:dyDescent="0.3">
      <c r="A1138" s="52">
        <v>45597</v>
      </c>
      <c r="B1138" s="27">
        <v>229.15</v>
      </c>
      <c r="C1138" s="53">
        <f t="shared" si="34"/>
        <v>8.0503255322893399E-3</v>
      </c>
      <c r="E1138" s="52">
        <v>45597</v>
      </c>
      <c r="F1138" s="54">
        <v>24304.349609375</v>
      </c>
      <c r="G1138" s="53">
        <f t="shared" si="35"/>
        <v>4.0900049616162618E-3</v>
      </c>
    </row>
    <row r="1139" spans="1:7" ht="13.5" customHeight="1" x14ac:dyDescent="0.3">
      <c r="A1139" s="52">
        <v>45600</v>
      </c>
      <c r="B1139" s="27">
        <v>230.82</v>
      </c>
      <c r="C1139" s="53">
        <f t="shared" si="34"/>
        <v>7.2878027492908025E-3</v>
      </c>
      <c r="E1139" s="52">
        <v>45600</v>
      </c>
      <c r="F1139" s="54">
        <v>23995.349609375</v>
      </c>
      <c r="G1139" s="53">
        <f t="shared" si="35"/>
        <v>-1.2713773664645128E-2</v>
      </c>
    </row>
    <row r="1140" spans="1:7" ht="13.5" customHeight="1" x14ac:dyDescent="0.3">
      <c r="A1140" s="52">
        <v>45601</v>
      </c>
      <c r="B1140" s="27">
        <v>235.03</v>
      </c>
      <c r="C1140" s="53">
        <f t="shared" si="34"/>
        <v>1.8239320682783156E-2</v>
      </c>
      <c r="E1140" s="52">
        <v>45601</v>
      </c>
      <c r="F1140" s="54">
        <v>24213.30078125</v>
      </c>
      <c r="G1140" s="53">
        <f t="shared" si="35"/>
        <v>9.0830588186073483E-3</v>
      </c>
    </row>
    <row r="1141" spans="1:7" ht="13.5" customHeight="1" x14ac:dyDescent="0.3">
      <c r="A1141" s="52">
        <v>45602</v>
      </c>
      <c r="B1141" s="27">
        <v>244.98</v>
      </c>
      <c r="C1141" s="53">
        <f t="shared" si="34"/>
        <v>4.2335021061141086E-2</v>
      </c>
      <c r="E1141" s="52">
        <v>45602</v>
      </c>
      <c r="F1141" s="54">
        <v>24484.05078125</v>
      </c>
      <c r="G1141" s="53">
        <f t="shared" si="35"/>
        <v>1.1181870759630595E-2</v>
      </c>
    </row>
    <row r="1142" spans="1:7" ht="13.5" customHeight="1" x14ac:dyDescent="0.3">
      <c r="A1142" s="52">
        <v>45603</v>
      </c>
      <c r="B1142" s="27">
        <v>238.63</v>
      </c>
      <c r="C1142" s="53">
        <f t="shared" si="34"/>
        <v>-2.5920483304759549E-2</v>
      </c>
      <c r="E1142" s="52">
        <v>45603</v>
      </c>
      <c r="F1142" s="54">
        <v>24199.349609375</v>
      </c>
      <c r="G1142" s="53">
        <f t="shared" si="35"/>
        <v>-1.1628025706147672E-2</v>
      </c>
    </row>
    <row r="1143" spans="1:7" ht="13.5" customHeight="1" x14ac:dyDescent="0.3">
      <c r="A1143" s="52">
        <v>45604</v>
      </c>
      <c r="B1143" s="27">
        <v>238.89</v>
      </c>
      <c r="C1143" s="53">
        <f t="shared" si="34"/>
        <v>1.0895528642668186E-3</v>
      </c>
      <c r="E1143" s="52">
        <v>45604</v>
      </c>
      <c r="F1143" s="54">
        <v>24148.19921875</v>
      </c>
      <c r="G1143" s="53">
        <f t="shared" si="35"/>
        <v>-2.1137093124678017E-3</v>
      </c>
    </row>
    <row r="1144" spans="1:7" ht="13.5" customHeight="1" x14ac:dyDescent="0.3">
      <c r="A1144" s="52">
        <v>45607</v>
      </c>
      <c r="B1144" s="27">
        <v>232.67</v>
      </c>
      <c r="C1144" s="53">
        <f t="shared" si="34"/>
        <v>-2.6037088199589765E-2</v>
      </c>
      <c r="E1144" s="52">
        <v>45607</v>
      </c>
      <c r="F1144" s="54">
        <v>24141.30078125</v>
      </c>
      <c r="G1144" s="53">
        <f t="shared" si="35"/>
        <v>-2.8567088740280355E-4</v>
      </c>
    </row>
    <row r="1145" spans="1:7" ht="13.5" customHeight="1" x14ac:dyDescent="0.3">
      <c r="A1145" s="52">
        <v>45608</v>
      </c>
      <c r="B1145" s="27">
        <v>225.91</v>
      </c>
      <c r="C1145" s="53">
        <f t="shared" si="34"/>
        <v>-2.9054025013968244E-2</v>
      </c>
      <c r="E1145" s="52">
        <v>45608</v>
      </c>
      <c r="F1145" s="54">
        <v>23883.44921875</v>
      </c>
      <c r="G1145" s="53">
        <f t="shared" si="35"/>
        <v>-1.0680930776533279E-2</v>
      </c>
    </row>
    <row r="1146" spans="1:7" ht="13.5" customHeight="1" x14ac:dyDescent="0.3">
      <c r="A1146" s="52">
        <v>45609</v>
      </c>
      <c r="B1146" s="27">
        <v>219.69</v>
      </c>
      <c r="C1146" s="53">
        <f t="shared" si="34"/>
        <v>-2.7533088398034609E-2</v>
      </c>
      <c r="E1146" s="52">
        <v>45609</v>
      </c>
      <c r="F1146" s="54">
        <v>23559.05078125</v>
      </c>
      <c r="G1146" s="53">
        <f t="shared" si="35"/>
        <v>-1.3582562322921387E-2</v>
      </c>
    </row>
    <row r="1147" spans="1:7" ht="13.5" customHeight="1" x14ac:dyDescent="0.3">
      <c r="A1147" s="52">
        <v>45610</v>
      </c>
      <c r="B1147" s="27">
        <v>219.87</v>
      </c>
      <c r="C1147" s="53">
        <f t="shared" si="34"/>
        <v>8.193363375666021E-4</v>
      </c>
      <c r="E1147" s="52">
        <v>45610</v>
      </c>
      <c r="F1147" s="54">
        <v>23532.69921875</v>
      </c>
      <c r="G1147" s="53">
        <f t="shared" si="35"/>
        <v>-1.1185324376894032E-3</v>
      </c>
    </row>
    <row r="1148" spans="1:7" ht="13.5" customHeight="1" x14ac:dyDescent="0.3">
      <c r="A1148" s="52">
        <v>45614</v>
      </c>
      <c r="B1148" s="27">
        <v>239.93</v>
      </c>
      <c r="C1148" s="53">
        <f t="shared" si="34"/>
        <v>9.1235730204211593E-2</v>
      </c>
      <c r="E1148" s="52">
        <v>45614</v>
      </c>
      <c r="F1148" s="54">
        <v>23453.80078125</v>
      </c>
      <c r="G1148" s="53">
        <f t="shared" si="35"/>
        <v>-3.3527151631265739E-3</v>
      </c>
    </row>
    <row r="1149" spans="1:7" ht="13.5" customHeight="1" x14ac:dyDescent="0.3">
      <c r="A1149" s="52">
        <v>45615</v>
      </c>
      <c r="B1149" s="27">
        <v>240.31</v>
      </c>
      <c r="C1149" s="53">
        <f t="shared" si="34"/>
        <v>1.5837952736214539E-3</v>
      </c>
      <c r="E1149" s="52">
        <v>45615</v>
      </c>
      <c r="F1149" s="54">
        <v>23518.5</v>
      </c>
      <c r="G1149" s="53">
        <f t="shared" si="35"/>
        <v>2.7585814066316875E-3</v>
      </c>
    </row>
    <row r="1150" spans="1:7" ht="13.5" customHeight="1" x14ac:dyDescent="0.3">
      <c r="A1150" s="52">
        <v>45617</v>
      </c>
      <c r="B1150" s="27">
        <v>248.21</v>
      </c>
      <c r="C1150" s="53">
        <f t="shared" si="34"/>
        <v>3.2874204152969107E-2</v>
      </c>
      <c r="E1150" s="52">
        <v>45617</v>
      </c>
      <c r="F1150" s="54">
        <v>23349.900390625</v>
      </c>
      <c r="G1150" s="53">
        <f t="shared" si="35"/>
        <v>-7.1688079331164827E-3</v>
      </c>
    </row>
    <row r="1151" spans="1:7" ht="13.5" customHeight="1" x14ac:dyDescent="0.3">
      <c r="A1151" s="52">
        <v>45618</v>
      </c>
      <c r="B1151" s="27">
        <v>256.85000000000002</v>
      </c>
      <c r="C1151" s="53">
        <f t="shared" si="34"/>
        <v>3.4809234116272569E-2</v>
      </c>
      <c r="E1151" s="52">
        <v>45618</v>
      </c>
      <c r="F1151" s="54">
        <v>23907.25</v>
      </c>
      <c r="G1151" s="53">
        <f t="shared" si="35"/>
        <v>2.3869464111237762E-2</v>
      </c>
    </row>
    <row r="1152" spans="1:7" ht="13.5" customHeight="1" x14ac:dyDescent="0.3">
      <c r="A1152" s="52">
        <v>45621</v>
      </c>
      <c r="B1152" s="27">
        <v>251.37</v>
      </c>
      <c r="C1152" s="53">
        <f t="shared" si="34"/>
        <v>-2.1335409772240677E-2</v>
      </c>
      <c r="E1152" s="52">
        <v>45621</v>
      </c>
      <c r="F1152" s="54">
        <v>24221.900390625</v>
      </c>
      <c r="G1152" s="53">
        <f t="shared" si="35"/>
        <v>1.3161295867362411E-2</v>
      </c>
    </row>
    <row r="1153" spans="1:7" ht="13.5" customHeight="1" x14ac:dyDescent="0.3">
      <c r="A1153" s="52">
        <v>45622</v>
      </c>
      <c r="B1153" s="27">
        <v>249.95</v>
      </c>
      <c r="C1153" s="53">
        <f t="shared" si="34"/>
        <v>-5.6490432430282688E-3</v>
      </c>
      <c r="E1153" s="52">
        <v>45622</v>
      </c>
      <c r="F1153" s="54">
        <v>24194.5</v>
      </c>
      <c r="G1153" s="53">
        <f t="shared" si="35"/>
        <v>-1.1312238174179439E-3</v>
      </c>
    </row>
    <row r="1154" spans="1:7" ht="13.5" customHeight="1" x14ac:dyDescent="0.3">
      <c r="A1154" s="52">
        <v>45623</v>
      </c>
      <c r="B1154" s="27">
        <v>246.29</v>
      </c>
      <c r="C1154" s="53">
        <f t="shared" si="34"/>
        <v>-1.4642928585717131E-2</v>
      </c>
      <c r="E1154" s="52">
        <v>45623</v>
      </c>
      <c r="F1154" s="54">
        <v>24274.900390625</v>
      </c>
      <c r="G1154" s="53">
        <f t="shared" si="35"/>
        <v>3.3230854378061129E-3</v>
      </c>
    </row>
    <row r="1155" spans="1:7" ht="13.5" customHeight="1" x14ac:dyDescent="0.3">
      <c r="A1155" s="52">
        <v>45624</v>
      </c>
      <c r="B1155" s="27">
        <v>249.02</v>
      </c>
      <c r="C1155" s="53">
        <f t="shared" si="34"/>
        <v>1.1084493889317546E-2</v>
      </c>
      <c r="E1155" s="52">
        <v>45624</v>
      </c>
      <c r="F1155" s="54">
        <v>23914.150390625</v>
      </c>
      <c r="G1155" s="53">
        <f t="shared" si="35"/>
        <v>-1.4861029054492934E-2</v>
      </c>
    </row>
    <row r="1156" spans="1:7" ht="13.5" customHeight="1" x14ac:dyDescent="0.3">
      <c r="A1156" s="52">
        <v>45625</v>
      </c>
      <c r="B1156" s="27">
        <v>242.14</v>
      </c>
      <c r="C1156" s="53">
        <f t="shared" si="34"/>
        <v>-2.7628302947554507E-2</v>
      </c>
      <c r="E1156" s="52">
        <v>45625</v>
      </c>
      <c r="F1156" s="54">
        <v>24131.099609375</v>
      </c>
      <c r="G1156" s="53">
        <f t="shared" si="35"/>
        <v>9.0720019405351737E-3</v>
      </c>
    </row>
    <row r="1157" spans="1:7" ht="13.5" customHeight="1" x14ac:dyDescent="0.3">
      <c r="A1157" s="52">
        <v>45628</v>
      </c>
      <c r="B1157" s="27">
        <v>243.3</v>
      </c>
      <c r="C1157" s="53">
        <f t="shared" ref="C1157:C1220" si="36">(B1157-B1156)/B1156</f>
        <v>4.7906169984307636E-3</v>
      </c>
      <c r="E1157" s="52">
        <v>45628</v>
      </c>
      <c r="F1157" s="54">
        <v>24276.05078125</v>
      </c>
      <c r="G1157" s="53">
        <f t="shared" ref="G1157:G1220" si="37">(F1157-F1156)/F1156</f>
        <v>6.0068200049485541E-3</v>
      </c>
    </row>
    <row r="1158" spans="1:7" ht="13.5" customHeight="1" x14ac:dyDescent="0.3">
      <c r="A1158" s="52">
        <v>45629</v>
      </c>
      <c r="B1158" s="27">
        <v>246.87</v>
      </c>
      <c r="C1158" s="53">
        <f t="shared" si="36"/>
        <v>1.467324290998764E-2</v>
      </c>
      <c r="E1158" s="52">
        <v>45629</v>
      </c>
      <c r="F1158" s="54">
        <v>24457.150390625</v>
      </c>
      <c r="G1158" s="53">
        <f t="shared" si="37"/>
        <v>7.4600111445999777E-3</v>
      </c>
    </row>
    <row r="1159" spans="1:7" ht="13.5" customHeight="1" x14ac:dyDescent="0.3">
      <c r="A1159" s="52">
        <v>45630</v>
      </c>
      <c r="B1159" s="27">
        <v>245.16</v>
      </c>
      <c r="C1159" s="53">
        <f t="shared" si="36"/>
        <v>-6.9267225665330251E-3</v>
      </c>
      <c r="E1159" s="52">
        <v>45630</v>
      </c>
      <c r="F1159" s="54">
        <v>24467.44921875</v>
      </c>
      <c r="G1159" s="53">
        <f t="shared" si="37"/>
        <v>4.2109681465375389E-4</v>
      </c>
    </row>
    <row r="1160" spans="1:7" ht="13.5" customHeight="1" x14ac:dyDescent="0.3">
      <c r="A1160" s="52">
        <v>45631</v>
      </c>
      <c r="B1160" s="27">
        <v>248.79</v>
      </c>
      <c r="C1160" s="53">
        <f t="shared" si="36"/>
        <v>1.4806656877141441E-2</v>
      </c>
      <c r="E1160" s="52">
        <v>45631</v>
      </c>
      <c r="F1160" s="54">
        <v>24708.400390625</v>
      </c>
      <c r="G1160" s="53">
        <f t="shared" si="37"/>
        <v>9.8478255628851284E-3</v>
      </c>
    </row>
    <row r="1161" spans="1:7" ht="13.5" customHeight="1" x14ac:dyDescent="0.3">
      <c r="A1161" s="52">
        <v>45632</v>
      </c>
      <c r="B1161" s="27">
        <v>248.26</v>
      </c>
      <c r="C1161" s="53">
        <f t="shared" si="36"/>
        <v>-2.1303107038064279E-3</v>
      </c>
      <c r="E1161" s="52">
        <v>45632</v>
      </c>
      <c r="F1161" s="54">
        <v>24677.80078125</v>
      </c>
      <c r="G1161" s="53">
        <f t="shared" si="37"/>
        <v>-1.2384293961259537E-3</v>
      </c>
    </row>
    <row r="1162" spans="1:7" ht="13.5" customHeight="1" x14ac:dyDescent="0.3">
      <c r="A1162" s="52">
        <v>45635</v>
      </c>
      <c r="B1162" s="27">
        <v>250.56</v>
      </c>
      <c r="C1162" s="53">
        <f t="shared" si="36"/>
        <v>9.2644807862725023E-3</v>
      </c>
      <c r="E1162" s="52">
        <v>45635</v>
      </c>
      <c r="F1162" s="54">
        <v>24619</v>
      </c>
      <c r="G1162" s="53">
        <f t="shared" si="37"/>
        <v>-2.3827399277279349E-3</v>
      </c>
    </row>
    <row r="1163" spans="1:7" ht="13.5" customHeight="1" x14ac:dyDescent="0.3">
      <c r="A1163" s="52">
        <v>45636</v>
      </c>
      <c r="B1163" s="27">
        <v>250.21</v>
      </c>
      <c r="C1163" s="53">
        <f t="shared" si="36"/>
        <v>-1.3968710089399517E-3</v>
      </c>
      <c r="E1163" s="52">
        <v>45636</v>
      </c>
      <c r="F1163" s="54">
        <v>24610.05078125</v>
      </c>
      <c r="G1163" s="53">
        <f t="shared" si="37"/>
        <v>-3.6350862138998332E-4</v>
      </c>
    </row>
    <row r="1164" spans="1:7" ht="13.5" customHeight="1" x14ac:dyDescent="0.3">
      <c r="A1164" s="52">
        <v>45637</v>
      </c>
      <c r="B1164" s="27">
        <v>249.53</v>
      </c>
      <c r="C1164" s="53">
        <f t="shared" si="36"/>
        <v>-2.7177171176212254E-3</v>
      </c>
      <c r="E1164" s="52">
        <v>45637</v>
      </c>
      <c r="F1164" s="54">
        <v>24641.80078125</v>
      </c>
      <c r="G1164" s="53">
        <f t="shared" si="37"/>
        <v>1.2901233029632678E-3</v>
      </c>
    </row>
    <row r="1165" spans="1:7" ht="13.5" customHeight="1" x14ac:dyDescent="0.3">
      <c r="A1165" s="52">
        <v>45638</v>
      </c>
      <c r="B1165" s="27">
        <v>230.78</v>
      </c>
      <c r="C1165" s="53">
        <f t="shared" si="36"/>
        <v>-7.514126557928906E-2</v>
      </c>
      <c r="E1165" s="52">
        <v>45638</v>
      </c>
      <c r="F1165" s="54">
        <v>24548.69921875</v>
      </c>
      <c r="G1165" s="53">
        <f t="shared" si="37"/>
        <v>-3.778196379659119E-3</v>
      </c>
    </row>
    <row r="1166" spans="1:7" ht="13.5" customHeight="1" x14ac:dyDescent="0.3">
      <c r="A1166" s="52">
        <v>45639</v>
      </c>
      <c r="B1166" s="27">
        <v>226.46</v>
      </c>
      <c r="C1166" s="53">
        <f t="shared" si="36"/>
        <v>-1.8719126440766069E-2</v>
      </c>
      <c r="E1166" s="52">
        <v>45639</v>
      </c>
      <c r="F1166" s="54">
        <v>24768.30078125</v>
      </c>
      <c r="G1166" s="53">
        <f t="shared" si="37"/>
        <v>8.9455478085890185E-3</v>
      </c>
    </row>
    <row r="1167" spans="1:7" ht="13.5" customHeight="1" x14ac:dyDescent="0.3">
      <c r="A1167" s="52">
        <v>45642</v>
      </c>
      <c r="B1167" s="27">
        <v>219.91</v>
      </c>
      <c r="C1167" s="53">
        <f t="shared" si="36"/>
        <v>-2.8923430186346424E-2</v>
      </c>
      <c r="E1167" s="52">
        <v>45642</v>
      </c>
      <c r="F1167" s="54">
        <v>24668.25</v>
      </c>
      <c r="G1167" s="53">
        <f t="shared" si="37"/>
        <v>-4.0394689217332193E-3</v>
      </c>
    </row>
    <row r="1168" spans="1:7" ht="13.5" customHeight="1" x14ac:dyDescent="0.3">
      <c r="A1168" s="52">
        <v>45643</v>
      </c>
      <c r="B1168" s="27">
        <v>226.63</v>
      </c>
      <c r="C1168" s="53">
        <f t="shared" si="36"/>
        <v>3.0557955527261149E-2</v>
      </c>
      <c r="E1168" s="52">
        <v>45643</v>
      </c>
      <c r="F1168" s="54">
        <v>24336</v>
      </c>
      <c r="G1168" s="53">
        <f t="shared" si="37"/>
        <v>-1.3468730047733423E-2</v>
      </c>
    </row>
    <row r="1169" spans="1:7" ht="13.5" customHeight="1" x14ac:dyDescent="0.3">
      <c r="A1169" s="52">
        <v>45644</v>
      </c>
      <c r="B1169" s="27">
        <v>226.88</v>
      </c>
      <c r="C1169" s="53">
        <f t="shared" si="36"/>
        <v>1.1031196222918414E-3</v>
      </c>
      <c r="E1169" s="52">
        <v>45644</v>
      </c>
      <c r="F1169" s="54">
        <v>24198.849609375</v>
      </c>
      <c r="G1169" s="53">
        <f t="shared" si="37"/>
        <v>-5.6356998120069036E-3</v>
      </c>
    </row>
    <row r="1170" spans="1:7" ht="13.5" customHeight="1" x14ac:dyDescent="0.3">
      <c r="A1170" s="52">
        <v>45645</v>
      </c>
      <c r="B1170" s="27">
        <v>220.87</v>
      </c>
      <c r="C1170" s="53">
        <f t="shared" si="36"/>
        <v>-2.6489774330042272E-2</v>
      </c>
      <c r="E1170" s="52">
        <v>45645</v>
      </c>
      <c r="F1170" s="54">
        <v>23951.69921875</v>
      </c>
      <c r="G1170" s="53">
        <f t="shared" si="37"/>
        <v>-1.0213311567061031E-2</v>
      </c>
    </row>
    <row r="1171" spans="1:7" ht="13.5" customHeight="1" x14ac:dyDescent="0.3">
      <c r="A1171" s="52">
        <v>45646</v>
      </c>
      <c r="B1171" s="27">
        <v>215.36</v>
      </c>
      <c r="C1171" s="53">
        <f t="shared" si="36"/>
        <v>-2.4946801285824199E-2</v>
      </c>
      <c r="E1171" s="52">
        <v>45646</v>
      </c>
      <c r="F1171" s="54">
        <v>23587.5</v>
      </c>
      <c r="G1171" s="53">
        <f t="shared" si="37"/>
        <v>-1.5205569150805617E-2</v>
      </c>
    </row>
    <row r="1172" spans="1:7" ht="13.5" customHeight="1" x14ac:dyDescent="0.3">
      <c r="A1172" s="52">
        <v>45649</v>
      </c>
      <c r="B1172" s="27">
        <v>217.49</v>
      </c>
      <c r="C1172" s="53">
        <f t="shared" si="36"/>
        <v>9.89041604754827E-3</v>
      </c>
      <c r="E1172" s="52">
        <v>45649</v>
      </c>
      <c r="F1172" s="54">
        <v>23753.44921875</v>
      </c>
      <c r="G1172" s="53">
        <f t="shared" si="37"/>
        <v>7.0354729729729731E-3</v>
      </c>
    </row>
    <row r="1173" spans="1:7" ht="13.5" customHeight="1" x14ac:dyDescent="0.3">
      <c r="A1173" s="52">
        <v>45650</v>
      </c>
      <c r="B1173" s="27">
        <v>213.38</v>
      </c>
      <c r="C1173" s="53">
        <f t="shared" si="36"/>
        <v>-1.8897420571060801E-2</v>
      </c>
      <c r="E1173" s="52">
        <v>45650</v>
      </c>
      <c r="F1173" s="54">
        <v>23727.650390625</v>
      </c>
      <c r="G1173" s="53">
        <f t="shared" si="37"/>
        <v>-1.0861087115144297E-3</v>
      </c>
    </row>
    <row r="1174" spans="1:7" ht="13.5" customHeight="1" x14ac:dyDescent="0.3">
      <c r="A1174" s="52">
        <v>45652</v>
      </c>
      <c r="B1174" s="27">
        <v>217.07</v>
      </c>
      <c r="C1174" s="53">
        <f t="shared" si="36"/>
        <v>1.7293092136095218E-2</v>
      </c>
      <c r="E1174" s="52">
        <v>45652</v>
      </c>
      <c r="F1174" s="54">
        <v>23750.19921875</v>
      </c>
      <c r="G1174" s="53">
        <f t="shared" si="37"/>
        <v>9.5031862631915877E-4</v>
      </c>
    </row>
    <row r="1175" spans="1:7" ht="13.5" customHeight="1" x14ac:dyDescent="0.3">
      <c r="A1175" s="52">
        <v>45653</v>
      </c>
      <c r="B1175" s="27">
        <v>213.59</v>
      </c>
      <c r="C1175" s="53">
        <f t="shared" si="36"/>
        <v>-1.6031694844980834E-2</v>
      </c>
      <c r="E1175" s="52">
        <v>45653</v>
      </c>
      <c r="F1175" s="54">
        <v>23813.400390625</v>
      </c>
      <c r="G1175" s="53">
        <f t="shared" si="37"/>
        <v>2.6610796521279179E-3</v>
      </c>
    </row>
    <row r="1176" spans="1:7" ht="13.5" customHeight="1" x14ac:dyDescent="0.3">
      <c r="A1176" s="52">
        <v>45656</v>
      </c>
      <c r="B1176" s="27">
        <v>209.66</v>
      </c>
      <c r="C1176" s="53">
        <f t="shared" si="36"/>
        <v>-1.8399737815440829E-2</v>
      </c>
      <c r="E1176" s="52">
        <v>45656</v>
      </c>
      <c r="F1176" s="54">
        <v>23644.900390625</v>
      </c>
      <c r="G1176" s="53">
        <f t="shared" si="37"/>
        <v>-7.0758479358679106E-3</v>
      </c>
    </row>
    <row r="1177" spans="1:7" ht="13.5" customHeight="1" x14ac:dyDescent="0.3">
      <c r="A1177" s="52">
        <v>45657</v>
      </c>
      <c r="B1177" s="27">
        <v>211.7</v>
      </c>
      <c r="C1177" s="53">
        <f t="shared" si="36"/>
        <v>9.7300391109414863E-3</v>
      </c>
      <c r="E1177" s="52">
        <v>45657</v>
      </c>
      <c r="F1177" s="54">
        <v>23644.80078125</v>
      </c>
      <c r="G1177" s="53">
        <f t="shared" si="37"/>
        <v>-4.2127212783477941E-6</v>
      </c>
    </row>
    <row r="1178" spans="1:7" ht="13.5" customHeight="1" x14ac:dyDescent="0.3">
      <c r="A1178" s="52">
        <v>45658</v>
      </c>
      <c r="B1178" s="27">
        <v>214.13</v>
      </c>
      <c r="C1178" s="53">
        <f t="shared" si="36"/>
        <v>1.1478507321681658E-2</v>
      </c>
      <c r="E1178" s="52">
        <v>45658</v>
      </c>
      <c r="F1178" s="54">
        <v>23742.900390625</v>
      </c>
      <c r="G1178" s="53">
        <f t="shared" si="37"/>
        <v>4.1488871182535671E-3</v>
      </c>
    </row>
    <row r="1179" spans="1:7" ht="13.5" customHeight="1" x14ac:dyDescent="0.3">
      <c r="A1179" s="52">
        <v>45659</v>
      </c>
      <c r="B1179" s="27">
        <v>216.55</v>
      </c>
      <c r="C1179" s="53">
        <f t="shared" si="36"/>
        <v>1.1301545789940765E-2</v>
      </c>
      <c r="E1179" s="52">
        <v>45659</v>
      </c>
      <c r="F1179" s="54">
        <v>24188.650390625</v>
      </c>
      <c r="G1179" s="53">
        <f t="shared" si="37"/>
        <v>1.8774033191665436E-2</v>
      </c>
    </row>
    <row r="1180" spans="1:7" ht="13.5" customHeight="1" x14ac:dyDescent="0.3">
      <c r="A1180" s="52">
        <v>45660</v>
      </c>
      <c r="B1180" s="27">
        <v>208</v>
      </c>
      <c r="C1180" s="53">
        <f t="shared" si="36"/>
        <v>-3.9482798429923853E-2</v>
      </c>
      <c r="E1180" s="52">
        <v>45660</v>
      </c>
      <c r="F1180" s="54">
        <v>24004.75</v>
      </c>
      <c r="G1180" s="53">
        <f t="shared" si="37"/>
        <v>-7.602755327609176E-3</v>
      </c>
    </row>
    <row r="1181" spans="1:7" ht="13.5" customHeight="1" x14ac:dyDescent="0.3">
      <c r="A1181" s="52">
        <v>45663</v>
      </c>
      <c r="B1181" s="27">
        <v>200.08</v>
      </c>
      <c r="C1181" s="53">
        <f t="shared" si="36"/>
        <v>-3.8076923076923015E-2</v>
      </c>
      <c r="E1181" s="52">
        <v>45663</v>
      </c>
      <c r="F1181" s="54">
        <v>23616.05078125</v>
      </c>
      <c r="G1181" s="53">
        <f t="shared" si="37"/>
        <v>-1.6192595996625668E-2</v>
      </c>
    </row>
    <row r="1182" spans="1:7" ht="13.5" customHeight="1" x14ac:dyDescent="0.3">
      <c r="A1182" s="52">
        <v>45664</v>
      </c>
      <c r="B1182" s="27">
        <v>205.87</v>
      </c>
      <c r="C1182" s="53">
        <f t="shared" si="36"/>
        <v>2.89384246301479E-2</v>
      </c>
      <c r="E1182" s="52">
        <v>45664</v>
      </c>
      <c r="F1182" s="54">
        <v>23707.900390625</v>
      </c>
      <c r="G1182" s="53">
        <f t="shared" si="37"/>
        <v>3.8892874268344705E-3</v>
      </c>
    </row>
    <row r="1183" spans="1:7" ht="13.5" customHeight="1" x14ac:dyDescent="0.3">
      <c r="A1183" s="52">
        <v>45665</v>
      </c>
      <c r="B1183" s="27">
        <v>204.38</v>
      </c>
      <c r="C1183" s="53">
        <f t="shared" si="36"/>
        <v>-7.2375771117696077E-3</v>
      </c>
      <c r="E1183" s="52">
        <v>45665</v>
      </c>
      <c r="F1183" s="54">
        <v>23688.94921875</v>
      </c>
      <c r="G1183" s="53">
        <f t="shared" si="37"/>
        <v>-7.9936103841966573E-4</v>
      </c>
    </row>
    <row r="1184" spans="1:7" ht="13.5" customHeight="1" x14ac:dyDescent="0.3">
      <c r="A1184" s="52">
        <v>45666</v>
      </c>
      <c r="B1184" s="27">
        <v>199.27</v>
      </c>
      <c r="C1184" s="53">
        <f t="shared" si="36"/>
        <v>-2.5002446423329022E-2</v>
      </c>
      <c r="E1184" s="52">
        <v>45666</v>
      </c>
      <c r="F1184" s="54">
        <v>23526.5</v>
      </c>
      <c r="G1184" s="53">
        <f t="shared" si="37"/>
        <v>-6.8575949591474531E-3</v>
      </c>
    </row>
    <row r="1185" spans="1:7" ht="13.5" customHeight="1" x14ac:dyDescent="0.3">
      <c r="A1185" s="52">
        <v>45667</v>
      </c>
      <c r="B1185" s="27">
        <v>202.26</v>
      </c>
      <c r="C1185" s="53">
        <f t="shared" si="36"/>
        <v>1.5004767401013603E-2</v>
      </c>
      <c r="E1185" s="52">
        <v>45667</v>
      </c>
      <c r="F1185" s="54">
        <v>23431.5</v>
      </c>
      <c r="G1185" s="53">
        <f t="shared" si="37"/>
        <v>-4.0379997024631801E-3</v>
      </c>
    </row>
    <row r="1186" spans="1:7" ht="13.5" customHeight="1" x14ac:dyDescent="0.3">
      <c r="A1186" s="52">
        <v>45670</v>
      </c>
      <c r="B1186" s="27">
        <v>191.6</v>
      </c>
      <c r="C1186" s="53">
        <f t="shared" si="36"/>
        <v>-5.2704439829921866E-2</v>
      </c>
      <c r="E1186" s="52">
        <v>45670</v>
      </c>
      <c r="F1186" s="54">
        <v>23085.94921875</v>
      </c>
      <c r="G1186" s="53">
        <f t="shared" si="37"/>
        <v>-1.4747275302477434E-2</v>
      </c>
    </row>
    <row r="1187" spans="1:7" ht="13.5" customHeight="1" x14ac:dyDescent="0.3">
      <c r="A1187" s="52">
        <v>45671</v>
      </c>
      <c r="B1187" s="27">
        <v>199.51</v>
      </c>
      <c r="C1187" s="53">
        <f t="shared" si="36"/>
        <v>4.1283924843423782E-2</v>
      </c>
      <c r="E1187" s="52">
        <v>45671</v>
      </c>
      <c r="F1187" s="54">
        <v>23176.05078125</v>
      </c>
      <c r="G1187" s="53">
        <f t="shared" si="37"/>
        <v>3.9028744993868871E-3</v>
      </c>
    </row>
    <row r="1188" spans="1:7" ht="13.5" customHeight="1" x14ac:dyDescent="0.3">
      <c r="A1188" s="52">
        <v>45672</v>
      </c>
      <c r="B1188" s="27">
        <v>195.21</v>
      </c>
      <c r="C1188" s="53">
        <f t="shared" si="36"/>
        <v>-2.155280437070815E-2</v>
      </c>
      <c r="E1188" s="52">
        <v>45672</v>
      </c>
      <c r="F1188" s="54">
        <v>23213.19921875</v>
      </c>
      <c r="G1188" s="53">
        <f t="shared" si="37"/>
        <v>1.6028803979862699E-3</v>
      </c>
    </row>
    <row r="1189" spans="1:7" ht="13.5" customHeight="1" x14ac:dyDescent="0.3">
      <c r="A1189" s="52">
        <v>45673</v>
      </c>
      <c r="B1189" s="27">
        <v>198.63</v>
      </c>
      <c r="C1189" s="53">
        <f t="shared" si="36"/>
        <v>1.7519594283079695E-2</v>
      </c>
      <c r="E1189" s="52">
        <v>45673</v>
      </c>
      <c r="F1189" s="54">
        <v>23311.80078125</v>
      </c>
      <c r="G1189" s="53">
        <f t="shared" si="37"/>
        <v>4.2476507253837101E-3</v>
      </c>
    </row>
    <row r="1190" spans="1:7" ht="13.5" customHeight="1" x14ac:dyDescent="0.3">
      <c r="A1190" s="52">
        <v>45674</v>
      </c>
      <c r="B1190" s="27">
        <v>205.54</v>
      </c>
      <c r="C1190" s="53">
        <f t="shared" si="36"/>
        <v>3.4788299853999886E-2</v>
      </c>
      <c r="E1190" s="52">
        <v>45674</v>
      </c>
      <c r="F1190" s="54">
        <v>23203.19921875</v>
      </c>
      <c r="G1190" s="53">
        <f t="shared" si="37"/>
        <v>-4.6586517926727362E-3</v>
      </c>
    </row>
    <row r="1191" spans="1:7" ht="13.5" customHeight="1" x14ac:dyDescent="0.3">
      <c r="A1191" s="52">
        <v>45677</v>
      </c>
      <c r="B1191" s="27">
        <v>210.55</v>
      </c>
      <c r="C1191" s="53">
        <f t="shared" si="36"/>
        <v>2.4374817553760919E-2</v>
      </c>
      <c r="E1191" s="52">
        <v>45677</v>
      </c>
      <c r="F1191" s="54">
        <v>23344.75</v>
      </c>
      <c r="G1191" s="53">
        <f t="shared" si="37"/>
        <v>6.1004855371674738E-3</v>
      </c>
    </row>
    <row r="1192" spans="1:7" ht="13.5" customHeight="1" x14ac:dyDescent="0.3">
      <c r="A1192" s="52">
        <v>45678</v>
      </c>
      <c r="B1192" s="27">
        <v>205.93</v>
      </c>
      <c r="C1192" s="53">
        <f t="shared" si="36"/>
        <v>-2.1942531465210184E-2</v>
      </c>
      <c r="E1192" s="52">
        <v>45678</v>
      </c>
      <c r="F1192" s="54">
        <v>23024.650390625</v>
      </c>
      <c r="G1192" s="53">
        <f t="shared" si="37"/>
        <v>-1.371184567729361E-2</v>
      </c>
    </row>
    <row r="1193" spans="1:7" ht="13.5" customHeight="1" x14ac:dyDescent="0.3">
      <c r="A1193" s="52">
        <v>45679</v>
      </c>
      <c r="B1193" s="27">
        <v>203.44</v>
      </c>
      <c r="C1193" s="53">
        <f t="shared" si="36"/>
        <v>-1.2091487398630646E-2</v>
      </c>
      <c r="E1193" s="52">
        <v>45679</v>
      </c>
      <c r="F1193" s="54">
        <v>23155.349609375</v>
      </c>
      <c r="G1193" s="53">
        <f t="shared" si="37"/>
        <v>5.6764909144165375E-3</v>
      </c>
    </row>
    <row r="1194" spans="1:7" ht="13.5" customHeight="1" x14ac:dyDescent="0.3">
      <c r="A1194" s="52">
        <v>45680</v>
      </c>
      <c r="B1194" s="27">
        <v>205.8</v>
      </c>
      <c r="C1194" s="53">
        <f t="shared" si="36"/>
        <v>1.1600471883602113E-2</v>
      </c>
      <c r="E1194" s="52">
        <v>45680</v>
      </c>
      <c r="F1194" s="54">
        <v>23205.349609375</v>
      </c>
      <c r="G1194" s="53">
        <f t="shared" si="37"/>
        <v>2.1593282262409156E-3</v>
      </c>
    </row>
    <row r="1195" spans="1:7" ht="13.5" customHeight="1" x14ac:dyDescent="0.3">
      <c r="A1195" s="52">
        <v>45681</v>
      </c>
      <c r="B1195" s="27">
        <v>203.2</v>
      </c>
      <c r="C1195" s="53">
        <f t="shared" si="36"/>
        <v>-1.2633624878522947E-2</v>
      </c>
      <c r="E1195" s="52">
        <v>45681</v>
      </c>
      <c r="F1195" s="54">
        <v>23092.19921875</v>
      </c>
      <c r="G1195" s="53">
        <f t="shared" si="37"/>
        <v>-4.8760476583936943E-3</v>
      </c>
    </row>
    <row r="1196" spans="1:7" ht="13.5" customHeight="1" x14ac:dyDescent="0.3">
      <c r="A1196" s="52">
        <v>45684</v>
      </c>
      <c r="B1196" s="27">
        <v>197.46</v>
      </c>
      <c r="C1196" s="53">
        <f t="shared" si="36"/>
        <v>-2.8248031496062899E-2</v>
      </c>
      <c r="E1196" s="52">
        <v>45684</v>
      </c>
      <c r="F1196" s="54">
        <v>22829.150390625</v>
      </c>
      <c r="G1196" s="53">
        <f t="shared" si="37"/>
        <v>-1.1391241935562993E-2</v>
      </c>
    </row>
    <row r="1197" spans="1:7" ht="13.5" customHeight="1" x14ac:dyDescent="0.3">
      <c r="A1197" s="52">
        <v>45685</v>
      </c>
      <c r="B1197" s="27">
        <v>189.53</v>
      </c>
      <c r="C1197" s="53">
        <f t="shared" si="36"/>
        <v>-4.0160032411627702E-2</v>
      </c>
      <c r="E1197" s="52">
        <v>45685</v>
      </c>
      <c r="F1197" s="54">
        <v>22957.25</v>
      </c>
      <c r="G1197" s="53">
        <f t="shared" si="37"/>
        <v>5.6112298172780566E-3</v>
      </c>
    </row>
    <row r="1198" spans="1:7" ht="13.5" customHeight="1" x14ac:dyDescent="0.3">
      <c r="A1198" s="52">
        <v>45686</v>
      </c>
      <c r="B1198" s="27">
        <v>193.79</v>
      </c>
      <c r="C1198" s="53">
        <f t="shared" si="36"/>
        <v>2.2476652772648081E-2</v>
      </c>
      <c r="E1198" s="52">
        <v>45686</v>
      </c>
      <c r="F1198" s="54">
        <v>23163.099609375</v>
      </c>
      <c r="G1198" s="53">
        <f t="shared" si="37"/>
        <v>8.9666492883511747E-3</v>
      </c>
    </row>
    <row r="1199" spans="1:7" ht="13.5" customHeight="1" x14ac:dyDescent="0.3">
      <c r="A1199" s="52">
        <v>45687</v>
      </c>
      <c r="B1199" s="27">
        <v>193.13</v>
      </c>
      <c r="C1199" s="53">
        <f t="shared" si="36"/>
        <v>-3.405748490634174E-3</v>
      </c>
      <c r="E1199" s="52">
        <v>45687</v>
      </c>
      <c r="F1199" s="54">
        <v>23249.5</v>
      </c>
      <c r="G1199" s="53">
        <f t="shared" si="37"/>
        <v>3.7300875997627893E-3</v>
      </c>
    </row>
    <row r="1200" spans="1:7" ht="13.5" customHeight="1" x14ac:dyDescent="0.3">
      <c r="A1200" s="52">
        <v>45688</v>
      </c>
      <c r="B1200" s="27">
        <v>202.24</v>
      </c>
      <c r="C1200" s="53">
        <f t="shared" si="36"/>
        <v>4.7170299798063552E-2</v>
      </c>
      <c r="E1200" s="52">
        <v>45688</v>
      </c>
      <c r="F1200" s="54">
        <v>23508.400390625</v>
      </c>
      <c r="G1200" s="53">
        <f t="shared" si="37"/>
        <v>1.1135740150325814E-2</v>
      </c>
    </row>
    <row r="1201" spans="1:7" ht="13.5" customHeight="1" x14ac:dyDescent="0.3">
      <c r="A1201" s="52">
        <v>45689</v>
      </c>
      <c r="B1201" s="27">
        <v>197.89</v>
      </c>
      <c r="C1201" s="53">
        <f t="shared" si="36"/>
        <v>-2.1509098101265934E-2</v>
      </c>
      <c r="E1201" s="52">
        <v>45689</v>
      </c>
      <c r="F1201" s="54">
        <v>23482.150390625</v>
      </c>
      <c r="G1201" s="53">
        <f t="shared" si="37"/>
        <v>-1.1166221250199708E-3</v>
      </c>
    </row>
    <row r="1202" spans="1:7" ht="13.5" customHeight="1" x14ac:dyDescent="0.3">
      <c r="A1202" s="52">
        <v>45691</v>
      </c>
      <c r="B1202" s="27">
        <v>189.53</v>
      </c>
      <c r="C1202" s="53">
        <f t="shared" si="36"/>
        <v>-4.2245692051139448E-2</v>
      </c>
      <c r="E1202" s="52">
        <v>45691</v>
      </c>
      <c r="F1202" s="54">
        <v>23361.05078125</v>
      </c>
      <c r="G1202" s="53">
        <f t="shared" si="37"/>
        <v>-5.1570919766934014E-3</v>
      </c>
    </row>
    <row r="1203" spans="1:7" ht="13.5" customHeight="1" x14ac:dyDescent="0.3">
      <c r="A1203" s="52">
        <v>45692</v>
      </c>
      <c r="B1203" s="27">
        <v>195.88</v>
      </c>
      <c r="C1203" s="53">
        <f t="shared" si="36"/>
        <v>3.3503930776130397E-2</v>
      </c>
      <c r="E1203" s="52">
        <v>45692</v>
      </c>
      <c r="F1203" s="54">
        <v>23739.25</v>
      </c>
      <c r="G1203" s="53">
        <f t="shared" si="37"/>
        <v>1.6189306820631095E-2</v>
      </c>
    </row>
    <row r="1204" spans="1:7" ht="13.5" customHeight="1" x14ac:dyDescent="0.3">
      <c r="A1204" s="52">
        <v>45693</v>
      </c>
      <c r="B1204" s="27">
        <v>199.64</v>
      </c>
      <c r="C1204" s="53">
        <f t="shared" si="36"/>
        <v>1.9195425770880084E-2</v>
      </c>
      <c r="E1204" s="52">
        <v>45693</v>
      </c>
      <c r="F1204" s="54">
        <v>23696.30078125</v>
      </c>
      <c r="G1204" s="53">
        <f t="shared" si="37"/>
        <v>-1.8092070621439178E-3</v>
      </c>
    </row>
    <row r="1205" spans="1:7" ht="13.5" customHeight="1" x14ac:dyDescent="0.3">
      <c r="A1205" s="52">
        <v>45694</v>
      </c>
      <c r="B1205" s="27">
        <v>196.88</v>
      </c>
      <c r="C1205" s="53">
        <f t="shared" si="36"/>
        <v>-1.3824884792626684E-2</v>
      </c>
      <c r="E1205" s="52">
        <v>45694</v>
      </c>
      <c r="F1205" s="54">
        <v>23603.349609375</v>
      </c>
      <c r="G1205" s="53">
        <f t="shared" si="37"/>
        <v>-3.9226026346082174E-3</v>
      </c>
    </row>
    <row r="1206" spans="1:7" ht="13.5" customHeight="1" x14ac:dyDescent="0.3">
      <c r="A1206" s="52">
        <v>45695</v>
      </c>
      <c r="B1206" s="27">
        <v>200.49</v>
      </c>
      <c r="C1206" s="53">
        <f t="shared" si="36"/>
        <v>1.8336042259244279E-2</v>
      </c>
      <c r="E1206" s="52">
        <v>45695</v>
      </c>
      <c r="F1206" s="54">
        <v>23559.94921875</v>
      </c>
      <c r="G1206" s="53">
        <f t="shared" si="37"/>
        <v>-1.8387386257991884E-3</v>
      </c>
    </row>
    <row r="1207" spans="1:7" ht="13.5" customHeight="1" x14ac:dyDescent="0.3">
      <c r="A1207" s="52">
        <v>45698</v>
      </c>
      <c r="B1207" s="27">
        <v>191.05</v>
      </c>
      <c r="C1207" s="53">
        <f t="shared" si="36"/>
        <v>-4.7084642625567344E-2</v>
      </c>
      <c r="E1207" s="52">
        <v>45698</v>
      </c>
      <c r="F1207" s="54">
        <v>23381.599609375</v>
      </c>
      <c r="G1207" s="53">
        <f t="shared" si="37"/>
        <v>-7.5700336923078711E-3</v>
      </c>
    </row>
    <row r="1208" spans="1:7" ht="13.5" customHeight="1" x14ac:dyDescent="0.3">
      <c r="A1208" s="52">
        <v>45699</v>
      </c>
      <c r="B1208" s="27">
        <v>183.31</v>
      </c>
      <c r="C1208" s="53">
        <f t="shared" si="36"/>
        <v>-4.0512954723894316E-2</v>
      </c>
      <c r="E1208" s="52">
        <v>45699</v>
      </c>
      <c r="F1208" s="54">
        <v>23071.80078125</v>
      </c>
      <c r="G1208" s="53">
        <f t="shared" si="37"/>
        <v>-1.3249684936046216E-2</v>
      </c>
    </row>
    <row r="1209" spans="1:7" ht="13.5" customHeight="1" x14ac:dyDescent="0.3">
      <c r="A1209" s="52">
        <v>45700</v>
      </c>
      <c r="B1209" s="27">
        <v>189.68</v>
      </c>
      <c r="C1209" s="53">
        <f t="shared" si="36"/>
        <v>3.4749877257105474E-2</v>
      </c>
      <c r="E1209" s="52">
        <v>45700</v>
      </c>
      <c r="F1209" s="54">
        <v>23045.25</v>
      </c>
      <c r="G1209" s="53">
        <f t="shared" si="37"/>
        <v>-1.1507892904301298E-3</v>
      </c>
    </row>
    <row r="1210" spans="1:7" ht="13.5" customHeight="1" x14ac:dyDescent="0.3">
      <c r="A1210" s="52">
        <v>45701</v>
      </c>
      <c r="B1210" s="27">
        <v>191.46</v>
      </c>
      <c r="C1210" s="53">
        <f t="shared" si="36"/>
        <v>9.3842260649515032E-3</v>
      </c>
      <c r="E1210" s="52">
        <v>45701</v>
      </c>
      <c r="F1210" s="54">
        <v>23031.400390625</v>
      </c>
      <c r="G1210" s="53">
        <f t="shared" si="37"/>
        <v>-6.0097457719052736E-4</v>
      </c>
    </row>
    <row r="1211" spans="1:7" ht="13.5" customHeight="1" x14ac:dyDescent="0.3">
      <c r="A1211" s="52">
        <v>45702</v>
      </c>
      <c r="B1211" s="27">
        <v>181.63</v>
      </c>
      <c r="C1211" s="53">
        <f t="shared" si="36"/>
        <v>-5.1342316933040907E-2</v>
      </c>
      <c r="E1211" s="52">
        <v>45702</v>
      </c>
      <c r="F1211" s="54">
        <v>22929.25</v>
      </c>
      <c r="G1211" s="53">
        <f t="shared" si="37"/>
        <v>-4.4352661537064254E-3</v>
      </c>
    </row>
    <row r="1212" spans="1:7" ht="13.5" customHeight="1" x14ac:dyDescent="0.3">
      <c r="A1212" s="52">
        <v>45705</v>
      </c>
      <c r="B1212" s="27">
        <v>180.74</v>
      </c>
      <c r="C1212" s="53">
        <f t="shared" si="36"/>
        <v>-4.9000715740790965E-3</v>
      </c>
      <c r="E1212" s="52">
        <v>45705</v>
      </c>
      <c r="F1212" s="54">
        <v>22959.5</v>
      </c>
      <c r="G1212" s="53">
        <f t="shared" si="37"/>
        <v>1.3192755977626831E-3</v>
      </c>
    </row>
    <row r="1213" spans="1:7" ht="13.5" customHeight="1" x14ac:dyDescent="0.3">
      <c r="A1213" s="52">
        <v>45706</v>
      </c>
      <c r="B1213" s="27">
        <v>179.57</v>
      </c>
      <c r="C1213" s="53">
        <f t="shared" si="36"/>
        <v>-6.4733871860131456E-3</v>
      </c>
      <c r="E1213" s="52">
        <v>45706</v>
      </c>
      <c r="F1213" s="54">
        <v>22945.30078125</v>
      </c>
      <c r="G1213" s="53">
        <f t="shared" si="37"/>
        <v>-6.1844634029486708E-4</v>
      </c>
    </row>
    <row r="1214" spans="1:7" ht="13.5" customHeight="1" x14ac:dyDescent="0.3">
      <c r="A1214" s="52">
        <v>45707</v>
      </c>
      <c r="B1214" s="27">
        <v>187.08</v>
      </c>
      <c r="C1214" s="53">
        <f t="shared" si="36"/>
        <v>4.1822130645430861E-2</v>
      </c>
      <c r="E1214" s="52">
        <v>45707</v>
      </c>
      <c r="F1214" s="54">
        <v>22932.900390625</v>
      </c>
      <c r="G1214" s="53">
        <f t="shared" si="37"/>
        <v>-5.4043269004052947E-4</v>
      </c>
    </row>
    <row r="1215" spans="1:7" ht="13.5" customHeight="1" x14ac:dyDescent="0.3">
      <c r="A1215" s="52">
        <v>45708</v>
      </c>
      <c r="B1215" s="27">
        <v>193.09</v>
      </c>
      <c r="C1215" s="53">
        <f t="shared" si="36"/>
        <v>3.2125293991875081E-2</v>
      </c>
      <c r="E1215" s="52">
        <v>45708</v>
      </c>
      <c r="F1215" s="54">
        <v>22913.150390625</v>
      </c>
      <c r="G1215" s="53">
        <f t="shared" si="37"/>
        <v>-8.6120811862392364E-4</v>
      </c>
    </row>
    <row r="1216" spans="1:7" ht="13.5" customHeight="1" x14ac:dyDescent="0.3">
      <c r="A1216" s="52">
        <v>45709</v>
      </c>
      <c r="B1216" s="27">
        <v>201.01</v>
      </c>
      <c r="C1216" s="53">
        <f t="shared" si="36"/>
        <v>4.1017142265264837E-2</v>
      </c>
      <c r="E1216" s="52">
        <v>45709</v>
      </c>
      <c r="F1216" s="54">
        <v>22795.900390625</v>
      </c>
      <c r="G1216" s="53">
        <f t="shared" si="37"/>
        <v>-5.1171487988824647E-3</v>
      </c>
    </row>
    <row r="1217" spans="1:7" ht="13.5" customHeight="1" x14ac:dyDescent="0.3">
      <c r="A1217" s="52">
        <v>45712</v>
      </c>
      <c r="B1217" s="27">
        <v>189.53</v>
      </c>
      <c r="C1217" s="53">
        <f t="shared" si="36"/>
        <v>-5.7111586488234369E-2</v>
      </c>
      <c r="E1217" s="52">
        <v>45712</v>
      </c>
      <c r="F1217" s="54">
        <v>22553.349609375</v>
      </c>
      <c r="G1217" s="53">
        <f t="shared" si="37"/>
        <v>-1.0640105330068515E-2</v>
      </c>
    </row>
    <row r="1218" spans="1:7" ht="13.5" customHeight="1" x14ac:dyDescent="0.3">
      <c r="A1218" s="52">
        <v>45713</v>
      </c>
      <c r="B1218" s="27">
        <v>180.79</v>
      </c>
      <c r="C1218" s="53">
        <f t="shared" si="36"/>
        <v>-4.6114071650926021E-2</v>
      </c>
      <c r="E1218" s="52">
        <v>45713</v>
      </c>
      <c r="F1218" s="54">
        <v>22547.55078125</v>
      </c>
      <c r="G1218" s="53">
        <f t="shared" si="37"/>
        <v>-2.5711604818955748E-4</v>
      </c>
    </row>
    <row r="1219" spans="1:7" ht="13.5" customHeight="1" x14ac:dyDescent="0.3">
      <c r="A1219" s="52">
        <v>45715</v>
      </c>
      <c r="B1219" s="27">
        <v>179.36</v>
      </c>
      <c r="C1219" s="53">
        <f t="shared" si="36"/>
        <v>-7.9097295204379574E-3</v>
      </c>
      <c r="E1219" s="52">
        <v>45715</v>
      </c>
      <c r="F1219" s="54">
        <v>22545.05078125</v>
      </c>
      <c r="G1219" s="53">
        <f t="shared" si="37"/>
        <v>-1.1087678764998901E-4</v>
      </c>
    </row>
    <row r="1220" spans="1:7" ht="13.5" customHeight="1" x14ac:dyDescent="0.3">
      <c r="A1220" s="52">
        <v>45716</v>
      </c>
      <c r="B1220" s="27">
        <v>177.6</v>
      </c>
      <c r="C1220" s="53">
        <f t="shared" si="36"/>
        <v>-9.8126672613738797E-3</v>
      </c>
      <c r="E1220" s="52">
        <v>45716</v>
      </c>
      <c r="F1220" s="54">
        <v>22124.69921875</v>
      </c>
      <c r="G1220" s="53">
        <f t="shared" si="37"/>
        <v>-1.8644959666695139E-2</v>
      </c>
    </row>
    <row r="1221" spans="1:7" ht="13.5" customHeight="1" x14ac:dyDescent="0.3">
      <c r="A1221" s="52">
        <v>45719</v>
      </c>
      <c r="B1221" s="27">
        <v>179.39</v>
      </c>
      <c r="C1221" s="53">
        <f t="shared" ref="C1221:C1284" si="38">(B1221-B1220)/B1220</f>
        <v>1.0078828828828785E-2</v>
      </c>
      <c r="E1221" s="52">
        <v>45719</v>
      </c>
      <c r="F1221" s="54">
        <v>22119.30078125</v>
      </c>
      <c r="G1221" s="53">
        <f t="shared" ref="G1221:G1284" si="39">(F1221-F1220)/F1220</f>
        <v>-2.4400049223833022E-4</v>
      </c>
    </row>
    <row r="1222" spans="1:7" ht="13.5" customHeight="1" x14ac:dyDescent="0.3">
      <c r="A1222" s="52">
        <v>45720</v>
      </c>
      <c r="B1222" s="27">
        <v>179.08</v>
      </c>
      <c r="C1222" s="53">
        <f t="shared" si="38"/>
        <v>-1.7280784882098995E-3</v>
      </c>
      <c r="E1222" s="52">
        <v>45720</v>
      </c>
      <c r="F1222" s="54">
        <v>22082.650390625</v>
      </c>
      <c r="G1222" s="53">
        <f t="shared" si="39"/>
        <v>-1.6569416451024373E-3</v>
      </c>
    </row>
    <row r="1223" spans="1:7" ht="13.5" customHeight="1" x14ac:dyDescent="0.3">
      <c r="A1223" s="52">
        <v>45721</v>
      </c>
      <c r="B1223" s="27">
        <v>189.29</v>
      </c>
      <c r="C1223" s="53">
        <f t="shared" si="38"/>
        <v>5.7013625195443257E-2</v>
      </c>
      <c r="E1223" s="52">
        <v>45721</v>
      </c>
      <c r="F1223" s="54">
        <v>22337.30078125</v>
      </c>
      <c r="G1223" s="53">
        <f t="shared" si="39"/>
        <v>1.153169506922546E-2</v>
      </c>
    </row>
    <row r="1224" spans="1:7" ht="13.5" customHeight="1" x14ac:dyDescent="0.3">
      <c r="A1224" s="52">
        <v>45722</v>
      </c>
      <c r="B1224" s="27">
        <v>192.79</v>
      </c>
      <c r="C1224" s="53">
        <f t="shared" si="38"/>
        <v>1.849014739288922E-2</v>
      </c>
      <c r="E1224" s="52">
        <v>45722</v>
      </c>
      <c r="F1224" s="54">
        <v>22544.69921875</v>
      </c>
      <c r="G1224" s="53">
        <f t="shared" si="39"/>
        <v>9.2848477768670643E-3</v>
      </c>
    </row>
    <row r="1225" spans="1:7" ht="13.5" customHeight="1" x14ac:dyDescent="0.3">
      <c r="A1225" s="52">
        <v>45723</v>
      </c>
      <c r="B1225" s="27">
        <v>195.17</v>
      </c>
      <c r="C1225" s="53">
        <f t="shared" si="38"/>
        <v>1.2345038643083124E-2</v>
      </c>
      <c r="E1225" s="52">
        <v>45723</v>
      </c>
      <c r="F1225" s="54">
        <v>22552.5</v>
      </c>
      <c r="G1225" s="53">
        <f t="shared" si="39"/>
        <v>3.4601398645018238E-4</v>
      </c>
    </row>
    <row r="1226" spans="1:7" ht="13.5" customHeight="1" x14ac:dyDescent="0.3">
      <c r="A1226" s="52">
        <v>45726</v>
      </c>
      <c r="B1226" s="27">
        <v>188.12</v>
      </c>
      <c r="C1226" s="53">
        <f t="shared" si="38"/>
        <v>-3.6122354870113151E-2</v>
      </c>
      <c r="E1226" s="52">
        <v>45726</v>
      </c>
      <c r="F1226" s="54">
        <v>22460.30078125</v>
      </c>
      <c r="G1226" s="53">
        <f t="shared" si="39"/>
        <v>-4.0882039130916746E-3</v>
      </c>
    </row>
    <row r="1227" spans="1:7" ht="13.5" customHeight="1" x14ac:dyDescent="0.3">
      <c r="A1227" s="52">
        <v>45727</v>
      </c>
      <c r="B1227" s="27">
        <v>189.71</v>
      </c>
      <c r="C1227" s="53">
        <f t="shared" si="38"/>
        <v>8.4520518817776061E-3</v>
      </c>
      <c r="E1227" s="52">
        <v>45727</v>
      </c>
      <c r="F1227" s="54">
        <v>22497.900390625</v>
      </c>
      <c r="G1227" s="53">
        <f t="shared" si="39"/>
        <v>1.6740474556061328E-3</v>
      </c>
    </row>
    <row r="1228" spans="1:7" ht="13.5" customHeight="1" x14ac:dyDescent="0.3">
      <c r="A1228" s="52">
        <v>45728</v>
      </c>
      <c r="B1228" s="27">
        <v>191.54</v>
      </c>
      <c r="C1228" s="53">
        <f t="shared" si="38"/>
        <v>9.6463022508037743E-3</v>
      </c>
      <c r="E1228" s="52">
        <v>45728</v>
      </c>
      <c r="F1228" s="54">
        <v>22470.5</v>
      </c>
      <c r="G1228" s="53">
        <f t="shared" si="39"/>
        <v>-1.217908789231634E-3</v>
      </c>
    </row>
    <row r="1229" spans="1:7" ht="13.5" customHeight="1" x14ac:dyDescent="0.3">
      <c r="A1229" s="52">
        <v>45729</v>
      </c>
      <c r="B1229" s="27">
        <v>187.87</v>
      </c>
      <c r="C1229" s="53">
        <f t="shared" si="38"/>
        <v>-1.9160488670773666E-2</v>
      </c>
      <c r="E1229" s="52">
        <v>45729</v>
      </c>
      <c r="F1229" s="54">
        <v>22397.19921875</v>
      </c>
      <c r="G1229" s="53">
        <f t="shared" si="39"/>
        <v>-3.2620894617387242E-3</v>
      </c>
    </row>
    <row r="1230" spans="1:7" ht="13.5" customHeight="1" x14ac:dyDescent="0.3">
      <c r="A1230" s="52">
        <v>45733</v>
      </c>
      <c r="B1230" s="27">
        <v>185.03</v>
      </c>
      <c r="C1230" s="53">
        <f t="shared" si="38"/>
        <v>-1.5116836110076134E-2</v>
      </c>
      <c r="E1230" s="52">
        <v>45733</v>
      </c>
      <c r="F1230" s="54">
        <v>22508.75</v>
      </c>
      <c r="G1230" s="53">
        <f t="shared" si="39"/>
        <v>4.9805683362683286E-3</v>
      </c>
    </row>
    <row r="1231" spans="1:7" ht="13.5" customHeight="1" x14ac:dyDescent="0.3">
      <c r="A1231" s="52">
        <v>45734</v>
      </c>
      <c r="B1231" s="27">
        <v>185.03</v>
      </c>
      <c r="C1231" s="53">
        <f t="shared" si="38"/>
        <v>0</v>
      </c>
      <c r="E1231" s="52">
        <v>45734</v>
      </c>
      <c r="F1231" s="54">
        <v>22834.30078125</v>
      </c>
      <c r="G1231" s="53">
        <f t="shared" si="39"/>
        <v>1.4463298994835342E-2</v>
      </c>
    </row>
    <row r="1232" spans="1:7" ht="13.5" customHeight="1" x14ac:dyDescent="0.3">
      <c r="A1232" s="52">
        <v>45735</v>
      </c>
      <c r="B1232" s="27">
        <v>186.38</v>
      </c>
      <c r="C1232" s="53">
        <f t="shared" si="38"/>
        <v>7.2961141436523498E-3</v>
      </c>
      <c r="E1232" s="52">
        <v>45735</v>
      </c>
      <c r="F1232" s="54">
        <v>22907.599609375</v>
      </c>
      <c r="G1232" s="53">
        <f t="shared" si="39"/>
        <v>3.2100316461272198E-3</v>
      </c>
    </row>
    <row r="1233" spans="1:7" ht="13.5" customHeight="1" x14ac:dyDescent="0.3">
      <c r="A1233" s="52">
        <v>45736</v>
      </c>
      <c r="B1233" s="27">
        <v>190.57</v>
      </c>
      <c r="C1233" s="53">
        <f t="shared" si="38"/>
        <v>2.2480952891941183E-2</v>
      </c>
      <c r="E1233" s="52">
        <v>45736</v>
      </c>
      <c r="F1233" s="54">
        <v>23190.650390625</v>
      </c>
      <c r="G1233" s="53">
        <f t="shared" si="39"/>
        <v>1.2356195589090036E-2</v>
      </c>
    </row>
    <row r="1234" spans="1:7" ht="13.5" customHeight="1" x14ac:dyDescent="0.3">
      <c r="A1234" s="52">
        <v>45737</v>
      </c>
      <c r="B1234" s="27">
        <v>185.52</v>
      </c>
      <c r="C1234" s="53">
        <f t="shared" si="38"/>
        <v>-2.6499449021356893E-2</v>
      </c>
      <c r="E1234" s="52">
        <v>45737</v>
      </c>
      <c r="F1234" s="54">
        <v>23350.400390625</v>
      </c>
      <c r="G1234" s="53">
        <f t="shared" si="39"/>
        <v>6.8885519512889631E-3</v>
      </c>
    </row>
    <row r="1235" spans="1:7" ht="13.5" customHeight="1" x14ac:dyDescent="0.3">
      <c r="A1235" s="52">
        <v>45740</v>
      </c>
      <c r="B1235" s="27">
        <v>187.04</v>
      </c>
      <c r="C1235" s="53">
        <f t="shared" si="38"/>
        <v>8.1931867184130112E-3</v>
      </c>
      <c r="E1235" s="52">
        <v>45740</v>
      </c>
      <c r="F1235" s="54">
        <v>23658.349609375</v>
      </c>
      <c r="G1235" s="53">
        <f t="shared" si="39"/>
        <v>1.3188177230298765E-2</v>
      </c>
    </row>
    <row r="1236" spans="1:7" ht="13.5" customHeight="1" x14ac:dyDescent="0.3">
      <c r="A1236" s="52">
        <v>45741</v>
      </c>
      <c r="B1236" s="27">
        <v>180.66</v>
      </c>
      <c r="C1236" s="53">
        <f t="shared" si="38"/>
        <v>-3.411035072711717E-2</v>
      </c>
      <c r="E1236" s="52">
        <v>45741</v>
      </c>
      <c r="F1236" s="54">
        <v>23668.650390625</v>
      </c>
      <c r="G1236" s="53">
        <f t="shared" si="39"/>
        <v>4.3539728764165997E-4</v>
      </c>
    </row>
    <row r="1237" spans="1:7" ht="13.5" customHeight="1" x14ac:dyDescent="0.3">
      <c r="A1237" s="52">
        <v>45742</v>
      </c>
      <c r="B1237" s="27">
        <v>179.24</v>
      </c>
      <c r="C1237" s="53">
        <f t="shared" si="38"/>
        <v>-7.8600686372190167E-3</v>
      </c>
      <c r="E1237" s="52">
        <v>45742</v>
      </c>
      <c r="F1237" s="54">
        <v>23486.849609375</v>
      </c>
      <c r="G1237" s="53">
        <f t="shared" si="39"/>
        <v>-7.6810793285454976E-3</v>
      </c>
    </row>
    <row r="1238" spans="1:7" ht="13.5" customHeight="1" x14ac:dyDescent="0.3">
      <c r="A1238" s="52">
        <v>45743</v>
      </c>
      <c r="B1238" s="27">
        <v>178.81</v>
      </c>
      <c r="C1238" s="53">
        <f t="shared" si="38"/>
        <v>-2.3990180763222876E-3</v>
      </c>
      <c r="E1238" s="52">
        <v>45743</v>
      </c>
      <c r="F1238" s="54">
        <v>23591.94921875</v>
      </c>
      <c r="G1238" s="53">
        <f t="shared" si="39"/>
        <v>4.4748278770026483E-3</v>
      </c>
    </row>
    <row r="1239" spans="1:7" ht="13.5" customHeight="1" x14ac:dyDescent="0.3">
      <c r="A1239" s="52">
        <v>45744</v>
      </c>
      <c r="B1239" s="27">
        <v>175.53</v>
      </c>
      <c r="C1239" s="53">
        <f t="shared" si="38"/>
        <v>-1.8343493093227456E-2</v>
      </c>
      <c r="E1239" s="52">
        <v>45744</v>
      </c>
      <c r="F1239" s="54">
        <v>23519.349609375</v>
      </c>
      <c r="G1239" s="53">
        <f t="shared" si="39"/>
        <v>-3.0773044101544836E-3</v>
      </c>
    </row>
    <row r="1240" spans="1:7" ht="13.5" customHeight="1" x14ac:dyDescent="0.3">
      <c r="A1240" s="52">
        <v>45748</v>
      </c>
      <c r="B1240" s="27">
        <v>175.29</v>
      </c>
      <c r="C1240" s="53">
        <f t="shared" si="38"/>
        <v>-1.3672876431379769E-3</v>
      </c>
      <c r="E1240" s="52">
        <v>45748</v>
      </c>
      <c r="F1240" s="54">
        <v>23165.69921875</v>
      </c>
      <c r="G1240" s="53">
        <f t="shared" si="39"/>
        <v>-1.5036571865236959E-2</v>
      </c>
    </row>
    <row r="1241" spans="1:7" ht="13.5" customHeight="1" x14ac:dyDescent="0.3">
      <c r="A1241" s="52">
        <v>45749</v>
      </c>
      <c r="B1241" s="27">
        <v>174.21</v>
      </c>
      <c r="C1241" s="53">
        <f t="shared" si="38"/>
        <v>-6.1612185521135497E-3</v>
      </c>
      <c r="E1241" s="52">
        <v>45749</v>
      </c>
      <c r="F1241" s="54">
        <v>23332.349609375</v>
      </c>
      <c r="G1241" s="53">
        <f t="shared" si="39"/>
        <v>7.1938424586863083E-3</v>
      </c>
    </row>
    <row r="1242" spans="1:7" ht="13.5" customHeight="1" x14ac:dyDescent="0.3">
      <c r="A1242" s="52">
        <v>45750</v>
      </c>
      <c r="B1242" s="27">
        <v>172.66</v>
      </c>
      <c r="C1242" s="53">
        <f t="shared" si="38"/>
        <v>-8.8973078468515664E-3</v>
      </c>
      <c r="E1242" s="52">
        <v>45750</v>
      </c>
      <c r="F1242" s="54">
        <v>23250.099609375</v>
      </c>
      <c r="G1242" s="53">
        <f t="shared" si="39"/>
        <v>-3.5251486188494162E-3</v>
      </c>
    </row>
    <row r="1243" spans="1:7" ht="13.5" customHeight="1" x14ac:dyDescent="0.3">
      <c r="A1243" s="52">
        <v>45751</v>
      </c>
      <c r="B1243" s="27">
        <v>157.69999999999999</v>
      </c>
      <c r="C1243" s="53">
        <f t="shared" si="38"/>
        <v>-8.6644271979613163E-2</v>
      </c>
      <c r="E1243" s="52">
        <v>45751</v>
      </c>
      <c r="F1243" s="54">
        <v>22904.44921875</v>
      </c>
      <c r="G1243" s="53">
        <f t="shared" si="39"/>
        <v>-1.4866619775066488E-2</v>
      </c>
    </row>
    <row r="1244" spans="1:7" ht="13.5" customHeight="1" x14ac:dyDescent="0.3">
      <c r="A1244" s="52">
        <v>45754</v>
      </c>
      <c r="B1244" s="27">
        <v>144.69</v>
      </c>
      <c r="C1244" s="53">
        <f t="shared" si="38"/>
        <v>-8.2498414711477439E-2</v>
      </c>
      <c r="E1244" s="52">
        <v>45754</v>
      </c>
      <c r="F1244" s="54">
        <v>22161.599609375</v>
      </c>
      <c r="G1244" s="53">
        <f t="shared" si="39"/>
        <v>-3.2432546283055336E-2</v>
      </c>
    </row>
    <row r="1245" spans="1:7" ht="13.5" customHeight="1" x14ac:dyDescent="0.3">
      <c r="A1245" s="52">
        <v>45755</v>
      </c>
      <c r="B1245" s="27">
        <v>146.62</v>
      </c>
      <c r="C1245" s="53">
        <f t="shared" si="38"/>
        <v>1.3338862395466217E-2</v>
      </c>
      <c r="E1245" s="52">
        <v>45755</v>
      </c>
      <c r="F1245" s="54">
        <v>22535.849609375</v>
      </c>
      <c r="G1245" s="53">
        <f t="shared" si="39"/>
        <v>1.688731890281428E-2</v>
      </c>
    </row>
    <row r="1246" spans="1:7" ht="13.5" customHeight="1" x14ac:dyDescent="0.3">
      <c r="A1246" s="52">
        <v>45756</v>
      </c>
      <c r="B1246" s="27">
        <v>143.44999999999999</v>
      </c>
      <c r="C1246" s="53">
        <f t="shared" si="38"/>
        <v>-2.1620515618606027E-2</v>
      </c>
      <c r="E1246" s="52">
        <v>45756</v>
      </c>
      <c r="F1246" s="54">
        <v>22399.150390625</v>
      </c>
      <c r="G1246" s="53">
        <f t="shared" si="39"/>
        <v>-6.0658560080704745E-3</v>
      </c>
    </row>
    <row r="1247" spans="1:7" ht="13.5" customHeight="1" x14ac:dyDescent="0.3">
      <c r="A1247" s="52">
        <v>45758</v>
      </c>
      <c r="B1247" s="27">
        <v>143.22</v>
      </c>
      <c r="C1247" s="53">
        <f t="shared" si="38"/>
        <v>-1.6033461136283707E-3</v>
      </c>
      <c r="E1247" s="52">
        <v>45758</v>
      </c>
      <c r="F1247" s="54">
        <v>22828.55078125</v>
      </c>
      <c r="G1247" s="53">
        <f t="shared" si="39"/>
        <v>1.9170387409190411E-2</v>
      </c>
    </row>
    <row r="1248" spans="1:7" ht="13.5" customHeight="1" x14ac:dyDescent="0.3">
      <c r="A1248" s="52">
        <v>45762</v>
      </c>
      <c r="B1248" s="27">
        <v>151.41999999999999</v>
      </c>
      <c r="C1248" s="53">
        <f t="shared" si="38"/>
        <v>5.725457338360556E-2</v>
      </c>
      <c r="E1248" s="52">
        <v>45762</v>
      </c>
      <c r="F1248" s="54">
        <v>23328.55078125</v>
      </c>
      <c r="G1248" s="53">
        <f t="shared" si="39"/>
        <v>2.1902397782108445E-2</v>
      </c>
    </row>
    <row r="1249" spans="1:7" ht="13.5" customHeight="1" x14ac:dyDescent="0.3">
      <c r="A1249" s="52">
        <v>45763</v>
      </c>
      <c r="B1249" s="27">
        <v>151.22</v>
      </c>
      <c r="C1249" s="53">
        <f t="shared" si="38"/>
        <v>-1.320829480913939E-3</v>
      </c>
      <c r="E1249" s="52">
        <v>45763</v>
      </c>
      <c r="F1249" s="54">
        <v>23437.19921875</v>
      </c>
      <c r="G1249" s="53">
        <f t="shared" si="39"/>
        <v>4.657316201027141E-3</v>
      </c>
    </row>
    <row r="1250" spans="1:7" ht="13.5" customHeight="1" x14ac:dyDescent="0.3">
      <c r="A1250" s="52">
        <v>45764</v>
      </c>
      <c r="B1250" s="27">
        <v>152.88999999999999</v>
      </c>
      <c r="C1250" s="53">
        <f t="shared" si="38"/>
        <v>1.1043512762861973E-2</v>
      </c>
      <c r="E1250" s="52">
        <v>45764</v>
      </c>
      <c r="F1250" s="54">
        <v>23851.650390625</v>
      </c>
      <c r="G1250" s="53">
        <f t="shared" si="39"/>
        <v>1.7683476937954037E-2</v>
      </c>
    </row>
    <row r="1251" spans="1:7" ht="13.5" customHeight="1" x14ac:dyDescent="0.3">
      <c r="A1251" s="52">
        <v>45768</v>
      </c>
      <c r="B1251" s="27">
        <v>161.41</v>
      </c>
      <c r="C1251" s="53">
        <f t="shared" si="38"/>
        <v>5.5726339198116363E-2</v>
      </c>
      <c r="E1251" s="52">
        <v>45768</v>
      </c>
      <c r="F1251" s="54">
        <v>24125.55078125</v>
      </c>
      <c r="G1251" s="53">
        <f t="shared" si="39"/>
        <v>1.1483498464016469E-2</v>
      </c>
    </row>
    <row r="1252" spans="1:7" ht="13.5" customHeight="1" x14ac:dyDescent="0.3">
      <c r="A1252" s="52">
        <v>45769</v>
      </c>
      <c r="B1252" s="27">
        <v>158.79</v>
      </c>
      <c r="C1252" s="53">
        <f t="shared" si="38"/>
        <v>-1.6231955888730592E-2</v>
      </c>
      <c r="E1252" s="52">
        <v>45769</v>
      </c>
      <c r="F1252" s="54">
        <v>24167.25</v>
      </c>
      <c r="G1252" s="53">
        <f t="shared" si="39"/>
        <v>1.728425565413743E-3</v>
      </c>
    </row>
    <row r="1253" spans="1:7" ht="13.5" customHeight="1" x14ac:dyDescent="0.3">
      <c r="A1253" s="52">
        <v>45770</v>
      </c>
      <c r="B1253" s="27">
        <v>162.07</v>
      </c>
      <c r="C1253" s="53">
        <f t="shared" si="38"/>
        <v>2.0656212607846849E-2</v>
      </c>
      <c r="E1253" s="52">
        <v>45770</v>
      </c>
      <c r="F1253" s="54">
        <v>24328.94921875</v>
      </c>
      <c r="G1253" s="53">
        <f t="shared" si="39"/>
        <v>6.6908406521221904E-3</v>
      </c>
    </row>
    <row r="1254" spans="1:7" ht="13.5" customHeight="1" x14ac:dyDescent="0.3">
      <c r="A1254" s="52">
        <v>45771</v>
      </c>
      <c r="B1254" s="27">
        <v>162.03</v>
      </c>
      <c r="C1254" s="53">
        <f t="shared" si="38"/>
        <v>-2.4680693527483216E-4</v>
      </c>
      <c r="E1254" s="52">
        <v>45771</v>
      </c>
      <c r="F1254" s="54">
        <v>24246.69921875</v>
      </c>
      <c r="G1254" s="53">
        <f t="shared" si="39"/>
        <v>-3.3807460922566689E-3</v>
      </c>
    </row>
    <row r="1255" spans="1:7" ht="13.5" customHeight="1" x14ac:dyDescent="0.3">
      <c r="A1255" s="52">
        <v>45772</v>
      </c>
      <c r="B1255" s="27">
        <v>156.5</v>
      </c>
      <c r="C1255" s="53">
        <f t="shared" si="38"/>
        <v>-3.4129482194655315E-2</v>
      </c>
      <c r="E1255" s="52">
        <v>45772</v>
      </c>
      <c r="F1255" s="54">
        <v>24039.349609375</v>
      </c>
      <c r="G1255" s="53">
        <f t="shared" si="39"/>
        <v>-8.5516633626838701E-3</v>
      </c>
    </row>
    <row r="1256" spans="1:7" ht="13.5" customHeight="1" x14ac:dyDescent="0.3">
      <c r="A1256" s="52">
        <v>45775</v>
      </c>
      <c r="B1256" s="27">
        <v>159.87</v>
      </c>
      <c r="C1256" s="53">
        <f t="shared" si="38"/>
        <v>2.1533546325878623E-2</v>
      </c>
      <c r="E1256" s="52">
        <v>45775</v>
      </c>
      <c r="F1256" s="54">
        <v>24328.5</v>
      </c>
      <c r="G1256" s="53">
        <f t="shared" si="39"/>
        <v>1.2028211882747256E-2</v>
      </c>
    </row>
    <row r="1257" spans="1:7" ht="13.5" customHeight="1" x14ac:dyDescent="0.3">
      <c r="A1257" s="52">
        <v>45776</v>
      </c>
      <c r="B1257" s="27">
        <v>157.6</v>
      </c>
      <c r="C1257" s="53">
        <f t="shared" si="38"/>
        <v>-1.4199036717332896E-2</v>
      </c>
      <c r="E1257" s="52">
        <v>45776</v>
      </c>
      <c r="F1257" s="54">
        <v>24335.94921875</v>
      </c>
      <c r="G1257" s="53">
        <f t="shared" si="39"/>
        <v>3.0619309657397702E-4</v>
      </c>
    </row>
    <row r="1258" spans="1:7" ht="13.5" customHeight="1" x14ac:dyDescent="0.3">
      <c r="A1258" s="52">
        <v>45777</v>
      </c>
      <c r="B1258" s="27">
        <v>156.47</v>
      </c>
      <c r="C1258" s="53">
        <f t="shared" si="38"/>
        <v>-7.1700507614212913E-3</v>
      </c>
      <c r="E1258" s="52">
        <v>45777</v>
      </c>
      <c r="F1258" s="54">
        <v>24334.19921875</v>
      </c>
      <c r="G1258" s="53">
        <f t="shared" si="39"/>
        <v>-7.1910077731904783E-5</v>
      </c>
    </row>
    <row r="1259" spans="1:7" ht="13.5" customHeight="1" x14ac:dyDescent="0.3">
      <c r="A1259" s="52">
        <v>45779</v>
      </c>
      <c r="B1259" s="27">
        <v>159.1</v>
      </c>
      <c r="C1259" s="53">
        <f t="shared" si="38"/>
        <v>1.680833386591676E-2</v>
      </c>
      <c r="E1259" s="52">
        <v>45779</v>
      </c>
      <c r="F1259" s="54">
        <v>24346.69921875</v>
      </c>
      <c r="G1259" s="53">
        <f t="shared" si="39"/>
        <v>5.1368035116473008E-4</v>
      </c>
    </row>
    <row r="1260" spans="1:7" ht="13.5" customHeight="1" x14ac:dyDescent="0.3">
      <c r="A1260" s="52">
        <v>45782</v>
      </c>
      <c r="B1260" s="27">
        <v>160.86000000000001</v>
      </c>
      <c r="C1260" s="53">
        <f t="shared" si="38"/>
        <v>1.1062225015713511E-2</v>
      </c>
      <c r="E1260" s="52">
        <v>45782</v>
      </c>
      <c r="F1260" s="54">
        <v>24461.150390625</v>
      </c>
      <c r="G1260" s="53">
        <f t="shared" si="39"/>
        <v>4.700890697612853E-3</v>
      </c>
    </row>
    <row r="1261" spans="1:7" ht="13.5" customHeight="1" x14ac:dyDescent="0.3">
      <c r="A1261" s="52">
        <v>45783</v>
      </c>
      <c r="B1261" s="27">
        <v>154.88</v>
      </c>
      <c r="C1261" s="53">
        <f t="shared" si="38"/>
        <v>-3.7175183389282718E-2</v>
      </c>
      <c r="E1261" s="52">
        <v>45783</v>
      </c>
      <c r="F1261" s="54">
        <v>24379.599609375</v>
      </c>
      <c r="G1261" s="53">
        <f t="shared" si="39"/>
        <v>-3.3338898599493184E-3</v>
      </c>
    </row>
    <row r="1262" spans="1:7" ht="13.5" customHeight="1" x14ac:dyDescent="0.3">
      <c r="A1262" s="52">
        <v>45784</v>
      </c>
      <c r="B1262" s="27">
        <v>158.28</v>
      </c>
      <c r="C1262" s="53">
        <f t="shared" si="38"/>
        <v>2.1952479338843013E-2</v>
      </c>
      <c r="E1262" s="52">
        <v>45784</v>
      </c>
      <c r="F1262" s="54">
        <v>24414.400390625</v>
      </c>
      <c r="G1262" s="53">
        <f t="shared" si="39"/>
        <v>1.4274549954716078E-3</v>
      </c>
    </row>
    <row r="1263" spans="1:7" ht="13.5" customHeight="1" x14ac:dyDescent="0.3">
      <c r="A1263" s="52">
        <v>45785</v>
      </c>
      <c r="B1263" s="27">
        <v>154.12</v>
      </c>
      <c r="C1263" s="53">
        <f t="shared" si="38"/>
        <v>-2.6282537275713901E-2</v>
      </c>
      <c r="E1263" s="52">
        <v>45785</v>
      </c>
      <c r="F1263" s="54">
        <v>24273.80078125</v>
      </c>
      <c r="G1263" s="53">
        <f t="shared" si="39"/>
        <v>-5.7588802970966885E-3</v>
      </c>
    </row>
    <row r="1264" spans="1:7" ht="13.5" customHeight="1" x14ac:dyDescent="0.3">
      <c r="A1264" s="52">
        <v>45786</v>
      </c>
      <c r="B1264" s="27">
        <v>156.84</v>
      </c>
      <c r="C1264" s="53">
        <f t="shared" si="38"/>
        <v>1.7648585517778346E-2</v>
      </c>
      <c r="E1264" s="52">
        <v>45786</v>
      </c>
      <c r="F1264" s="54">
        <v>24008</v>
      </c>
      <c r="G1264" s="53">
        <f t="shared" si="39"/>
        <v>-1.0950109694206379E-2</v>
      </c>
    </row>
    <row r="1265" spans="1:7" ht="13.5" customHeight="1" x14ac:dyDescent="0.3">
      <c r="A1265" s="52">
        <v>45789</v>
      </c>
      <c r="B1265" s="27">
        <v>168.95</v>
      </c>
      <c r="C1265" s="53">
        <f t="shared" si="38"/>
        <v>7.721244580464158E-2</v>
      </c>
      <c r="E1265" s="52">
        <v>45789</v>
      </c>
      <c r="F1265" s="54">
        <v>24924.69921875</v>
      </c>
      <c r="G1265" s="53">
        <f t="shared" si="39"/>
        <v>3.8183073090219927E-2</v>
      </c>
    </row>
    <row r="1266" spans="1:7" ht="13.5" customHeight="1" x14ac:dyDescent="0.3">
      <c r="A1266" s="52">
        <v>45790</v>
      </c>
      <c r="B1266" s="27">
        <v>165.04</v>
      </c>
      <c r="C1266" s="53">
        <f t="shared" si="38"/>
        <v>-2.3142941698727416E-2</v>
      </c>
      <c r="E1266" s="52">
        <v>45790</v>
      </c>
      <c r="F1266" s="54">
        <v>24578.349609375</v>
      </c>
      <c r="G1266" s="53">
        <f t="shared" si="39"/>
        <v>-1.389583907654352E-2</v>
      </c>
    </row>
    <row r="1267" spans="1:7" ht="13.5" customHeight="1" x14ac:dyDescent="0.3">
      <c r="A1267" s="52">
        <v>45791</v>
      </c>
      <c r="B1267" s="27">
        <v>173.16</v>
      </c>
      <c r="C1267" s="53">
        <f t="shared" si="38"/>
        <v>4.9200193892389756E-2</v>
      </c>
      <c r="E1267" s="52">
        <v>45791</v>
      </c>
      <c r="F1267" s="54">
        <v>24666.900390625</v>
      </c>
      <c r="G1267" s="53">
        <f t="shared" si="39"/>
        <v>3.6027960647212775E-3</v>
      </c>
    </row>
    <row r="1268" spans="1:7" ht="13.5" customHeight="1" x14ac:dyDescent="0.3">
      <c r="A1268" s="52">
        <v>45792</v>
      </c>
      <c r="B1268" s="27">
        <v>178.56</v>
      </c>
      <c r="C1268" s="53">
        <f t="shared" si="38"/>
        <v>3.1185031185031218E-2</v>
      </c>
      <c r="E1268" s="52">
        <v>45792</v>
      </c>
      <c r="F1268" s="54">
        <v>25062.099609375</v>
      </c>
      <c r="G1268" s="53">
        <f t="shared" si="39"/>
        <v>1.6021438141461865E-2</v>
      </c>
    </row>
    <row r="1269" spans="1:7" ht="13.5" customHeight="1" x14ac:dyDescent="0.3">
      <c r="A1269" s="52">
        <v>45793</v>
      </c>
      <c r="B1269" s="27">
        <v>177.19</v>
      </c>
      <c r="C1269" s="53">
        <f t="shared" si="38"/>
        <v>-7.6724910394265489E-3</v>
      </c>
      <c r="E1269" s="52">
        <v>45793</v>
      </c>
      <c r="F1269" s="54">
        <v>25019.80078125</v>
      </c>
      <c r="G1269" s="53">
        <f t="shared" si="39"/>
        <v>-1.6877607536591724E-3</v>
      </c>
    </row>
    <row r="1270" spans="1:7" ht="13.5" customHeight="1" x14ac:dyDescent="0.3">
      <c r="A1270" s="52">
        <v>45796</v>
      </c>
      <c r="B1270" s="27">
        <v>181.93</v>
      </c>
      <c r="C1270" s="53">
        <f t="shared" si="38"/>
        <v>2.6750945312940963E-2</v>
      </c>
      <c r="E1270" s="52">
        <v>45796</v>
      </c>
      <c r="F1270" s="54">
        <v>24945.44921875</v>
      </c>
      <c r="G1270" s="53">
        <f t="shared" si="39"/>
        <v>-2.9717088137536066E-3</v>
      </c>
    </row>
    <row r="1271" spans="1:7" ht="13.5" customHeight="1" x14ac:dyDescent="0.3">
      <c r="A1271" s="52">
        <v>45797</v>
      </c>
      <c r="B1271" s="27">
        <v>179.07</v>
      </c>
      <c r="C1271" s="53">
        <f t="shared" si="38"/>
        <v>-1.5720331995822644E-2</v>
      </c>
      <c r="E1271" s="52">
        <v>45797</v>
      </c>
      <c r="F1271" s="54">
        <v>24683.900390625</v>
      </c>
      <c r="G1271" s="53">
        <f t="shared" si="39"/>
        <v>-1.0484831354666864E-2</v>
      </c>
    </row>
    <row r="1272" spans="1:7" ht="13.5" customHeight="1" x14ac:dyDescent="0.3">
      <c r="A1272" s="52">
        <v>45798</v>
      </c>
      <c r="B1272" s="27">
        <v>181.75</v>
      </c>
      <c r="C1272" s="53">
        <f t="shared" si="38"/>
        <v>1.4966214329591818E-2</v>
      </c>
      <c r="E1272" s="52">
        <v>45798</v>
      </c>
      <c r="F1272" s="54">
        <v>24813.44921875</v>
      </c>
      <c r="G1272" s="53">
        <f t="shared" si="39"/>
        <v>5.2483127088862724E-3</v>
      </c>
    </row>
    <row r="1273" spans="1:7" ht="13.5" customHeight="1" x14ac:dyDescent="0.3">
      <c r="A1273" s="52">
        <v>45799</v>
      </c>
      <c r="B1273" s="27">
        <v>184.95</v>
      </c>
      <c r="C1273" s="53">
        <f t="shared" si="38"/>
        <v>1.760660247592841E-2</v>
      </c>
      <c r="E1273" s="52">
        <v>45799</v>
      </c>
      <c r="F1273" s="54">
        <v>24609.69921875</v>
      </c>
      <c r="G1273" s="53">
        <f t="shared" si="39"/>
        <v>-8.2112727740421762E-3</v>
      </c>
    </row>
    <row r="1274" spans="1:7" ht="13.5" customHeight="1" x14ac:dyDescent="0.3">
      <c r="A1274" s="52">
        <v>45800</v>
      </c>
      <c r="B1274" s="27">
        <v>183.84</v>
      </c>
      <c r="C1274" s="53">
        <f t="shared" si="38"/>
        <v>-6.0016220600161412E-3</v>
      </c>
      <c r="E1274" s="52">
        <v>45800</v>
      </c>
      <c r="F1274" s="54">
        <v>24853.150390625</v>
      </c>
      <c r="G1274" s="53">
        <f t="shared" si="39"/>
        <v>9.8924887180057795E-3</v>
      </c>
    </row>
    <row r="1275" spans="1:7" ht="13.5" customHeight="1" x14ac:dyDescent="0.3">
      <c r="A1275" s="52">
        <v>45803</v>
      </c>
      <c r="B1275" s="27">
        <v>183.54</v>
      </c>
      <c r="C1275" s="53">
        <f t="shared" si="38"/>
        <v>-1.631853785900845E-3</v>
      </c>
      <c r="E1275" s="52">
        <v>45803</v>
      </c>
      <c r="F1275" s="54">
        <v>25001.150390625</v>
      </c>
      <c r="G1275" s="53">
        <f t="shared" si="39"/>
        <v>5.9549794562796321E-3</v>
      </c>
    </row>
    <row r="1276" spans="1:7" ht="13.5" customHeight="1" x14ac:dyDescent="0.3">
      <c r="A1276" s="52">
        <v>45804</v>
      </c>
      <c r="B1276" s="27">
        <v>181.95</v>
      </c>
      <c r="C1276" s="53">
        <f t="shared" si="38"/>
        <v>-8.6629617522066219E-3</v>
      </c>
      <c r="E1276" s="52">
        <v>45804</v>
      </c>
      <c r="F1276" s="54">
        <v>24826.19921875</v>
      </c>
      <c r="G1276" s="53">
        <f t="shared" si="39"/>
        <v>-6.9977248703165145E-3</v>
      </c>
    </row>
    <row r="1277" spans="1:7" ht="13.5" customHeight="1" x14ac:dyDescent="0.3">
      <c r="A1277" s="52">
        <v>45805</v>
      </c>
      <c r="B1277" s="27">
        <v>183.27</v>
      </c>
      <c r="C1277" s="53">
        <f t="shared" si="38"/>
        <v>7.2547403132729961E-3</v>
      </c>
      <c r="E1277" s="52">
        <v>45805</v>
      </c>
      <c r="F1277" s="54">
        <v>24752.44921875</v>
      </c>
      <c r="G1277" s="53">
        <f t="shared" si="39"/>
        <v>-2.9706520659956788E-3</v>
      </c>
    </row>
    <row r="1278" spans="1:7" ht="13.5" customHeight="1" x14ac:dyDescent="0.3">
      <c r="A1278" s="52">
        <v>45806</v>
      </c>
      <c r="B1278" s="27">
        <v>183.62</v>
      </c>
      <c r="C1278" s="53">
        <f t="shared" si="38"/>
        <v>1.9097506411305412E-3</v>
      </c>
      <c r="E1278" s="52">
        <v>45806</v>
      </c>
      <c r="F1278" s="54">
        <v>24833.599609375</v>
      </c>
      <c r="G1278" s="53">
        <f t="shared" si="39"/>
        <v>3.2784792287758142E-3</v>
      </c>
    </row>
    <row r="1279" spans="1:7" ht="13.5" customHeight="1" x14ac:dyDescent="0.3">
      <c r="A1279" s="52">
        <v>45807</v>
      </c>
      <c r="B1279" s="27">
        <v>180.35</v>
      </c>
      <c r="C1279" s="53">
        <f t="shared" si="38"/>
        <v>-1.7808517590676452E-2</v>
      </c>
      <c r="E1279" s="52">
        <v>45807</v>
      </c>
      <c r="F1279" s="54">
        <v>24750.69921875</v>
      </c>
      <c r="G1279" s="53">
        <f t="shared" si="39"/>
        <v>-3.3382349691143463E-3</v>
      </c>
    </row>
    <row r="1280" spans="1:7" ht="13.5" customHeight="1" x14ac:dyDescent="0.3">
      <c r="A1280" s="52">
        <v>45810</v>
      </c>
      <c r="B1280" s="27">
        <v>180.77</v>
      </c>
      <c r="C1280" s="53">
        <f t="shared" si="38"/>
        <v>2.328805101192215E-3</v>
      </c>
      <c r="E1280" s="52">
        <v>45810</v>
      </c>
      <c r="F1280" s="54">
        <v>24716.599609375</v>
      </c>
      <c r="G1280" s="53">
        <f t="shared" si="39"/>
        <v>-1.3777230725331466E-3</v>
      </c>
    </row>
    <row r="1281" spans="1:7" ht="13.5" customHeight="1" x14ac:dyDescent="0.3">
      <c r="A1281" s="52">
        <v>45811</v>
      </c>
      <c r="B1281" s="27">
        <v>182.1</v>
      </c>
      <c r="C1281" s="53">
        <f t="shared" si="38"/>
        <v>7.3574155003594847E-3</v>
      </c>
      <c r="E1281" s="52">
        <v>45811</v>
      </c>
      <c r="F1281" s="54">
        <v>24542.5</v>
      </c>
      <c r="G1281" s="53">
        <f t="shared" si="39"/>
        <v>-7.0438333802585072E-3</v>
      </c>
    </row>
    <row r="1282" spans="1:7" ht="13.5" customHeight="1" x14ac:dyDescent="0.3">
      <c r="A1282" s="52">
        <v>45812</v>
      </c>
      <c r="B1282" s="27">
        <v>182.72</v>
      </c>
      <c r="C1282" s="53">
        <f t="shared" si="38"/>
        <v>3.4047226798462633E-3</v>
      </c>
      <c r="E1282" s="52">
        <v>45812</v>
      </c>
      <c r="F1282" s="54">
        <v>24620.19921875</v>
      </c>
      <c r="G1282" s="53">
        <f t="shared" si="39"/>
        <v>3.1659048079861465E-3</v>
      </c>
    </row>
    <row r="1283" spans="1:7" ht="13.5" customHeight="1" x14ac:dyDescent="0.3">
      <c r="A1283" s="52">
        <v>45813</v>
      </c>
      <c r="B1283" s="27">
        <v>182.4</v>
      </c>
      <c r="C1283" s="53">
        <f t="shared" si="38"/>
        <v>-1.7513134851137981E-3</v>
      </c>
      <c r="E1283" s="52">
        <v>45813</v>
      </c>
      <c r="F1283" s="54">
        <v>24750.900390625</v>
      </c>
      <c r="G1283" s="53">
        <f t="shared" si="39"/>
        <v>5.3086967621066988E-3</v>
      </c>
    </row>
    <row r="1284" spans="1:7" ht="13.5" customHeight="1" x14ac:dyDescent="0.3">
      <c r="A1284" s="52">
        <v>45814</v>
      </c>
      <c r="B1284" s="27">
        <v>188.47</v>
      </c>
      <c r="C1284" s="53">
        <f t="shared" si="38"/>
        <v>3.3278508771929789E-2</v>
      </c>
      <c r="E1284" s="52">
        <v>45814</v>
      </c>
      <c r="F1284" s="54">
        <v>25003.05078125</v>
      </c>
      <c r="G1284" s="53">
        <f t="shared" si="39"/>
        <v>1.0187523954502602E-2</v>
      </c>
    </row>
    <row r="1285" spans="1:7" ht="13.5" customHeight="1" x14ac:dyDescent="0.3">
      <c r="A1285" s="52">
        <v>45817</v>
      </c>
      <c r="B1285" s="27">
        <v>187.24</v>
      </c>
      <c r="C1285" s="53">
        <f t="shared" ref="C1285:C1348" si="40">(B1285-B1284)/B1284</f>
        <v>-6.5262375974955685E-3</v>
      </c>
      <c r="E1285" s="52">
        <v>45817</v>
      </c>
      <c r="F1285" s="54">
        <v>25103.19921875</v>
      </c>
      <c r="G1285" s="53">
        <f t="shared" ref="G1285:G1348" si="41">(F1285-F1284)/F1284</f>
        <v>4.0054487100870968E-3</v>
      </c>
    </row>
    <row r="1286" spans="1:7" ht="13.5" customHeight="1" x14ac:dyDescent="0.3">
      <c r="A1286" s="52">
        <v>45818</v>
      </c>
      <c r="B1286" s="27">
        <v>191.7</v>
      </c>
      <c r="C1286" s="53">
        <f t="shared" si="40"/>
        <v>2.3819696646015697E-2</v>
      </c>
      <c r="E1286" s="52">
        <v>45818</v>
      </c>
      <c r="F1286" s="54">
        <v>25104.25</v>
      </c>
      <c r="G1286" s="53">
        <f t="shared" si="41"/>
        <v>4.185845958690213E-5</v>
      </c>
    </row>
    <row r="1287" spans="1:7" ht="13.5" customHeight="1" x14ac:dyDescent="0.3">
      <c r="A1287" s="52">
        <v>45819</v>
      </c>
      <c r="B1287" s="27">
        <v>190.01</v>
      </c>
      <c r="C1287" s="53">
        <f t="shared" si="40"/>
        <v>-8.8158581116327475E-3</v>
      </c>
      <c r="E1287" s="52">
        <v>45819</v>
      </c>
      <c r="F1287" s="54">
        <v>25141.400390625</v>
      </c>
      <c r="G1287" s="53">
        <f t="shared" si="41"/>
        <v>1.4798446727147794E-3</v>
      </c>
    </row>
    <row r="1288" spans="1:7" ht="13.5" customHeight="1" x14ac:dyDescent="0.3">
      <c r="A1288" s="52">
        <v>45820</v>
      </c>
      <c r="B1288" s="27">
        <v>187.06</v>
      </c>
      <c r="C1288" s="53">
        <f t="shared" si="40"/>
        <v>-1.5525498657965311E-2</v>
      </c>
      <c r="E1288" s="52">
        <v>45820</v>
      </c>
      <c r="F1288" s="54">
        <v>24888.19921875</v>
      </c>
      <c r="G1288" s="53">
        <f t="shared" si="41"/>
        <v>-1.0071084662786582E-2</v>
      </c>
    </row>
    <row r="1289" spans="1:7" ht="13.5" customHeight="1" x14ac:dyDescent="0.3">
      <c r="A1289" s="52">
        <v>45821</v>
      </c>
      <c r="B1289" s="27">
        <v>185.68</v>
      </c>
      <c r="C1289" s="53">
        <f t="shared" si="40"/>
        <v>-7.3773120923767534E-3</v>
      </c>
      <c r="E1289" s="52">
        <v>45821</v>
      </c>
      <c r="F1289" s="54">
        <v>24718.599609375</v>
      </c>
      <c r="G1289" s="53">
        <f t="shared" si="41"/>
        <v>-6.814458847919736E-3</v>
      </c>
    </row>
    <row r="1290" spans="1:7" ht="13.5" customHeight="1" x14ac:dyDescent="0.3">
      <c r="A1290" s="52">
        <v>45824</v>
      </c>
      <c r="B1290" s="27">
        <v>188.03</v>
      </c>
      <c r="C1290" s="53">
        <f t="shared" si="40"/>
        <v>1.2656182679879332E-2</v>
      </c>
      <c r="E1290" s="52">
        <v>45824</v>
      </c>
      <c r="F1290" s="54">
        <v>24946.5</v>
      </c>
      <c r="G1290" s="53">
        <f t="shared" si="41"/>
        <v>9.2197937677086055E-3</v>
      </c>
    </row>
    <row r="1291" spans="1:7" ht="13.5" customHeight="1" x14ac:dyDescent="0.3">
      <c r="A1291" s="52">
        <v>45825</v>
      </c>
      <c r="B1291" s="27">
        <v>185.17</v>
      </c>
      <c r="C1291" s="53">
        <f t="shared" si="40"/>
        <v>-1.5210338775727351E-2</v>
      </c>
      <c r="E1291" s="52">
        <v>45825</v>
      </c>
      <c r="F1291" s="54">
        <v>24853.400390625</v>
      </c>
      <c r="G1291" s="53">
        <f t="shared" si="41"/>
        <v>-3.7319707924959415E-3</v>
      </c>
    </row>
    <row r="1292" spans="1:7" ht="13.5" customHeight="1" x14ac:dyDescent="0.3">
      <c r="A1292" s="52">
        <v>45826</v>
      </c>
      <c r="B1292" s="27">
        <v>186.19</v>
      </c>
      <c r="C1292" s="53">
        <f t="shared" si="40"/>
        <v>5.5084516930388851E-3</v>
      </c>
      <c r="E1292" s="52">
        <v>45826</v>
      </c>
      <c r="F1292" s="54">
        <v>24812.05078125</v>
      </c>
      <c r="G1292" s="53">
        <f t="shared" si="41"/>
        <v>-1.6637405234334682E-3</v>
      </c>
    </row>
    <row r="1293" spans="1:7" ht="13.5" customHeight="1" x14ac:dyDescent="0.3">
      <c r="A1293" s="52">
        <v>45827</v>
      </c>
      <c r="B1293" s="27">
        <v>181.93</v>
      </c>
      <c r="C1293" s="53">
        <f t="shared" si="40"/>
        <v>-2.2879853912669806E-2</v>
      </c>
      <c r="E1293" s="52">
        <v>45827</v>
      </c>
      <c r="F1293" s="54">
        <v>24793.25</v>
      </c>
      <c r="G1293" s="53">
        <f t="shared" si="41"/>
        <v>-7.5772782410260889E-4</v>
      </c>
    </row>
    <row r="1294" spans="1:7" ht="13.5" customHeight="1" x14ac:dyDescent="0.3">
      <c r="A1294" s="52">
        <v>45828</v>
      </c>
      <c r="B1294" s="27">
        <v>183.99</v>
      </c>
      <c r="C1294" s="53">
        <f t="shared" si="40"/>
        <v>1.1323036332655429E-2</v>
      </c>
      <c r="E1294" s="52">
        <v>45828</v>
      </c>
      <c r="F1294" s="54">
        <v>25112.400390625</v>
      </c>
      <c r="G1294" s="53">
        <f t="shared" si="41"/>
        <v>1.2872470959837859E-2</v>
      </c>
    </row>
    <row r="1295" spans="1:7" ht="13.5" customHeight="1" x14ac:dyDescent="0.3">
      <c r="A1295" s="52">
        <v>45831</v>
      </c>
      <c r="B1295" s="27">
        <v>188.28</v>
      </c>
      <c r="C1295" s="53">
        <f t="shared" si="40"/>
        <v>2.3316484591553846E-2</v>
      </c>
      <c r="E1295" s="52">
        <v>45831</v>
      </c>
      <c r="F1295" s="54">
        <v>24971.900390625</v>
      </c>
      <c r="G1295" s="53">
        <f t="shared" si="41"/>
        <v>-5.5948454872697742E-3</v>
      </c>
    </row>
    <row r="1296" spans="1:7" ht="13.5" customHeight="1" x14ac:dyDescent="0.3">
      <c r="A1296" s="52">
        <v>45832</v>
      </c>
      <c r="B1296" s="27">
        <v>189.75</v>
      </c>
      <c r="C1296" s="53">
        <f t="shared" si="40"/>
        <v>7.8075207138304592E-3</v>
      </c>
      <c r="E1296" s="52">
        <v>45832</v>
      </c>
      <c r="F1296" s="54">
        <v>25044.349609375</v>
      </c>
      <c r="G1296" s="53">
        <f t="shared" si="41"/>
        <v>2.9012296868362901E-3</v>
      </c>
    </row>
    <row r="1297" spans="1:7" ht="13.5" customHeight="1" x14ac:dyDescent="0.3">
      <c r="A1297" s="52">
        <v>45833</v>
      </c>
      <c r="B1297" s="27">
        <v>187.94</v>
      </c>
      <c r="C1297" s="53">
        <f t="shared" si="40"/>
        <v>-9.5388669301712907E-3</v>
      </c>
      <c r="E1297" s="52">
        <v>45833</v>
      </c>
      <c r="F1297" s="54">
        <v>25244.75</v>
      </c>
      <c r="G1297" s="53">
        <f t="shared" si="41"/>
        <v>8.0018205204252114E-3</v>
      </c>
    </row>
    <row r="1298" spans="1:7" ht="13.5" customHeight="1" x14ac:dyDescent="0.3">
      <c r="A1298" s="52">
        <v>45834</v>
      </c>
      <c r="B1298" s="27">
        <v>193.59</v>
      </c>
      <c r="C1298" s="53">
        <f t="shared" si="40"/>
        <v>3.0062785995530521E-2</v>
      </c>
      <c r="E1298" s="52">
        <v>45834</v>
      </c>
      <c r="F1298" s="54">
        <v>25549</v>
      </c>
      <c r="G1298" s="53">
        <f t="shared" si="41"/>
        <v>1.205201081412967E-2</v>
      </c>
    </row>
    <row r="1299" spans="1:7" ht="13.5" customHeight="1" x14ac:dyDescent="0.3">
      <c r="A1299" s="52">
        <v>45835</v>
      </c>
      <c r="B1299" s="27">
        <v>190.83</v>
      </c>
      <c r="C1299" s="53">
        <f t="shared" si="40"/>
        <v>-1.4256934759026762E-2</v>
      </c>
      <c r="E1299" s="52">
        <v>45835</v>
      </c>
      <c r="F1299" s="54">
        <v>25637.80078125</v>
      </c>
      <c r="G1299" s="53">
        <f t="shared" si="41"/>
        <v>3.4757047731809464E-3</v>
      </c>
    </row>
    <row r="1300" spans="1:7" ht="13.5" customHeight="1" x14ac:dyDescent="0.3">
      <c r="A1300" s="52">
        <v>45838</v>
      </c>
      <c r="B1300" s="27">
        <v>192.7</v>
      </c>
      <c r="C1300" s="53">
        <f t="shared" si="40"/>
        <v>9.7992978043283333E-3</v>
      </c>
      <c r="E1300" s="52">
        <v>45838</v>
      </c>
      <c r="F1300" s="54">
        <v>25517.05078125</v>
      </c>
      <c r="G1300" s="53">
        <f t="shared" si="41"/>
        <v>-4.7098423546652075E-3</v>
      </c>
    </row>
    <row r="1301" spans="1:7" ht="13.5" customHeight="1" x14ac:dyDescent="0.3">
      <c r="A1301" s="52">
        <v>45839</v>
      </c>
      <c r="B1301" s="27">
        <v>190.27</v>
      </c>
      <c r="C1301" s="53">
        <f t="shared" si="40"/>
        <v>-1.2610275038920491E-2</v>
      </c>
      <c r="E1301" s="52">
        <v>45839</v>
      </c>
      <c r="F1301" s="54">
        <v>25541.80078125</v>
      </c>
      <c r="G1301" s="53">
        <f t="shared" si="41"/>
        <v>9.6993967728380148E-4</v>
      </c>
    </row>
    <row r="1302" spans="1:7" ht="13.5" customHeight="1" x14ac:dyDescent="0.3">
      <c r="A1302" s="52">
        <v>45840</v>
      </c>
      <c r="B1302" s="27">
        <v>192.41</v>
      </c>
      <c r="C1302" s="53">
        <f t="shared" si="40"/>
        <v>1.1247175067009967E-2</v>
      </c>
      <c r="E1302" s="52">
        <v>45840</v>
      </c>
      <c r="F1302" s="54">
        <v>25453.400390625</v>
      </c>
      <c r="G1302" s="53">
        <f t="shared" si="41"/>
        <v>-3.4610085397695964E-3</v>
      </c>
    </row>
    <row r="1303" spans="1:7" ht="13.5" customHeight="1" x14ac:dyDescent="0.3">
      <c r="A1303" s="52">
        <v>45841</v>
      </c>
      <c r="B1303" s="27">
        <v>192.25</v>
      </c>
      <c r="C1303" s="53">
        <f t="shared" si="40"/>
        <v>-8.315576113507437E-4</v>
      </c>
      <c r="E1303" s="52">
        <v>45841</v>
      </c>
      <c r="F1303" s="54">
        <v>25405.30078125</v>
      </c>
      <c r="G1303" s="53">
        <f t="shared" si="41"/>
        <v>-1.8897125192245848E-3</v>
      </c>
    </row>
    <row r="1304" spans="1:7" ht="13.5" customHeight="1" x14ac:dyDescent="0.3">
      <c r="A1304" s="52">
        <v>45842</v>
      </c>
      <c r="B1304" s="27">
        <v>192.09</v>
      </c>
      <c r="C1304" s="53">
        <f t="shared" si="40"/>
        <v>-8.3224967490245301E-4</v>
      </c>
      <c r="E1304" s="52">
        <v>45842</v>
      </c>
      <c r="F1304" s="54">
        <v>25461</v>
      </c>
      <c r="G1304" s="53">
        <f t="shared" si="41"/>
        <v>2.1924250859926041E-3</v>
      </c>
    </row>
    <row r="1305" spans="1:7" ht="13.5" customHeight="1" x14ac:dyDescent="0.3">
      <c r="A1305" s="52">
        <v>45845</v>
      </c>
      <c r="B1305" s="27">
        <v>188.56</v>
      </c>
      <c r="C1305" s="53">
        <f t="shared" si="40"/>
        <v>-1.8376802540475825E-2</v>
      </c>
      <c r="E1305" s="52">
        <v>45845</v>
      </c>
      <c r="F1305" s="54">
        <v>25461.30078125</v>
      </c>
      <c r="G1305" s="53">
        <f t="shared" si="41"/>
        <v>1.1813410706570834E-5</v>
      </c>
    </row>
    <row r="1306" spans="1:7" ht="13.5" customHeight="1" x14ac:dyDescent="0.3">
      <c r="A1306" s="52">
        <v>45846</v>
      </c>
      <c r="B1306" s="27">
        <v>189.91</v>
      </c>
      <c r="C1306" s="53">
        <f t="shared" si="40"/>
        <v>7.1595248196860114E-3</v>
      </c>
      <c r="E1306" s="52">
        <v>45846</v>
      </c>
      <c r="F1306" s="54">
        <v>25522.5</v>
      </c>
      <c r="G1306" s="53">
        <f t="shared" si="41"/>
        <v>2.4036171315751404E-3</v>
      </c>
    </row>
    <row r="1307" spans="1:7" ht="13.5" customHeight="1" x14ac:dyDescent="0.3">
      <c r="A1307" s="52">
        <v>45847</v>
      </c>
      <c r="B1307" s="27">
        <v>186.23</v>
      </c>
      <c r="C1307" s="53">
        <f t="shared" si="40"/>
        <v>-1.9377599915749603E-2</v>
      </c>
      <c r="E1307" s="52">
        <v>45847</v>
      </c>
      <c r="F1307" s="54">
        <v>25476.099609375</v>
      </c>
      <c r="G1307" s="53">
        <f t="shared" si="41"/>
        <v>-1.8180190273288275E-3</v>
      </c>
    </row>
    <row r="1308" spans="1:7" ht="13.5" customHeight="1" x14ac:dyDescent="0.3">
      <c r="A1308" s="52">
        <v>45848</v>
      </c>
      <c r="B1308" s="27">
        <v>188.95</v>
      </c>
      <c r="C1308" s="53">
        <f t="shared" si="40"/>
        <v>1.4605595231702727E-2</v>
      </c>
      <c r="E1308" s="52">
        <v>45848</v>
      </c>
      <c r="F1308" s="54">
        <v>25355.25</v>
      </c>
      <c r="G1308" s="53">
        <f t="shared" si="41"/>
        <v>-4.7436464461980792E-3</v>
      </c>
    </row>
    <row r="1309" spans="1:7" ht="13.5" customHeight="1" x14ac:dyDescent="0.3">
      <c r="A1309" s="52">
        <v>45849</v>
      </c>
      <c r="B1309" s="27">
        <v>189.5</v>
      </c>
      <c r="C1309" s="53">
        <f t="shared" si="40"/>
        <v>2.9108229690394888E-3</v>
      </c>
      <c r="E1309" s="52">
        <v>45849</v>
      </c>
      <c r="F1309" s="54">
        <v>25149.849609375</v>
      </c>
      <c r="G1309" s="53">
        <f t="shared" si="41"/>
        <v>-8.1009018102759789E-3</v>
      </c>
    </row>
    <row r="1310" spans="1:7" ht="13.5" customHeight="1" x14ac:dyDescent="0.3">
      <c r="A1310" s="52">
        <v>45852</v>
      </c>
      <c r="B1310" s="27">
        <v>189.47</v>
      </c>
      <c r="C1310" s="53">
        <f t="shared" si="40"/>
        <v>-1.5831134564644398E-4</v>
      </c>
      <c r="E1310" s="52">
        <v>45852</v>
      </c>
      <c r="F1310" s="54">
        <v>25082.30078125</v>
      </c>
      <c r="G1310" s="53">
        <f t="shared" si="41"/>
        <v>-2.685854157148523E-3</v>
      </c>
    </row>
    <row r="1311" spans="1:7" ht="13.5" customHeight="1" x14ac:dyDescent="0.3">
      <c r="A1311" s="52">
        <v>45853</v>
      </c>
      <c r="B1311" s="27">
        <v>190.48</v>
      </c>
      <c r="C1311" s="53">
        <f t="shared" si="40"/>
        <v>5.3306592072623156E-3</v>
      </c>
      <c r="E1311" s="52">
        <v>45853</v>
      </c>
      <c r="F1311" s="54">
        <v>25195.80078125</v>
      </c>
      <c r="G1311" s="53">
        <f t="shared" si="41"/>
        <v>4.5251032187942535E-3</v>
      </c>
    </row>
    <row r="1312" spans="1:7" ht="13.5" customHeight="1" x14ac:dyDescent="0.3">
      <c r="A1312" s="52">
        <v>45854</v>
      </c>
      <c r="B1312" s="27">
        <v>188.02</v>
      </c>
      <c r="C1312" s="53">
        <f t="shared" si="40"/>
        <v>-1.2914741705165791E-2</v>
      </c>
      <c r="E1312" s="52">
        <v>45854</v>
      </c>
      <c r="F1312" s="54">
        <v>25212.05078125</v>
      </c>
      <c r="G1312" s="53">
        <f t="shared" si="41"/>
        <v>6.4494874130346306E-4</v>
      </c>
    </row>
    <row r="1313" spans="1:7" ht="13.5" customHeight="1" x14ac:dyDescent="0.3">
      <c r="A1313" s="52">
        <v>45855</v>
      </c>
      <c r="B1313" s="27">
        <v>189.12</v>
      </c>
      <c r="C1313" s="53">
        <f t="shared" si="40"/>
        <v>5.8504414423997146E-3</v>
      </c>
      <c r="E1313" s="52">
        <v>45855</v>
      </c>
      <c r="F1313" s="54">
        <v>25111.44921875</v>
      </c>
      <c r="G1313" s="53">
        <f t="shared" si="41"/>
        <v>-3.9902173517283477E-3</v>
      </c>
    </row>
    <row r="1314" spans="1:7" ht="13.5" customHeight="1" x14ac:dyDescent="0.3">
      <c r="A1314" s="52">
        <v>45856</v>
      </c>
      <c r="B1314" s="27">
        <v>188.02</v>
      </c>
      <c r="C1314" s="53">
        <f t="shared" si="40"/>
        <v>-5.8164128595600377E-3</v>
      </c>
      <c r="E1314" s="52">
        <v>45856</v>
      </c>
      <c r="F1314" s="54">
        <v>24968.400390625</v>
      </c>
      <c r="G1314" s="53">
        <f t="shared" si="41"/>
        <v>-5.6965580472428303E-3</v>
      </c>
    </row>
    <row r="1315" spans="1:7" ht="13.5" customHeight="1" x14ac:dyDescent="0.3">
      <c r="A1315" s="52">
        <v>45859</v>
      </c>
      <c r="B1315" s="27">
        <v>194.99</v>
      </c>
      <c r="C1315" s="53">
        <f t="shared" si="40"/>
        <v>3.7070524412296559E-2</v>
      </c>
      <c r="E1315" s="52">
        <v>45859</v>
      </c>
      <c r="F1315" s="54">
        <v>25090.69921875</v>
      </c>
      <c r="G1315" s="53">
        <f t="shared" si="41"/>
        <v>4.8981443028653171E-3</v>
      </c>
    </row>
    <row r="1316" spans="1:7" ht="13.5" customHeight="1" x14ac:dyDescent="0.3">
      <c r="A1316" s="52">
        <v>45860</v>
      </c>
      <c r="B1316" s="27">
        <v>196.69</v>
      </c>
      <c r="C1316" s="53">
        <f t="shared" si="40"/>
        <v>8.7183958151699492E-3</v>
      </c>
      <c r="E1316" s="52">
        <v>45860</v>
      </c>
      <c r="F1316" s="54">
        <v>25060.900390625</v>
      </c>
      <c r="G1316" s="53">
        <f t="shared" si="41"/>
        <v>-1.1876443882732318E-3</v>
      </c>
    </row>
    <row r="1317" spans="1:7" ht="13.5" customHeight="1" x14ac:dyDescent="0.3">
      <c r="A1317" s="52">
        <v>45861</v>
      </c>
      <c r="B1317" s="27">
        <v>198.09</v>
      </c>
      <c r="C1317" s="53">
        <f t="shared" si="40"/>
        <v>7.117799583100339E-3</v>
      </c>
      <c r="E1317" s="52">
        <v>45861</v>
      </c>
      <c r="F1317" s="54">
        <v>25219.900390625</v>
      </c>
      <c r="G1317" s="53">
        <f t="shared" si="41"/>
        <v>6.3445445902446549E-3</v>
      </c>
    </row>
    <row r="1318" spans="1:7" ht="13.5" customHeight="1" x14ac:dyDescent="0.3">
      <c r="A1318" s="52">
        <v>45862</v>
      </c>
      <c r="B1318" s="27">
        <v>198.9</v>
      </c>
      <c r="C1318" s="53">
        <f t="shared" si="40"/>
        <v>4.0890504316220015E-3</v>
      </c>
      <c r="E1318" s="52">
        <v>45862</v>
      </c>
      <c r="F1318" s="54">
        <v>25062.099609375</v>
      </c>
      <c r="G1318" s="53">
        <f t="shared" si="41"/>
        <v>-6.2569946274910479E-3</v>
      </c>
    </row>
    <row r="1319" spans="1:7" ht="13.5" customHeight="1" x14ac:dyDescent="0.3">
      <c r="A1319" s="52">
        <v>45863</v>
      </c>
      <c r="B1319" s="27">
        <v>193.66</v>
      </c>
      <c r="C1319" s="53">
        <f t="shared" si="40"/>
        <v>-2.6344896933132272E-2</v>
      </c>
      <c r="E1319" s="52">
        <v>45863</v>
      </c>
      <c r="F1319" s="54">
        <v>24837</v>
      </c>
      <c r="G1319" s="53">
        <f t="shared" si="41"/>
        <v>-8.9816740370306722E-3</v>
      </c>
    </row>
    <row r="1320" spans="1:7" ht="13.5" customHeight="1" x14ac:dyDescent="0.3">
      <c r="A1320" s="52">
        <v>45866</v>
      </c>
      <c r="B1320" s="27">
        <v>187.7</v>
      </c>
      <c r="C1320" s="53">
        <f t="shared" si="40"/>
        <v>-3.0775586078694663E-2</v>
      </c>
      <c r="E1320" s="52">
        <v>45866</v>
      </c>
      <c r="F1320" s="54">
        <v>24680.900390625</v>
      </c>
      <c r="G1320" s="53">
        <f t="shared" si="41"/>
        <v>-6.2849623293876073E-3</v>
      </c>
    </row>
    <row r="1321" spans="1:7" ht="13.5" customHeight="1" x14ac:dyDescent="0.3">
      <c r="A1321" s="52">
        <v>45867</v>
      </c>
      <c r="B1321" s="27">
        <v>189.68</v>
      </c>
      <c r="C1321" s="53">
        <f t="shared" si="40"/>
        <v>1.0548748002131158E-2</v>
      </c>
      <c r="E1321" s="52">
        <v>45867</v>
      </c>
      <c r="F1321" s="54">
        <v>24821.099609375</v>
      </c>
      <c r="G1321" s="53">
        <f t="shared" si="41"/>
        <v>5.6804742343700898E-3</v>
      </c>
    </row>
    <row r="1322" spans="1:7" ht="13.5" customHeight="1" x14ac:dyDescent="0.3">
      <c r="A1322" s="52">
        <v>45868</v>
      </c>
      <c r="B1322" s="27">
        <v>187.13</v>
      </c>
      <c r="C1322" s="53">
        <f t="shared" si="40"/>
        <v>-1.344369464361035E-2</v>
      </c>
      <c r="E1322" s="52">
        <v>45868</v>
      </c>
      <c r="F1322" s="54">
        <v>24855.05078125</v>
      </c>
      <c r="G1322" s="53">
        <f t="shared" si="41"/>
        <v>1.3678351245235141E-3</v>
      </c>
    </row>
    <row r="1323" spans="1:7" ht="13.5" customHeight="1" x14ac:dyDescent="0.3">
      <c r="A1323" s="52">
        <v>45869</v>
      </c>
      <c r="B1323" s="27">
        <v>185.06</v>
      </c>
      <c r="C1323" s="53">
        <f t="shared" si="40"/>
        <v>-1.1061828675252463E-2</v>
      </c>
      <c r="E1323" s="52">
        <v>45869</v>
      </c>
      <c r="F1323" s="54">
        <v>24768.349609375</v>
      </c>
      <c r="G1323" s="53">
        <f t="shared" si="41"/>
        <v>-3.4882717656889721E-3</v>
      </c>
    </row>
    <row r="1324" spans="1:7" ht="13.5" customHeight="1" x14ac:dyDescent="0.3">
      <c r="A1324" s="52">
        <v>45870</v>
      </c>
      <c r="B1324" s="27">
        <v>180.7</v>
      </c>
      <c r="C1324" s="53">
        <f t="shared" si="40"/>
        <v>-2.3559926510321051E-2</v>
      </c>
      <c r="E1324" s="52">
        <v>45870</v>
      </c>
      <c r="F1324" s="54">
        <v>24565.349609375</v>
      </c>
      <c r="G1324" s="53">
        <f t="shared" si="41"/>
        <v>-8.1959437427822409E-3</v>
      </c>
    </row>
    <row r="1325" spans="1:7" ht="13.5" customHeight="1" x14ac:dyDescent="0.3">
      <c r="A1325" s="52">
        <v>45873</v>
      </c>
      <c r="B1325" s="27">
        <v>187.14</v>
      </c>
      <c r="C1325" s="53">
        <f t="shared" si="40"/>
        <v>3.5639180962921957E-2</v>
      </c>
      <c r="E1325" s="52">
        <v>45873</v>
      </c>
      <c r="F1325" s="54">
        <v>24722.75</v>
      </c>
      <c r="G1325" s="53">
        <f t="shared" si="41"/>
        <v>6.4074150430544043E-3</v>
      </c>
    </row>
    <row r="1326" spans="1:7" ht="13.5" customHeight="1" x14ac:dyDescent="0.3">
      <c r="A1326" s="52">
        <v>45874</v>
      </c>
      <c r="B1326" s="27">
        <v>187.26</v>
      </c>
      <c r="C1326" s="53">
        <f t="shared" si="40"/>
        <v>6.4123116383458666E-4</v>
      </c>
      <c r="E1326" s="52">
        <v>45874</v>
      </c>
      <c r="F1326" s="54">
        <v>24649.55078125</v>
      </c>
      <c r="G1326" s="53">
        <f t="shared" si="41"/>
        <v>-2.9608040671041855E-3</v>
      </c>
    </row>
    <row r="1327" spans="1:7" ht="13.5" customHeight="1" x14ac:dyDescent="0.3">
      <c r="A1327" s="52">
        <v>45875</v>
      </c>
      <c r="B1327" s="27">
        <v>188.63</v>
      </c>
      <c r="C1327" s="53">
        <f t="shared" si="40"/>
        <v>7.3160311865855211E-3</v>
      </c>
      <c r="E1327" s="52">
        <v>45875</v>
      </c>
      <c r="F1327" s="54">
        <v>24574.19921875</v>
      </c>
      <c r="G1327" s="53">
        <f t="shared" si="41"/>
        <v>-3.0569142281212337E-3</v>
      </c>
    </row>
    <row r="1328" spans="1:7" ht="13.5" customHeight="1" x14ac:dyDescent="0.3">
      <c r="A1328" s="52">
        <v>45876</v>
      </c>
      <c r="B1328" s="27">
        <v>189.76</v>
      </c>
      <c r="C1328" s="53">
        <f t="shared" si="40"/>
        <v>5.9905635370831548E-3</v>
      </c>
      <c r="E1328" s="52">
        <v>45876</v>
      </c>
      <c r="F1328" s="54">
        <v>24596.150390625</v>
      </c>
      <c r="G1328" s="53">
        <f t="shared" si="41"/>
        <v>8.9326092295415906E-4</v>
      </c>
    </row>
    <row r="1329" spans="1:7" ht="13.5" customHeight="1" x14ac:dyDescent="0.3">
      <c r="A1329" s="52">
        <v>45877</v>
      </c>
      <c r="B1329" s="27">
        <v>187.41</v>
      </c>
      <c r="C1329" s="53">
        <f t="shared" si="40"/>
        <v>-1.2384064080944321E-2</v>
      </c>
      <c r="E1329" s="52">
        <v>45877</v>
      </c>
      <c r="F1329" s="54">
        <v>24363.30078125</v>
      </c>
      <c r="G1329" s="53">
        <f t="shared" si="41"/>
        <v>-9.4669127354072569E-3</v>
      </c>
    </row>
    <row r="1330" spans="1:7" ht="13.5" customHeight="1" x14ac:dyDescent="0.3">
      <c r="A1330" s="52">
        <v>45880</v>
      </c>
      <c r="B1330" s="27">
        <v>187.07</v>
      </c>
      <c r="C1330" s="53">
        <f t="shared" si="40"/>
        <v>-1.814204151325988E-3</v>
      </c>
      <c r="E1330" s="52">
        <v>45880</v>
      </c>
      <c r="F1330" s="54">
        <v>24585.05078125</v>
      </c>
      <c r="G1330" s="53">
        <f t="shared" si="41"/>
        <v>9.1018044718578876E-3</v>
      </c>
    </row>
    <row r="1331" spans="1:7" ht="13.5" customHeight="1" x14ac:dyDescent="0.3">
      <c r="A1331" s="52">
        <v>45881</v>
      </c>
      <c r="B1331" s="27">
        <v>186.52</v>
      </c>
      <c r="C1331" s="53">
        <f t="shared" si="40"/>
        <v>-2.9400759074142456E-3</v>
      </c>
      <c r="E1331" s="52">
        <v>45881</v>
      </c>
      <c r="F1331" s="54">
        <v>24487.400390625</v>
      </c>
      <c r="G1331" s="53">
        <f t="shared" si="41"/>
        <v>-3.9719417907191756E-3</v>
      </c>
    </row>
    <row r="1332" spans="1:7" ht="13.5" customHeight="1" x14ac:dyDescent="0.3">
      <c r="A1332" s="52">
        <v>45882</v>
      </c>
      <c r="B1332" s="27">
        <v>189.94</v>
      </c>
      <c r="C1332" s="53">
        <f t="shared" si="40"/>
        <v>1.833583529916356E-2</v>
      </c>
      <c r="E1332" s="52">
        <v>45882</v>
      </c>
      <c r="F1332" s="54">
        <v>24619.349609375</v>
      </c>
      <c r="G1332" s="53">
        <f t="shared" si="41"/>
        <v>5.3884535167120782E-3</v>
      </c>
    </row>
    <row r="1333" spans="1:7" ht="13.5" customHeight="1" x14ac:dyDescent="0.3">
      <c r="A1333" s="52">
        <v>45883</v>
      </c>
      <c r="B1333" s="27">
        <v>187.58</v>
      </c>
      <c r="C1333" s="53">
        <f t="shared" si="40"/>
        <v>-1.2424976308307809E-2</v>
      </c>
      <c r="E1333" s="52">
        <v>45883</v>
      </c>
      <c r="F1333" s="54">
        <v>24631.30078125</v>
      </c>
      <c r="G1333" s="53">
        <f t="shared" si="41"/>
        <v>4.8543816407111817E-4</v>
      </c>
    </row>
    <row r="1334" spans="1:7" ht="13.5" customHeight="1" x14ac:dyDescent="0.3">
      <c r="A1334" s="52">
        <v>45887</v>
      </c>
      <c r="B1334" s="27">
        <v>188.33</v>
      </c>
      <c r="C1334" s="53">
        <f t="shared" si="40"/>
        <v>3.9982940612005545E-3</v>
      </c>
      <c r="E1334" s="52">
        <v>45887</v>
      </c>
      <c r="F1334" s="54">
        <v>24876.94921875</v>
      </c>
      <c r="G1334" s="53">
        <f t="shared" si="41"/>
        <v>9.9730192766349594E-3</v>
      </c>
    </row>
    <row r="1335" spans="1:7" ht="13.5" customHeight="1" x14ac:dyDescent="0.3">
      <c r="A1335" s="52">
        <v>45888</v>
      </c>
      <c r="B1335" s="27">
        <v>191.31</v>
      </c>
      <c r="C1335" s="53">
        <f t="shared" si="40"/>
        <v>1.5823288907768223E-2</v>
      </c>
      <c r="E1335" s="52">
        <v>45888</v>
      </c>
      <c r="F1335" s="54">
        <v>24980.650390625</v>
      </c>
      <c r="G1335" s="53">
        <f t="shared" si="41"/>
        <v>4.1685646806256856E-3</v>
      </c>
    </row>
    <row r="1336" spans="1:7" ht="13.5" customHeight="1" x14ac:dyDescent="0.3">
      <c r="A1336" s="52">
        <v>45889</v>
      </c>
      <c r="B1336" s="27">
        <v>192.22</v>
      </c>
      <c r="C1336" s="53">
        <f t="shared" si="40"/>
        <v>4.756677643615057E-3</v>
      </c>
      <c r="E1336" s="52">
        <v>45889</v>
      </c>
      <c r="F1336" s="54">
        <v>25050.55078125</v>
      </c>
      <c r="G1336" s="53">
        <f t="shared" si="41"/>
        <v>2.7981813736616301E-3</v>
      </c>
    </row>
    <row r="1337" spans="1:7" ht="13.5" customHeight="1" x14ac:dyDescent="0.3">
      <c r="A1337" s="52">
        <v>45890</v>
      </c>
      <c r="B1337" s="27">
        <v>191.47</v>
      </c>
      <c r="C1337" s="53">
        <f t="shared" si="40"/>
        <v>-3.901779211320362E-3</v>
      </c>
      <c r="E1337" s="52">
        <v>45890</v>
      </c>
      <c r="F1337" s="54">
        <v>25083.75</v>
      </c>
      <c r="G1337" s="53">
        <f t="shared" si="41"/>
        <v>1.325288974278728E-3</v>
      </c>
    </row>
    <row r="1338" spans="1:7" ht="13.5" customHeight="1" x14ac:dyDescent="0.3">
      <c r="A1338" s="52">
        <v>45891</v>
      </c>
      <c r="B1338" s="27">
        <v>188.87</v>
      </c>
      <c r="C1338" s="53">
        <f t="shared" si="40"/>
        <v>-1.3579150780801141E-2</v>
      </c>
      <c r="E1338" s="52">
        <v>45891</v>
      </c>
      <c r="F1338" s="54">
        <v>24870.099609375</v>
      </c>
      <c r="G1338" s="53">
        <f t="shared" si="41"/>
        <v>-8.5174820600986689E-3</v>
      </c>
    </row>
    <row r="1339" spans="1:7" ht="13.5" customHeight="1" x14ac:dyDescent="0.3">
      <c r="A1339" s="52">
        <v>45894</v>
      </c>
      <c r="B1339" s="27">
        <v>190.41</v>
      </c>
      <c r="C1339" s="53">
        <f t="shared" si="40"/>
        <v>8.1537565521257582E-3</v>
      </c>
      <c r="E1339" s="52">
        <v>45894</v>
      </c>
      <c r="F1339" s="54">
        <v>24967.75</v>
      </c>
      <c r="G1339" s="53">
        <f t="shared" si="41"/>
        <v>3.9264173509055761E-3</v>
      </c>
    </row>
    <row r="1340" spans="1:7" ht="13.5" customHeight="1" x14ac:dyDescent="0.3">
      <c r="A1340" s="52">
        <v>45895</v>
      </c>
      <c r="B1340" s="27">
        <v>186.02</v>
      </c>
      <c r="C1340" s="53">
        <f t="shared" si="40"/>
        <v>-2.3055511790347073E-2</v>
      </c>
      <c r="E1340" s="52">
        <v>45895</v>
      </c>
      <c r="F1340" s="54">
        <v>24712.05078125</v>
      </c>
      <c r="G1340" s="53">
        <f t="shared" si="41"/>
        <v>-1.0241179872034925E-2</v>
      </c>
    </row>
    <row r="1341" spans="1:7" ht="13.5" customHeight="1" x14ac:dyDescent="0.3">
      <c r="A1341" s="52">
        <v>45897</v>
      </c>
      <c r="B1341" s="27">
        <v>184.79</v>
      </c>
      <c r="C1341" s="53">
        <f t="shared" si="40"/>
        <v>-6.6121922373939259E-3</v>
      </c>
      <c r="E1341" s="52">
        <v>45897</v>
      </c>
      <c r="F1341" s="54">
        <v>24500.900390625</v>
      </c>
      <c r="G1341" s="53">
        <f t="shared" si="41"/>
        <v>-8.5444301039235507E-3</v>
      </c>
    </row>
    <row r="1342" spans="1:7" ht="13.5" customHeight="1" x14ac:dyDescent="0.3">
      <c r="A1342" s="52">
        <v>45898</v>
      </c>
      <c r="B1342" s="27">
        <v>186.18</v>
      </c>
      <c r="C1342" s="53">
        <f t="shared" si="40"/>
        <v>7.5220520590941874E-3</v>
      </c>
      <c r="E1342" s="52">
        <v>45898</v>
      </c>
      <c r="F1342" s="54">
        <v>24426.849609375</v>
      </c>
      <c r="G1342" s="53">
        <f t="shared" si="41"/>
        <v>-3.0223697933295024E-3</v>
      </c>
    </row>
    <row r="1343" spans="1:7" ht="13.5" customHeight="1" x14ac:dyDescent="0.3">
      <c r="A1343" s="52">
        <v>45901</v>
      </c>
      <c r="B1343" s="27">
        <v>191.79</v>
      </c>
      <c r="C1343" s="53">
        <f t="shared" si="40"/>
        <v>3.0132130196583871E-2</v>
      </c>
      <c r="E1343" s="52">
        <v>45901</v>
      </c>
      <c r="F1343" s="54">
        <v>24625.05078125</v>
      </c>
      <c r="G1343" s="53">
        <f t="shared" si="41"/>
        <v>8.1140701746053485E-3</v>
      </c>
    </row>
    <row r="1344" spans="1:7" ht="13.5" customHeight="1" x14ac:dyDescent="0.3">
      <c r="A1344" s="52">
        <v>45902</v>
      </c>
      <c r="B1344" s="27">
        <v>200.53</v>
      </c>
      <c r="C1344" s="53">
        <f t="shared" si="40"/>
        <v>4.5570676260493298E-2</v>
      </c>
      <c r="E1344" s="52">
        <v>45902</v>
      </c>
      <c r="F1344" s="54">
        <v>24579.599609375</v>
      </c>
      <c r="G1344" s="53">
        <f t="shared" si="41"/>
        <v>-1.8457290617896885E-3</v>
      </c>
    </row>
    <row r="1345" spans="1:7" ht="13.5" customHeight="1" x14ac:dyDescent="0.3">
      <c r="A1345" s="52">
        <v>45903</v>
      </c>
      <c r="B1345" s="27">
        <v>207.12</v>
      </c>
      <c r="C1345" s="53">
        <f t="shared" si="40"/>
        <v>3.2862913279808524E-2</v>
      </c>
      <c r="E1345" s="52">
        <v>45903</v>
      </c>
      <c r="F1345" s="54">
        <v>24715.05078125</v>
      </c>
      <c r="G1345" s="53">
        <f t="shared" si="41"/>
        <v>5.5107151470171652E-3</v>
      </c>
    </row>
    <row r="1346" spans="1:7" ht="13.5" customHeight="1" x14ac:dyDescent="0.3">
      <c r="A1346" s="52">
        <v>45904</v>
      </c>
      <c r="B1346" s="27">
        <v>206.67</v>
      </c>
      <c r="C1346" s="53">
        <f t="shared" si="40"/>
        <v>-2.1726535341831644E-3</v>
      </c>
      <c r="E1346" s="52">
        <v>45904</v>
      </c>
      <c r="F1346" s="54">
        <v>24734.30078125</v>
      </c>
      <c r="G1346" s="53">
        <f t="shared" si="41"/>
        <v>7.7887762280480347E-4</v>
      </c>
    </row>
    <row r="1347" spans="1:7" ht="13.5" customHeight="1" x14ac:dyDescent="0.3">
      <c r="A1347" s="52">
        <v>45905</v>
      </c>
      <c r="B1347" s="27">
        <v>212.14</v>
      </c>
      <c r="C1347" s="53">
        <f t="shared" si="40"/>
        <v>2.646731504330575E-2</v>
      </c>
      <c r="E1347" s="52">
        <v>45905</v>
      </c>
      <c r="F1347" s="54">
        <v>24741</v>
      </c>
      <c r="G1347" s="53">
        <f t="shared" si="41"/>
        <v>2.708473067117542E-4</v>
      </c>
    </row>
    <row r="1348" spans="1:7" ht="13.5" customHeight="1" x14ac:dyDescent="0.3">
      <c r="A1348" s="52">
        <v>45908</v>
      </c>
      <c r="B1348" s="27">
        <v>210.56</v>
      </c>
      <c r="C1348" s="53">
        <f t="shared" si="40"/>
        <v>-7.4479117563872165E-3</v>
      </c>
      <c r="E1348" s="52">
        <v>45908</v>
      </c>
      <c r="F1348" s="54">
        <v>24773.150390625</v>
      </c>
      <c r="G1348" s="53">
        <f t="shared" si="41"/>
        <v>1.2994782193524919E-3</v>
      </c>
    </row>
    <row r="1349" spans="1:7" ht="13.5" customHeight="1" x14ac:dyDescent="0.3">
      <c r="A1349" s="52">
        <v>45909</v>
      </c>
      <c r="B1349" s="27">
        <v>206.62</v>
      </c>
      <c r="C1349" s="53">
        <f t="shared" ref="C1349:C1412" si="42">(B1349-B1348)/B1348</f>
        <v>-1.8712006079027343E-2</v>
      </c>
      <c r="E1349" s="52">
        <v>45909</v>
      </c>
      <c r="F1349" s="54">
        <v>24868.599609375</v>
      </c>
      <c r="G1349" s="53">
        <f t="shared" ref="G1349:G1412" si="43">(F1349-F1348)/F1348</f>
        <v>3.852930178235273E-3</v>
      </c>
    </row>
    <row r="1350" spans="1:7" ht="13.5" customHeight="1" x14ac:dyDescent="0.3">
      <c r="A1350" s="52">
        <v>45910</v>
      </c>
      <c r="B1350" s="27">
        <v>209.13</v>
      </c>
      <c r="C1350" s="53">
        <f t="shared" si="42"/>
        <v>1.2147904365501843E-2</v>
      </c>
      <c r="E1350" s="52">
        <v>45910</v>
      </c>
      <c r="F1350" s="54">
        <v>24973.099609375</v>
      </c>
      <c r="G1350" s="53">
        <f t="shared" si="43"/>
        <v>4.20208623088714E-3</v>
      </c>
    </row>
    <row r="1351" spans="1:7" ht="13.5" customHeight="1" x14ac:dyDescent="0.3">
      <c r="A1351" s="52">
        <v>45911</v>
      </c>
      <c r="B1351" s="27">
        <v>214.4</v>
      </c>
      <c r="C1351" s="53">
        <f t="shared" si="42"/>
        <v>2.519963658968111E-2</v>
      </c>
      <c r="E1351" s="52">
        <v>45911</v>
      </c>
      <c r="F1351" s="54">
        <v>25005.5</v>
      </c>
      <c r="G1351" s="53">
        <f t="shared" si="43"/>
        <v>1.2974116602184522E-3</v>
      </c>
    </row>
    <row r="1352" spans="1:7" ht="13.5" customHeight="1" x14ac:dyDescent="0.3">
      <c r="A1352" s="52">
        <v>45912</v>
      </c>
      <c r="B1352" s="27">
        <v>218.3</v>
      </c>
      <c r="C1352" s="53">
        <f t="shared" si="42"/>
        <v>1.8190298507462711E-2</v>
      </c>
      <c r="E1352" s="52">
        <v>45912</v>
      </c>
      <c r="F1352" s="54">
        <v>25114</v>
      </c>
      <c r="G1352" s="53">
        <f t="shared" si="43"/>
        <v>4.3390454100097975E-3</v>
      </c>
    </row>
    <row r="1353" spans="1:7" ht="13.5" customHeight="1" x14ac:dyDescent="0.3">
      <c r="A1353" s="52">
        <v>45915</v>
      </c>
      <c r="B1353" s="27">
        <v>216.79</v>
      </c>
      <c r="C1353" s="53">
        <f t="shared" si="42"/>
        <v>-6.9170865781036156E-3</v>
      </c>
      <c r="E1353" s="52">
        <v>45915</v>
      </c>
      <c r="F1353" s="54">
        <v>25069.19921875</v>
      </c>
      <c r="G1353" s="53">
        <f t="shared" si="43"/>
        <v>-1.7838966811340288E-3</v>
      </c>
    </row>
    <row r="1354" spans="1:7" ht="13.5" customHeight="1" x14ac:dyDescent="0.3">
      <c r="A1354" s="52">
        <v>45916</v>
      </c>
      <c r="B1354" s="27">
        <v>216.48</v>
      </c>
      <c r="C1354" s="53">
        <f t="shared" si="42"/>
        <v>-1.4299552562387669E-3</v>
      </c>
      <c r="E1354" s="52">
        <v>45916</v>
      </c>
      <c r="F1354" s="54">
        <v>25239.099609375</v>
      </c>
      <c r="G1354" s="53">
        <f t="shared" si="43"/>
        <v>6.7772563910987009E-3</v>
      </c>
    </row>
    <row r="1355" spans="1:7" ht="13.5" customHeight="1" x14ac:dyDescent="0.3">
      <c r="A1355" s="52">
        <v>45917</v>
      </c>
      <c r="B1355" s="27">
        <v>213.26</v>
      </c>
      <c r="C1355" s="53">
        <f t="shared" si="42"/>
        <v>-1.4874353288987431E-2</v>
      </c>
      <c r="E1355" s="52">
        <v>45917</v>
      </c>
      <c r="F1355" s="54">
        <v>25330.25</v>
      </c>
      <c r="G1355" s="53">
        <f t="shared" si="43"/>
        <v>3.6114755294654973E-3</v>
      </c>
    </row>
    <row r="1356" spans="1:7" ht="13.5" customHeight="1" x14ac:dyDescent="0.3">
      <c r="A1356" s="52">
        <v>45918</v>
      </c>
      <c r="B1356" s="27">
        <v>213.8</v>
      </c>
      <c r="C1356" s="53">
        <f t="shared" si="42"/>
        <v>2.5321204163932312E-3</v>
      </c>
      <c r="E1356" s="52">
        <v>45918</v>
      </c>
      <c r="F1356" s="54">
        <v>25423.599609375</v>
      </c>
      <c r="G1356" s="53">
        <f t="shared" si="43"/>
        <v>3.6853015416350018E-3</v>
      </c>
    </row>
    <row r="1357" spans="1:7" ht="13.5" customHeight="1" x14ac:dyDescent="0.3">
      <c r="A1357" s="52">
        <v>45919</v>
      </c>
      <c r="B1357" s="27">
        <v>211.6</v>
      </c>
      <c r="C1357" s="53">
        <f t="shared" si="42"/>
        <v>-1.0289990645463128E-2</v>
      </c>
      <c r="E1357" s="52">
        <v>45919</v>
      </c>
      <c r="F1357" s="54">
        <v>25327.05078125</v>
      </c>
      <c r="G1357" s="53">
        <f t="shared" si="43"/>
        <v>-3.7976065391384403E-3</v>
      </c>
    </row>
    <row r="1358" spans="1:7" ht="13.5" customHeight="1" x14ac:dyDescent="0.3">
      <c r="A1358" s="52">
        <v>45922</v>
      </c>
      <c r="B1358" s="27">
        <v>210.94</v>
      </c>
      <c r="C1358" s="53">
        <f t="shared" si="42"/>
        <v>-3.1190926275992278E-3</v>
      </c>
      <c r="E1358" s="52">
        <v>45922</v>
      </c>
      <c r="F1358" s="54">
        <v>25202.349609375</v>
      </c>
      <c r="G1358" s="53">
        <f t="shared" si="43"/>
        <v>-4.9236357186648108E-3</v>
      </c>
    </row>
    <row r="1359" spans="1:7" ht="13.5" customHeight="1" x14ac:dyDescent="0.3">
      <c r="A1359" s="52">
        <v>45923</v>
      </c>
      <c r="B1359" s="27">
        <v>208.84</v>
      </c>
      <c r="C1359" s="53">
        <f t="shared" si="42"/>
        <v>-9.9554375651843864E-3</v>
      </c>
      <c r="E1359" s="52">
        <v>45923</v>
      </c>
      <c r="F1359" s="54">
        <v>25169.5</v>
      </c>
      <c r="G1359" s="53">
        <f t="shared" si="43"/>
        <v>-1.3034343973539794E-3</v>
      </c>
    </row>
    <row r="1360" spans="1:7" ht="13.5" customHeight="1" x14ac:dyDescent="0.3">
      <c r="A1360" s="52">
        <v>45924</v>
      </c>
      <c r="B1360" s="27">
        <v>206.09</v>
      </c>
      <c r="C1360" s="53">
        <f t="shared" si="42"/>
        <v>-1.3167975483623827E-2</v>
      </c>
      <c r="E1360" s="52">
        <v>45924</v>
      </c>
      <c r="F1360" s="54">
        <v>25056.900390625</v>
      </c>
      <c r="G1360" s="53">
        <f t="shared" si="43"/>
        <v>-4.4736530076084149E-3</v>
      </c>
    </row>
    <row r="1361" spans="1:7" ht="13.5" customHeight="1" x14ac:dyDescent="0.3">
      <c r="A1361" s="52">
        <v>45925</v>
      </c>
      <c r="B1361" s="27">
        <v>205.61</v>
      </c>
      <c r="C1361" s="53">
        <f t="shared" si="42"/>
        <v>-2.329079528361346E-3</v>
      </c>
      <c r="E1361" s="52">
        <v>45925</v>
      </c>
      <c r="F1361" s="54">
        <v>24890.849609375</v>
      </c>
      <c r="G1361" s="53">
        <f t="shared" si="43"/>
        <v>-6.6269482123226878E-3</v>
      </c>
    </row>
    <row r="1362" spans="1:7" ht="13.5" customHeight="1" x14ac:dyDescent="0.3">
      <c r="A1362" s="52">
        <v>45926</v>
      </c>
      <c r="B1362" s="27">
        <v>200.58</v>
      </c>
      <c r="C1362" s="53">
        <f t="shared" si="42"/>
        <v>-2.4463790671659942E-2</v>
      </c>
      <c r="E1362" s="52">
        <v>45926</v>
      </c>
      <c r="F1362" s="54">
        <v>24654.69921875</v>
      </c>
      <c r="G1362" s="53">
        <f t="shared" si="43"/>
        <v>-9.4874379272315099E-3</v>
      </c>
    </row>
    <row r="1363" spans="1:7" ht="13.5" customHeight="1" x14ac:dyDescent="0.3">
      <c r="A1363" s="52">
        <v>45929</v>
      </c>
      <c r="B1363" s="27">
        <v>203.91</v>
      </c>
      <c r="C1363" s="53">
        <f t="shared" si="42"/>
        <v>1.6601854621597287E-2</v>
      </c>
      <c r="E1363" s="52">
        <v>45929</v>
      </c>
      <c r="F1363" s="54">
        <v>24634.900390625</v>
      </c>
      <c r="G1363" s="53">
        <f t="shared" si="43"/>
        <v>-8.030448049409952E-4</v>
      </c>
    </row>
    <row r="1364" spans="1:7" ht="13.5" customHeight="1" x14ac:dyDescent="0.3">
      <c r="A1364" s="52">
        <v>45930</v>
      </c>
      <c r="B1364" s="27">
        <v>213.87</v>
      </c>
      <c r="C1364" s="53">
        <f t="shared" si="42"/>
        <v>4.8845078711196158E-2</v>
      </c>
      <c r="E1364" s="52">
        <v>45930</v>
      </c>
      <c r="F1364" s="54">
        <v>24611.099609375</v>
      </c>
      <c r="G1364" s="53">
        <f t="shared" si="43"/>
        <v>-9.6614075448251335E-4</v>
      </c>
    </row>
    <row r="1365" spans="1:7" ht="13.5" customHeight="1" x14ac:dyDescent="0.3">
      <c r="A1365" s="52">
        <v>45931</v>
      </c>
      <c r="B1365" s="27">
        <v>214.5</v>
      </c>
      <c r="C1365" s="53">
        <f t="shared" si="42"/>
        <v>2.9457146864917726E-3</v>
      </c>
      <c r="E1365" s="52">
        <v>45931</v>
      </c>
      <c r="F1365" s="54">
        <v>24836.30078125</v>
      </c>
      <c r="G1365" s="53">
        <f t="shared" si="43"/>
        <v>9.1503904924758045E-3</v>
      </c>
    </row>
    <row r="1366" spans="1:7" ht="13.5" customHeight="1" x14ac:dyDescent="0.3">
      <c r="A1366" s="52">
        <v>45933</v>
      </c>
      <c r="B1366" s="27">
        <v>221.16</v>
      </c>
      <c r="C1366" s="53">
        <f t="shared" si="42"/>
        <v>3.1048951048951032E-2</v>
      </c>
      <c r="E1366" s="52">
        <v>45933</v>
      </c>
      <c r="F1366" s="54">
        <v>24894.25</v>
      </c>
      <c r="G1366" s="53">
        <f t="shared" si="43"/>
        <v>2.3332467769817144E-3</v>
      </c>
    </row>
    <row r="1367" spans="1:7" ht="13.5" customHeight="1" x14ac:dyDescent="0.3">
      <c r="A1367" s="52">
        <v>45936</v>
      </c>
      <c r="B1367" s="27">
        <v>217.15</v>
      </c>
      <c r="C1367" s="53">
        <f t="shared" si="42"/>
        <v>-1.8131669379634612E-2</v>
      </c>
      <c r="E1367" s="52">
        <v>45936</v>
      </c>
      <c r="F1367" s="54">
        <v>25077.650390625</v>
      </c>
      <c r="G1367" s="53">
        <f t="shared" si="43"/>
        <v>7.3671787912871446E-3</v>
      </c>
    </row>
    <row r="1368" spans="1:7" ht="13.5" customHeight="1" x14ac:dyDescent="0.3">
      <c r="A1368" s="52">
        <v>45937</v>
      </c>
      <c r="B1368" s="27">
        <v>217.07</v>
      </c>
      <c r="C1368" s="53">
        <f t="shared" si="42"/>
        <v>-3.6840893391670507E-4</v>
      </c>
      <c r="E1368" s="52">
        <v>45937</v>
      </c>
      <c r="F1368" s="54">
        <v>25108.30078125</v>
      </c>
      <c r="G1368" s="53">
        <f t="shared" si="43"/>
        <v>1.2222193924698109E-3</v>
      </c>
    </row>
    <row r="1369" spans="1:7" ht="13.5" customHeight="1" x14ac:dyDescent="0.3">
      <c r="A1369" s="52">
        <v>45938</v>
      </c>
      <c r="B1369" s="27">
        <v>223.62</v>
      </c>
      <c r="C1369" s="53">
        <f t="shared" si="42"/>
        <v>3.0174598055926712E-2</v>
      </c>
      <c r="E1369" s="52">
        <v>45938</v>
      </c>
      <c r="F1369" s="54">
        <v>25046.150390625</v>
      </c>
      <c r="G1369" s="53">
        <f t="shared" si="43"/>
        <v>-2.4752925801897249E-3</v>
      </c>
    </row>
    <row r="1370" spans="1:7" ht="13.5" customHeight="1" x14ac:dyDescent="0.3">
      <c r="A1370" s="52">
        <v>45939</v>
      </c>
      <c r="B1370" s="27">
        <v>229.55</v>
      </c>
      <c r="C1370" s="53">
        <f t="shared" si="42"/>
        <v>2.6518200518737173E-2</v>
      </c>
      <c r="E1370" s="52">
        <v>45939</v>
      </c>
      <c r="F1370" s="54">
        <v>25181.80078125</v>
      </c>
      <c r="G1370" s="53">
        <f t="shared" si="43"/>
        <v>5.4160175719369296E-3</v>
      </c>
    </row>
    <row r="1371" spans="1:7" ht="13.5" customHeight="1" x14ac:dyDescent="0.3">
      <c r="A1371" s="52">
        <v>45940</v>
      </c>
      <c r="B1371" s="27">
        <v>224.3</v>
      </c>
      <c r="C1371" s="53">
        <f t="shared" si="42"/>
        <v>-2.2870834240906121E-2</v>
      </c>
      <c r="E1371" s="52">
        <v>45940</v>
      </c>
      <c r="F1371" s="54">
        <v>25285.349609375</v>
      </c>
      <c r="G1371" s="53">
        <f t="shared" si="43"/>
        <v>4.1120501676790702E-3</v>
      </c>
    </row>
    <row r="1372" spans="1:7" ht="13.5" customHeight="1" x14ac:dyDescent="0.3">
      <c r="A1372" s="52">
        <v>45943</v>
      </c>
      <c r="B1372" s="27">
        <v>225.38</v>
      </c>
      <c r="C1372" s="53">
        <f t="shared" si="42"/>
        <v>4.8149799375835226E-3</v>
      </c>
      <c r="E1372" s="52">
        <v>45943</v>
      </c>
      <c r="F1372" s="54">
        <v>25227.349609375</v>
      </c>
      <c r="G1372" s="53">
        <f t="shared" si="43"/>
        <v>-2.2938183927065595E-3</v>
      </c>
    </row>
    <row r="1373" spans="1:7" ht="13.5" customHeight="1" x14ac:dyDescent="0.3">
      <c r="A1373" s="52">
        <v>45944</v>
      </c>
      <c r="B1373" s="27">
        <v>223.91</v>
      </c>
      <c r="C1373" s="53">
        <f t="shared" si="42"/>
        <v>-6.5223178631644285E-3</v>
      </c>
      <c r="E1373" s="52">
        <v>45944</v>
      </c>
      <c r="F1373" s="54">
        <v>25145.5</v>
      </c>
      <c r="G1373" s="53">
        <f t="shared" si="43"/>
        <v>-3.2444791324643557E-3</v>
      </c>
    </row>
    <row r="1374" spans="1:7" ht="13.5" customHeight="1" x14ac:dyDescent="0.3">
      <c r="A1374" s="52">
        <v>45945</v>
      </c>
      <c r="B1374" s="27">
        <v>226.55</v>
      </c>
      <c r="C1374" s="53">
        <f t="shared" si="42"/>
        <v>1.1790451520700348E-2</v>
      </c>
      <c r="E1374" s="52">
        <v>45945</v>
      </c>
      <c r="F1374" s="54">
        <v>25323.55078125</v>
      </c>
      <c r="G1374" s="53">
        <f t="shared" si="43"/>
        <v>7.0808208725219226E-3</v>
      </c>
    </row>
    <row r="1375" spans="1:7" ht="13.5" customHeight="1" x14ac:dyDescent="0.3">
      <c r="A1375" s="52">
        <v>45946</v>
      </c>
      <c r="B1375" s="27">
        <v>226.84</v>
      </c>
      <c r="C1375" s="53">
        <f t="shared" si="42"/>
        <v>1.2800706245861488E-3</v>
      </c>
      <c r="E1375" s="52">
        <v>45946</v>
      </c>
      <c r="F1375" s="54">
        <v>25585.30078125</v>
      </c>
      <c r="G1375" s="53">
        <f t="shared" si="43"/>
        <v>1.0336228211479895E-2</v>
      </c>
    </row>
    <row r="1376" spans="1:7" ht="13.5" customHeight="1" x14ac:dyDescent="0.3">
      <c r="A1376" s="52">
        <v>45947</v>
      </c>
      <c r="B1376" s="27">
        <v>225.35</v>
      </c>
      <c r="C1376" s="53">
        <f t="shared" si="42"/>
        <v>-6.5685064362546687E-3</v>
      </c>
      <c r="E1376" s="52">
        <v>45947</v>
      </c>
      <c r="F1376" s="54">
        <v>25709.849609375</v>
      </c>
      <c r="G1376" s="53">
        <f t="shared" si="43"/>
        <v>4.8679837376105692E-3</v>
      </c>
    </row>
    <row r="1377" spans="1:7" ht="13.5" customHeight="1" x14ac:dyDescent="0.3">
      <c r="A1377" s="52">
        <v>45950</v>
      </c>
      <c r="B1377" s="27">
        <v>226.03</v>
      </c>
      <c r="C1377" s="53">
        <f t="shared" si="42"/>
        <v>3.017528289327743E-3</v>
      </c>
      <c r="E1377" s="52">
        <v>45950</v>
      </c>
      <c r="F1377" s="54">
        <v>25843.150390625</v>
      </c>
      <c r="G1377" s="53">
        <f t="shared" si="43"/>
        <v>5.1848137299641134E-3</v>
      </c>
    </row>
    <row r="1378" spans="1:7" ht="13.5" customHeight="1" x14ac:dyDescent="0.3">
      <c r="A1378" s="52">
        <v>45951</v>
      </c>
      <c r="B1378" s="27">
        <v>227.35</v>
      </c>
      <c r="C1378" s="53">
        <f t="shared" si="42"/>
        <v>5.8399327522894885E-3</v>
      </c>
      <c r="E1378" s="52">
        <v>45951</v>
      </c>
      <c r="F1378" s="54">
        <v>25868.599609375</v>
      </c>
      <c r="G1378" s="53">
        <f t="shared" si="43"/>
        <v>9.8475682590277742E-4</v>
      </c>
    </row>
    <row r="1379" spans="1:7" ht="13.5" customHeight="1" x14ac:dyDescent="0.3">
      <c r="A1379" s="52">
        <v>45953</v>
      </c>
      <c r="B1379" s="27">
        <v>228.28</v>
      </c>
      <c r="C1379" s="53">
        <f t="shared" si="42"/>
        <v>4.0906091928744528E-3</v>
      </c>
      <c r="E1379" s="52">
        <v>45953</v>
      </c>
      <c r="F1379" s="54">
        <v>25891.400390625</v>
      </c>
      <c r="G1379" s="53">
        <f t="shared" si="43"/>
        <v>8.8140763683770514E-4</v>
      </c>
    </row>
    <row r="1380" spans="1:7" ht="13.5" customHeight="1" x14ac:dyDescent="0.3">
      <c r="A1380" s="52">
        <v>45954</v>
      </c>
      <c r="B1380" s="27">
        <v>236.1</v>
      </c>
      <c r="C1380" s="53">
        <f t="shared" si="42"/>
        <v>3.4256176625197095E-2</v>
      </c>
      <c r="E1380" s="52">
        <v>45954</v>
      </c>
      <c r="F1380" s="54">
        <v>25795.150390625</v>
      </c>
      <c r="G1380" s="53">
        <f t="shared" si="43"/>
        <v>-3.7174505259611641E-3</v>
      </c>
    </row>
    <row r="1381" spans="1:7" ht="13.5" customHeight="1" x14ac:dyDescent="0.3">
      <c r="A1381" s="52">
        <v>45957</v>
      </c>
      <c r="B1381" s="27">
        <v>237.87</v>
      </c>
      <c r="C1381" s="53">
        <f t="shared" si="42"/>
        <v>7.4968233799238048E-3</v>
      </c>
      <c r="E1381" s="52">
        <v>45957</v>
      </c>
      <c r="F1381" s="54">
        <v>25966.05078125</v>
      </c>
      <c r="G1381" s="53">
        <f t="shared" si="43"/>
        <v>6.6252915000298701E-3</v>
      </c>
    </row>
    <row r="1382" spans="1:7" ht="13.5" customHeight="1" x14ac:dyDescent="0.3">
      <c r="A1382" s="52">
        <v>45958</v>
      </c>
      <c r="B1382" s="27">
        <v>236.76</v>
      </c>
      <c r="C1382" s="53">
        <f t="shared" si="42"/>
        <v>-4.6664144280489919E-3</v>
      </c>
      <c r="E1382" s="52">
        <v>45958</v>
      </c>
      <c r="F1382" s="54">
        <v>25936.19921875</v>
      </c>
      <c r="G1382" s="53">
        <f t="shared" si="43"/>
        <v>-1.1496381468049702E-3</v>
      </c>
    </row>
    <row r="1383" spans="1:7" ht="13.5" customHeight="1" x14ac:dyDescent="0.3">
      <c r="A1383" s="52">
        <v>45959</v>
      </c>
      <c r="B1383" s="27">
        <v>238.1</v>
      </c>
      <c r="C1383" s="53">
        <f t="shared" si="42"/>
        <v>5.65973982091571E-3</v>
      </c>
      <c r="E1383" s="52">
        <v>45959</v>
      </c>
      <c r="F1383" s="54">
        <v>26053.900390625</v>
      </c>
      <c r="G1383" s="53">
        <f t="shared" si="43"/>
        <v>4.5381040946782421E-3</v>
      </c>
    </row>
    <row r="1384" spans="1:7" ht="13.5" customHeight="1" x14ac:dyDescent="0.3">
      <c r="A1384" s="52">
        <v>45960</v>
      </c>
      <c r="B1384" s="27">
        <v>238.08</v>
      </c>
      <c r="C1384" s="53">
        <f t="shared" si="42"/>
        <v>-8.3998320033522935E-5</v>
      </c>
      <c r="E1384" s="52">
        <v>45960</v>
      </c>
      <c r="F1384" s="54">
        <v>25877.849609375</v>
      </c>
      <c r="G1384" s="53">
        <f t="shared" si="43"/>
        <v>-6.7571756478100502E-3</v>
      </c>
    </row>
    <row r="1385" spans="1:7" ht="13.5" customHeight="1" x14ac:dyDescent="0.3">
      <c r="A1385" s="52">
        <v>45961</v>
      </c>
      <c r="B1385" s="27">
        <v>234.14</v>
      </c>
      <c r="C1385" s="53">
        <f t="shared" si="42"/>
        <v>-1.6549059139785056E-2</v>
      </c>
      <c r="E1385" s="52">
        <v>45961</v>
      </c>
      <c r="F1385" s="54">
        <v>25722.099609375</v>
      </c>
      <c r="G1385" s="53">
        <f t="shared" si="43"/>
        <v>-6.0186608373972101E-3</v>
      </c>
    </row>
    <row r="1386" spans="1:7" ht="13.5" customHeight="1" x14ac:dyDescent="0.3">
      <c r="A1386" s="52">
        <v>45964</v>
      </c>
      <c r="B1386" s="27">
        <v>238.66</v>
      </c>
      <c r="C1386" s="53">
        <f t="shared" si="42"/>
        <v>1.930468950200739E-2</v>
      </c>
      <c r="E1386" s="52">
        <v>45964</v>
      </c>
      <c r="F1386" s="54">
        <v>25763.349609375</v>
      </c>
      <c r="G1386" s="53">
        <f t="shared" si="43"/>
        <v>1.6036793506920993E-3</v>
      </c>
    </row>
    <row r="1387" spans="1:7" ht="13.5" customHeight="1" x14ac:dyDescent="0.3">
      <c r="A1387" s="52">
        <v>45965</v>
      </c>
      <c r="B1387" s="27">
        <v>233.27</v>
      </c>
      <c r="C1387" s="53">
        <f t="shared" si="42"/>
        <v>-2.2584429732674039E-2</v>
      </c>
      <c r="E1387" s="52">
        <v>45965</v>
      </c>
      <c r="F1387" s="54">
        <v>25597.650390625</v>
      </c>
      <c r="G1387" s="53">
        <f t="shared" si="43"/>
        <v>-6.4315867797603409E-3</v>
      </c>
    </row>
    <row r="1388" spans="1:7" ht="13.5" customHeight="1" x14ac:dyDescent="0.3">
      <c r="A1388" s="52">
        <v>45967</v>
      </c>
      <c r="B1388" s="27">
        <v>230.59</v>
      </c>
      <c r="C1388" s="53">
        <f t="shared" si="42"/>
        <v>-1.1488832683156886E-2</v>
      </c>
      <c r="E1388" s="52">
        <v>45967</v>
      </c>
      <c r="F1388" s="54">
        <v>25509.69921875</v>
      </c>
      <c r="G1388" s="53">
        <f t="shared" si="43"/>
        <v>-3.4359080045569977E-3</v>
      </c>
    </row>
    <row r="1389" spans="1:7" ht="13.5" customHeight="1" x14ac:dyDescent="0.3">
      <c r="A1389" s="52">
        <v>45968</v>
      </c>
      <c r="B1389" s="27">
        <v>234.73</v>
      </c>
      <c r="C1389" s="53">
        <f t="shared" si="42"/>
        <v>1.7953944230018587E-2</v>
      </c>
      <c r="E1389" s="52">
        <v>45968</v>
      </c>
      <c r="F1389" s="54">
        <v>25492.30078125</v>
      </c>
      <c r="G1389" s="53">
        <f t="shared" si="43"/>
        <v>-6.8203224784445498E-4</v>
      </c>
    </row>
    <row r="1390" spans="1:7" ht="13.5" customHeight="1" x14ac:dyDescent="0.3">
      <c r="A1390" s="52">
        <v>45971</v>
      </c>
      <c r="B1390" s="27">
        <v>257.36</v>
      </c>
      <c r="C1390" s="53">
        <f t="shared" si="42"/>
        <v>9.6408639713713731E-2</v>
      </c>
      <c r="E1390" s="52">
        <v>45971</v>
      </c>
      <c r="F1390" s="54">
        <v>25574.349609375</v>
      </c>
      <c r="G1390" s="53">
        <f t="shared" si="43"/>
        <v>3.2185728871263058E-3</v>
      </c>
    </row>
    <row r="1391" spans="1:7" ht="13.5" customHeight="1" x14ac:dyDescent="0.3">
      <c r="A1391" s="52">
        <v>45972</v>
      </c>
      <c r="B1391" s="27">
        <v>265.66000000000003</v>
      </c>
      <c r="C1391" s="53">
        <f t="shared" si="42"/>
        <v>3.2250543985079309E-2</v>
      </c>
      <c r="E1391" s="52">
        <v>45972</v>
      </c>
      <c r="F1391" s="54">
        <v>25694.94921875</v>
      </c>
      <c r="G1391" s="53">
        <f t="shared" si="43"/>
        <v>4.7156471705849679E-3</v>
      </c>
    </row>
    <row r="1392" spans="1:7" ht="13.5" customHeight="1" x14ac:dyDescent="0.3">
      <c r="A1392" s="52">
        <v>45973</v>
      </c>
      <c r="B1392" s="27">
        <v>266.95</v>
      </c>
      <c r="C1392" s="53">
        <f t="shared" si="42"/>
        <v>4.8558307611231031E-3</v>
      </c>
      <c r="E1392" s="52">
        <v>45973</v>
      </c>
      <c r="F1392" s="54">
        <v>25875.80078125</v>
      </c>
      <c r="G1392" s="53">
        <f t="shared" si="43"/>
        <v>7.0384090258497119E-3</v>
      </c>
    </row>
    <row r="1393" spans="1:7" ht="13.5" customHeight="1" x14ac:dyDescent="0.3">
      <c r="A1393" s="52">
        <v>45974</v>
      </c>
      <c r="B1393" s="27">
        <v>268.67</v>
      </c>
      <c r="C1393" s="53">
        <f t="shared" si="42"/>
        <v>6.4431541487170903E-3</v>
      </c>
      <c r="E1393" s="52">
        <v>45974</v>
      </c>
      <c r="F1393" s="54">
        <v>25879.150390625</v>
      </c>
      <c r="G1393" s="53">
        <f t="shared" si="43"/>
        <v>1.2944949620369539E-4</v>
      </c>
    </row>
    <row r="1394" spans="1:7" ht="13.5" customHeight="1" x14ac:dyDescent="0.3">
      <c r="A1394" s="52">
        <v>45975</v>
      </c>
      <c r="B1394" s="27">
        <v>262.57</v>
      </c>
      <c r="C1394" s="53">
        <f t="shared" si="42"/>
        <v>-2.2704432947482124E-2</v>
      </c>
      <c r="E1394" s="52">
        <v>45975</v>
      </c>
      <c r="F1394" s="54">
        <v>25910.05078125</v>
      </c>
      <c r="G1394" s="53">
        <f t="shared" si="43"/>
        <v>1.1940264714483827E-3</v>
      </c>
    </row>
    <row r="1395" spans="1:7" ht="13.5" customHeight="1" x14ac:dyDescent="0.3">
      <c r="A1395" s="52">
        <v>45978</v>
      </c>
      <c r="B1395" s="27">
        <v>260.76</v>
      </c>
      <c r="C1395" s="53">
        <f t="shared" si="42"/>
        <v>-6.8933998552766973E-3</v>
      </c>
      <c r="E1395" s="52">
        <v>45978</v>
      </c>
      <c r="F1395" s="54">
        <v>26013.44921875</v>
      </c>
      <c r="G1395" s="53">
        <f t="shared" si="43"/>
        <v>3.9906690408659891E-3</v>
      </c>
    </row>
    <row r="1396" spans="1:7" ht="13.5" customHeight="1" x14ac:dyDescent="0.3">
      <c r="A1396" s="52">
        <v>45979</v>
      </c>
      <c r="B1396" s="27">
        <v>257.3</v>
      </c>
      <c r="C1396" s="53">
        <f t="shared" si="42"/>
        <v>-1.3268906273968322E-2</v>
      </c>
      <c r="E1396" s="52">
        <v>45979</v>
      </c>
      <c r="F1396" s="54">
        <v>25910.05078125</v>
      </c>
      <c r="G1396" s="53">
        <f t="shared" si="43"/>
        <v>-3.974806902018682E-3</v>
      </c>
    </row>
    <row r="1397" spans="1:7" ht="13.5" customHeight="1" x14ac:dyDescent="0.3">
      <c r="A1397" s="52">
        <v>45980</v>
      </c>
      <c r="B1397" s="27">
        <v>256.60000000000002</v>
      </c>
      <c r="C1397" s="53">
        <f t="shared" si="42"/>
        <v>-2.7205596579867415E-3</v>
      </c>
      <c r="E1397" s="52">
        <v>45980</v>
      </c>
      <c r="F1397" s="54">
        <v>26052.650390625</v>
      </c>
      <c r="G1397" s="53">
        <f t="shared" si="43"/>
        <v>5.503640675154263E-3</v>
      </c>
    </row>
    <row r="1398" spans="1:7" ht="13.5" customHeight="1" x14ac:dyDescent="0.3">
      <c r="A1398" s="52">
        <v>45981</v>
      </c>
      <c r="B1398" s="27">
        <v>257.62</v>
      </c>
      <c r="C1398" s="53">
        <f t="shared" si="42"/>
        <v>3.9750584567419395E-3</v>
      </c>
      <c r="E1398" s="52">
        <v>45981</v>
      </c>
      <c r="F1398" s="54">
        <v>26192.150390625</v>
      </c>
      <c r="G1398" s="53">
        <f t="shared" si="43"/>
        <v>5.3545415882216276E-3</v>
      </c>
    </row>
    <row r="1399" spans="1:7" ht="13.5" customHeight="1" x14ac:dyDescent="0.3">
      <c r="A1399" s="52">
        <v>45982</v>
      </c>
      <c r="B1399" s="27">
        <v>250.68</v>
      </c>
      <c r="C1399" s="53">
        <f t="shared" si="42"/>
        <v>-2.6938902259141362E-2</v>
      </c>
      <c r="E1399" s="52">
        <v>45982</v>
      </c>
      <c r="F1399" s="54">
        <v>26068.150390625</v>
      </c>
      <c r="G1399" s="53">
        <f t="shared" si="43"/>
        <v>-4.7342428227803521E-3</v>
      </c>
    </row>
    <row r="1400" spans="1:7" ht="13.5" customHeight="1" x14ac:dyDescent="0.3">
      <c r="A1400" s="52">
        <v>45985</v>
      </c>
      <c r="B1400" s="27">
        <v>251.06</v>
      </c>
      <c r="C1400" s="53">
        <f t="shared" si="42"/>
        <v>1.5158768150630103E-3</v>
      </c>
      <c r="E1400" s="52">
        <v>45985</v>
      </c>
      <c r="F1400" s="54">
        <v>25959.5</v>
      </c>
      <c r="G1400" s="53">
        <f t="shared" si="43"/>
        <v>-4.167936312968119E-3</v>
      </c>
    </row>
    <row r="1401" spans="1:7" ht="13.5" customHeight="1" x14ac:dyDescent="0.3">
      <c r="A1401" s="52">
        <v>45986</v>
      </c>
      <c r="B1401" s="27">
        <v>253.97</v>
      </c>
      <c r="C1401" s="53">
        <f t="shared" si="42"/>
        <v>1.1590854775750803E-2</v>
      </c>
      <c r="E1401" s="52">
        <v>45986</v>
      </c>
      <c r="F1401" s="54">
        <v>25884.80078125</v>
      </c>
      <c r="G1401" s="53">
        <f t="shared" si="43"/>
        <v>-2.8775291800689534E-3</v>
      </c>
    </row>
    <row r="1402" spans="1:7" ht="13.5" customHeight="1" x14ac:dyDescent="0.3">
      <c r="A1402" s="52">
        <v>45987</v>
      </c>
      <c r="B1402" s="27">
        <v>258.18</v>
      </c>
      <c r="C1402" s="53">
        <f t="shared" si="42"/>
        <v>1.6576761034767917E-2</v>
      </c>
      <c r="E1402" s="52">
        <v>45987</v>
      </c>
      <c r="F1402" s="54">
        <v>26205.30078125</v>
      </c>
      <c r="G1402" s="53">
        <f t="shared" si="43"/>
        <v>1.2381783530362669E-2</v>
      </c>
    </row>
    <row r="1403" spans="1:7" ht="13.5" customHeight="1" x14ac:dyDescent="0.3">
      <c r="A1403" s="52">
        <v>45988</v>
      </c>
      <c r="B1403" s="27">
        <v>261.33</v>
      </c>
      <c r="C1403" s="53">
        <f t="shared" si="42"/>
        <v>1.2200790146409393E-2</v>
      </c>
      <c r="E1403" s="52">
        <v>45988</v>
      </c>
      <c r="F1403" s="54">
        <v>26215.55078125</v>
      </c>
      <c r="G1403" s="53">
        <f t="shared" si="43"/>
        <v>3.9114223818922608E-4</v>
      </c>
    </row>
    <row r="1404" spans="1:7" ht="13.5" customHeight="1" x14ac:dyDescent="0.3">
      <c r="A1404" s="52">
        <v>45989</v>
      </c>
      <c r="B1404" s="27">
        <v>259.98</v>
      </c>
      <c r="C1404" s="53">
        <f t="shared" si="42"/>
        <v>-5.1658822178853019E-3</v>
      </c>
      <c r="E1404" s="52">
        <v>45989</v>
      </c>
      <c r="F1404" s="54">
        <v>26202.94921875</v>
      </c>
      <c r="G1404" s="53">
        <f t="shared" si="43"/>
        <v>-4.8069035837358583E-4</v>
      </c>
    </row>
    <row r="1405" spans="1:7" ht="13.5" customHeight="1" x14ac:dyDescent="0.3">
      <c r="A1405" s="52">
        <v>45992</v>
      </c>
      <c r="B1405" s="27">
        <v>263.8</v>
      </c>
      <c r="C1405" s="53">
        <f t="shared" si="42"/>
        <v>1.4693437956765878E-2</v>
      </c>
      <c r="E1405" s="52">
        <v>45992</v>
      </c>
      <c r="F1405" s="54">
        <v>26175.75</v>
      </c>
      <c r="G1405" s="53">
        <f t="shared" si="43"/>
        <v>-1.0380212747402153E-3</v>
      </c>
    </row>
    <row r="1406" spans="1:7" ht="13.5" customHeight="1" x14ac:dyDescent="0.3">
      <c r="A1406" s="52">
        <v>45993</v>
      </c>
      <c r="B1406" s="27">
        <v>265.14999999999998</v>
      </c>
      <c r="C1406" s="53">
        <f t="shared" si="42"/>
        <v>5.1175132676268605E-3</v>
      </c>
      <c r="E1406" s="52">
        <v>45993</v>
      </c>
      <c r="F1406" s="54">
        <v>26032.19921875</v>
      </c>
      <c r="G1406" s="53">
        <f t="shared" si="43"/>
        <v>-5.4841133969418263E-3</v>
      </c>
    </row>
    <row r="1407" spans="1:7" ht="13.5" customHeight="1" x14ac:dyDescent="0.3">
      <c r="A1407" s="52">
        <v>45994</v>
      </c>
      <c r="B1407" s="27">
        <v>266.5</v>
      </c>
      <c r="C1407" s="53">
        <f t="shared" si="42"/>
        <v>5.0914576654724607E-3</v>
      </c>
      <c r="E1407" s="52">
        <v>45994</v>
      </c>
      <c r="F1407" s="54">
        <v>25986</v>
      </c>
      <c r="G1407" s="53">
        <f t="shared" si="43"/>
        <v>-1.7746951904364832E-3</v>
      </c>
    </row>
    <row r="1408" spans="1:7" ht="13.5" customHeight="1" x14ac:dyDescent="0.3">
      <c r="A1408" s="52">
        <v>45995</v>
      </c>
      <c r="B1408" s="27">
        <v>269.25</v>
      </c>
      <c r="C1408" s="53">
        <f t="shared" si="42"/>
        <v>1.0318949343339587E-2</v>
      </c>
      <c r="E1408" s="52">
        <v>45995</v>
      </c>
      <c r="F1408" s="54">
        <v>26033.75</v>
      </c>
      <c r="G1408" s="53">
        <f t="shared" si="43"/>
        <v>1.8375278996382667E-3</v>
      </c>
    </row>
    <row r="1409" spans="1:7" ht="13.5" customHeight="1" x14ac:dyDescent="0.3">
      <c r="A1409" s="52">
        <v>45996</v>
      </c>
      <c r="B1409" s="27">
        <v>273.14999999999998</v>
      </c>
      <c r="C1409" s="53">
        <f t="shared" si="42"/>
        <v>1.4484679665738078E-2</v>
      </c>
      <c r="E1409" s="52">
        <v>45996</v>
      </c>
      <c r="F1409" s="54">
        <v>26186.44921875</v>
      </c>
      <c r="G1409" s="53">
        <f t="shared" si="43"/>
        <v>5.8654330916598644E-3</v>
      </c>
    </row>
    <row r="1410" spans="1:7" ht="13.5" customHeight="1" x14ac:dyDescent="0.3">
      <c r="A1410" s="52">
        <v>45999</v>
      </c>
      <c r="B1410" s="27">
        <v>268.35000000000002</v>
      </c>
      <c r="C1410" s="53">
        <f t="shared" si="42"/>
        <v>-1.7572762218561064E-2</v>
      </c>
      <c r="E1410" s="52">
        <v>45999</v>
      </c>
      <c r="F1410" s="54">
        <v>25960.55078125</v>
      </c>
      <c r="G1410" s="53">
        <f t="shared" si="43"/>
        <v>-8.6265394598918129E-3</v>
      </c>
    </row>
    <row r="1411" spans="1:7" ht="13.5" customHeight="1" x14ac:dyDescent="0.3">
      <c r="A1411" s="52">
        <v>46000</v>
      </c>
      <c r="B1411" s="27">
        <v>265.64999999999998</v>
      </c>
      <c r="C1411" s="53">
        <f t="shared" si="42"/>
        <v>-1.0061486864170096E-2</v>
      </c>
      <c r="E1411" s="52">
        <v>46000</v>
      </c>
      <c r="F1411" s="54">
        <v>25839.650390625</v>
      </c>
      <c r="G1411" s="53">
        <f t="shared" si="43"/>
        <v>-4.6570811090926572E-3</v>
      </c>
    </row>
    <row r="1412" spans="1:7" ht="13.5" customHeight="1" x14ac:dyDescent="0.3">
      <c r="A1412" s="52">
        <v>46001</v>
      </c>
      <c r="B1412" s="27">
        <v>263</v>
      </c>
      <c r="C1412" s="53">
        <f t="shared" si="42"/>
        <v>-9.9755317146620649E-3</v>
      </c>
      <c r="E1412" s="52">
        <v>46001</v>
      </c>
      <c r="F1412" s="54">
        <v>25758</v>
      </c>
      <c r="G1412" s="53">
        <f t="shared" si="43"/>
        <v>-3.159887590995579E-3</v>
      </c>
    </row>
    <row r="1413" spans="1:7" ht="13.5" customHeight="1" x14ac:dyDescent="0.3">
      <c r="A1413" s="52">
        <v>46002</v>
      </c>
      <c r="B1413" s="27">
        <v>264.3</v>
      </c>
      <c r="C1413" s="53">
        <f t="shared" ref="C1413:C1476" si="44">(B1413-B1412)/B1412</f>
        <v>4.9429657794677236E-3</v>
      </c>
      <c r="E1413" s="52">
        <v>46002</v>
      </c>
      <c r="F1413" s="54">
        <v>25898.55078125</v>
      </c>
      <c r="G1413" s="53">
        <f t="shared" ref="G1413:G1476" si="45">(F1413-F1412)/F1412</f>
        <v>5.4565875164997281E-3</v>
      </c>
    </row>
    <row r="1414" spans="1:7" ht="13.5" customHeight="1" x14ac:dyDescent="0.3">
      <c r="A1414" s="52">
        <v>46003</v>
      </c>
      <c r="B1414" s="27">
        <v>278.14999999999998</v>
      </c>
      <c r="C1414" s="53">
        <f t="shared" si="44"/>
        <v>5.2402572833900742E-2</v>
      </c>
      <c r="E1414" s="52">
        <v>46003</v>
      </c>
      <c r="F1414" s="54">
        <v>26046.94921875</v>
      </c>
      <c r="G1414" s="53">
        <f t="shared" si="45"/>
        <v>5.7299900196514974E-3</v>
      </c>
    </row>
    <row r="1415" spans="1:7" ht="13.5" customHeight="1" x14ac:dyDescent="0.3">
      <c r="A1415" s="52">
        <v>46006</v>
      </c>
      <c r="B1415" s="27">
        <v>278.7</v>
      </c>
      <c r="C1415" s="53">
        <f t="shared" si="44"/>
        <v>1.9773503505303306E-3</v>
      </c>
      <c r="E1415" s="52">
        <v>46006</v>
      </c>
      <c r="F1415" s="54">
        <v>26027.30078125</v>
      </c>
      <c r="G1415" s="53">
        <f t="shared" si="45"/>
        <v>-7.5434698071496196E-4</v>
      </c>
    </row>
    <row r="1416" spans="1:7" ht="13.5" customHeight="1" x14ac:dyDescent="0.3">
      <c r="A1416" s="52">
        <v>46007</v>
      </c>
      <c r="B1416" s="27">
        <v>276.85000000000002</v>
      </c>
      <c r="C1416" s="53">
        <f t="shared" si="44"/>
        <v>-6.6379619662718546E-3</v>
      </c>
      <c r="E1416" s="52">
        <v>46007</v>
      </c>
      <c r="F1416" s="54">
        <v>25860.099609375</v>
      </c>
      <c r="G1416" s="53">
        <f t="shared" si="45"/>
        <v>-6.4240688375742476E-3</v>
      </c>
    </row>
    <row r="1417" spans="1:7" ht="13.5" customHeight="1" x14ac:dyDescent="0.3">
      <c r="A1417" s="52">
        <v>46008</v>
      </c>
      <c r="B1417" s="27">
        <v>279.45</v>
      </c>
      <c r="C1417" s="53">
        <f t="shared" si="44"/>
        <v>9.3913671663354362E-3</v>
      </c>
      <c r="E1417" s="52">
        <v>46008</v>
      </c>
      <c r="F1417" s="54">
        <v>25818.55078125</v>
      </c>
      <c r="G1417" s="53">
        <f t="shared" si="45"/>
        <v>-1.6066770334456639E-3</v>
      </c>
    </row>
    <row r="1418" spans="1:7" ht="13.5" customHeight="1" x14ac:dyDescent="0.3">
      <c r="A1418" s="52">
        <v>46009</v>
      </c>
      <c r="B1418" s="27">
        <v>279.25</v>
      </c>
      <c r="C1418" s="53">
        <f t="shared" si="44"/>
        <v>-7.156915369475349E-4</v>
      </c>
      <c r="E1418" s="52">
        <v>46009</v>
      </c>
      <c r="F1418" s="54">
        <v>25815.55078125</v>
      </c>
      <c r="G1418" s="53">
        <f t="shared" si="45"/>
        <v>-1.1619552256893776E-4</v>
      </c>
    </row>
    <row r="1419" spans="1:7" ht="13.5" customHeight="1" x14ac:dyDescent="0.3">
      <c r="A1419" s="52">
        <v>46010</v>
      </c>
      <c r="B1419" s="27">
        <v>278.5</v>
      </c>
      <c r="C1419" s="53">
        <f t="shared" si="44"/>
        <v>-2.6857654431512983E-3</v>
      </c>
      <c r="E1419" s="52">
        <v>46010</v>
      </c>
      <c r="F1419" s="54">
        <v>25966.400390625</v>
      </c>
      <c r="G1419" s="53">
        <f t="shared" si="45"/>
        <v>5.8433620360547577E-3</v>
      </c>
    </row>
    <row r="1420" spans="1:7" ht="13.5" customHeight="1" x14ac:dyDescent="0.3">
      <c r="A1420" s="52">
        <v>46013</v>
      </c>
      <c r="B1420" s="27">
        <v>290.3</v>
      </c>
      <c r="C1420" s="53">
        <f t="shared" si="44"/>
        <v>4.2369838420107761E-2</v>
      </c>
      <c r="E1420" s="52">
        <v>46013</v>
      </c>
      <c r="F1420" s="54">
        <v>26172.400390625</v>
      </c>
      <c r="G1420" s="53">
        <f t="shared" si="45"/>
        <v>7.9333291061157232E-3</v>
      </c>
    </row>
    <row r="1421" spans="1:7" ht="13.5" customHeight="1" x14ac:dyDescent="0.3">
      <c r="A1421" s="52">
        <v>46014</v>
      </c>
      <c r="B1421" s="27">
        <v>290.14999999999998</v>
      </c>
      <c r="C1421" s="53">
        <f t="shared" si="44"/>
        <v>-5.1670685497772688E-4</v>
      </c>
      <c r="E1421" s="52">
        <v>46014</v>
      </c>
      <c r="F1421" s="54">
        <v>26177.150390625</v>
      </c>
      <c r="G1421" s="53">
        <f t="shared" si="45"/>
        <v>1.814888939916057E-4</v>
      </c>
    </row>
    <row r="1422" spans="1:7" ht="13.5" customHeight="1" x14ac:dyDescent="0.3">
      <c r="A1422" s="52">
        <v>46015</v>
      </c>
      <c r="B1422" s="27">
        <v>295.3</v>
      </c>
      <c r="C1422" s="53">
        <f t="shared" si="44"/>
        <v>1.7749439944856227E-2</v>
      </c>
      <c r="E1422" s="52">
        <v>46015</v>
      </c>
      <c r="F1422" s="54">
        <v>26142.099609375</v>
      </c>
      <c r="G1422" s="53">
        <f t="shared" si="45"/>
        <v>-1.3389838361685454E-3</v>
      </c>
    </row>
    <row r="1423" spans="1:7" ht="13.5" customHeight="1" x14ac:dyDescent="0.3">
      <c r="A1423" s="52">
        <v>46017</v>
      </c>
      <c r="B1423" s="27">
        <v>306.85000000000002</v>
      </c>
      <c r="C1423" s="53">
        <f t="shared" si="44"/>
        <v>3.9112766677954658E-2</v>
      </c>
      <c r="E1423" s="52">
        <v>46017</v>
      </c>
      <c r="F1423" s="54">
        <v>26042.30078125</v>
      </c>
      <c r="G1423" s="53">
        <f t="shared" si="45"/>
        <v>-3.8175521330050493E-3</v>
      </c>
    </row>
    <row r="1424" spans="1:7" ht="13.5" customHeight="1" x14ac:dyDescent="0.3">
      <c r="A1424" s="52">
        <v>46020</v>
      </c>
      <c r="B1424" s="27">
        <v>300.89999999999998</v>
      </c>
      <c r="C1424" s="53">
        <f t="shared" si="44"/>
        <v>-1.9390581717451671E-2</v>
      </c>
      <c r="E1424" s="52">
        <v>46020</v>
      </c>
      <c r="F1424" s="54">
        <v>25942.099609375</v>
      </c>
      <c r="G1424" s="53">
        <f t="shared" si="45"/>
        <v>-3.8476313101775974E-3</v>
      </c>
    </row>
    <row r="1425" spans="1:7" ht="13.5" customHeight="1" x14ac:dyDescent="0.3">
      <c r="A1425" s="52">
        <v>46021</v>
      </c>
      <c r="B1425" s="27">
        <v>316.60000000000002</v>
      </c>
      <c r="C1425" s="53">
        <f t="shared" si="44"/>
        <v>5.2176802924559812E-2</v>
      </c>
      <c r="E1425" s="52">
        <v>46021</v>
      </c>
      <c r="F1425" s="54">
        <v>25938.849609375</v>
      </c>
      <c r="G1425" s="53">
        <f t="shared" si="45"/>
        <v>-1.2527898855285829E-4</v>
      </c>
    </row>
    <row r="1426" spans="1:7" ht="13.5" customHeight="1" x14ac:dyDescent="0.3">
      <c r="A1426" s="52">
        <v>46022</v>
      </c>
      <c r="B1426" s="27">
        <v>314.3</v>
      </c>
      <c r="C1426" s="53">
        <f t="shared" si="44"/>
        <v>-7.2646873025900543E-3</v>
      </c>
      <c r="E1426" s="52">
        <v>46022</v>
      </c>
      <c r="F1426" s="54">
        <v>26129.599609375</v>
      </c>
      <c r="G1426" s="53">
        <f t="shared" si="45"/>
        <v>7.353834224439075E-3</v>
      </c>
    </row>
    <row r="1427" spans="1:7" ht="13.5" customHeight="1" x14ac:dyDescent="0.3">
      <c r="A1427" s="52">
        <v>46023</v>
      </c>
      <c r="B1427" s="27">
        <v>314.60000000000002</v>
      </c>
      <c r="C1427" s="53">
        <f t="shared" si="44"/>
        <v>9.5450206808785033E-4</v>
      </c>
      <c r="E1427" s="52">
        <v>46023</v>
      </c>
      <c r="F1427" s="54">
        <v>26146.55078125</v>
      </c>
      <c r="G1427" s="53">
        <f t="shared" si="45"/>
        <v>6.4873446698043217E-4</v>
      </c>
    </row>
    <row r="1428" spans="1:7" ht="13.5" customHeight="1" x14ac:dyDescent="0.3">
      <c r="A1428" s="52">
        <v>46024</v>
      </c>
      <c r="B1428" s="27">
        <v>330.3</v>
      </c>
      <c r="C1428" s="53">
        <f t="shared" si="44"/>
        <v>4.9904640813731686E-2</v>
      </c>
      <c r="E1428" s="52">
        <v>46024</v>
      </c>
      <c r="F1428" s="54">
        <v>26328.55078125</v>
      </c>
      <c r="G1428" s="53">
        <f t="shared" si="45"/>
        <v>6.9607651702386052E-3</v>
      </c>
    </row>
    <row r="1429" spans="1:7" ht="13.5" customHeight="1" x14ac:dyDescent="0.3">
      <c r="A1429" s="52">
        <v>46027</v>
      </c>
      <c r="B1429" s="27">
        <v>330.8</v>
      </c>
      <c r="C1429" s="53">
        <f t="shared" si="44"/>
        <v>1.5137753557372085E-3</v>
      </c>
      <c r="E1429" s="52">
        <v>46027</v>
      </c>
      <c r="F1429" s="54">
        <v>26250.30078125</v>
      </c>
      <c r="G1429" s="53">
        <f t="shared" si="45"/>
        <v>-2.9720587604740519E-3</v>
      </c>
    </row>
    <row r="1430" spans="1:7" ht="13.5" customHeight="1" x14ac:dyDescent="0.3">
      <c r="A1430" s="52">
        <v>46028</v>
      </c>
      <c r="B1430" s="27">
        <v>346.7</v>
      </c>
      <c r="C1430" s="53">
        <f t="shared" si="44"/>
        <v>4.8065296251511416E-2</v>
      </c>
      <c r="E1430" s="52">
        <v>46028</v>
      </c>
      <c r="F1430" s="54">
        <v>26178.69921875</v>
      </c>
      <c r="G1430" s="53">
        <f t="shared" si="45"/>
        <v>-2.7276473171363958E-3</v>
      </c>
    </row>
    <row r="1431" spans="1:7" ht="13.5" customHeight="1" x14ac:dyDescent="0.3">
      <c r="A1431" s="52">
        <v>46029</v>
      </c>
      <c r="B1431" s="27">
        <v>352.6</v>
      </c>
      <c r="C1431" s="53">
        <f t="shared" si="44"/>
        <v>1.7017594462071052E-2</v>
      </c>
      <c r="E1431" s="52">
        <v>46029</v>
      </c>
      <c r="F1431" s="54">
        <v>26140.75</v>
      </c>
      <c r="G1431" s="53">
        <f t="shared" si="45"/>
        <v>-1.4496220164682432E-3</v>
      </c>
    </row>
    <row r="1432" spans="1:7" ht="13.5" customHeight="1" x14ac:dyDescent="0.3">
      <c r="A1432" s="52">
        <v>46030</v>
      </c>
      <c r="B1432" s="27">
        <v>333.5</v>
      </c>
      <c r="C1432" s="53">
        <f t="shared" si="44"/>
        <v>-5.4169030062393708E-2</v>
      </c>
      <c r="E1432" s="52">
        <v>46030</v>
      </c>
      <c r="F1432" s="54">
        <v>25876.849609375</v>
      </c>
      <c r="G1432" s="53">
        <f t="shared" si="45"/>
        <v>-1.0095364158449929E-2</v>
      </c>
    </row>
    <row r="1433" spans="1:7" ht="13.5" customHeight="1" x14ac:dyDescent="0.3">
      <c r="A1433" s="52">
        <v>46031</v>
      </c>
      <c r="B1433" s="27">
        <v>348.05</v>
      </c>
      <c r="C1433" s="53">
        <f t="shared" si="44"/>
        <v>4.3628185907046514E-2</v>
      </c>
      <c r="E1433" s="52">
        <v>46031</v>
      </c>
      <c r="F1433" s="54">
        <v>25683.30078125</v>
      </c>
      <c r="G1433" s="53">
        <f t="shared" si="45"/>
        <v>-7.4796132854935563E-3</v>
      </c>
    </row>
    <row r="1434" spans="1:7" ht="13.5" customHeight="1" x14ac:dyDescent="0.3">
      <c r="A1434" s="52">
        <v>46034</v>
      </c>
      <c r="B1434" s="27">
        <v>350.05</v>
      </c>
      <c r="C1434" s="53">
        <f t="shared" si="44"/>
        <v>5.7463008188478664E-3</v>
      </c>
      <c r="E1434" s="52">
        <v>46034</v>
      </c>
      <c r="F1434" s="54">
        <v>25790.25</v>
      </c>
      <c r="G1434" s="53">
        <f t="shared" si="45"/>
        <v>4.1641539637334267E-3</v>
      </c>
    </row>
    <row r="1435" spans="1:7" ht="13.5" customHeight="1" x14ac:dyDescent="0.3">
      <c r="A1435" s="52">
        <v>46035</v>
      </c>
      <c r="B1435" s="27">
        <v>357.4</v>
      </c>
      <c r="C1435" s="53">
        <f t="shared" si="44"/>
        <v>2.0997000428510115E-2</v>
      </c>
      <c r="E1435" s="52">
        <v>46035</v>
      </c>
      <c r="F1435" s="54">
        <v>25732.30078125</v>
      </c>
      <c r="G1435" s="53">
        <f t="shared" si="45"/>
        <v>-2.2469428853927357E-3</v>
      </c>
    </row>
    <row r="1436" spans="1:7" ht="13.5" customHeight="1" x14ac:dyDescent="0.3">
      <c r="A1436" s="52">
        <v>46036</v>
      </c>
      <c r="B1436" s="27">
        <v>373.55</v>
      </c>
      <c r="C1436" s="53">
        <f t="shared" si="44"/>
        <v>4.5187465025181971E-2</v>
      </c>
      <c r="E1436" s="52">
        <v>46036</v>
      </c>
      <c r="F1436" s="54">
        <v>25665.599609375</v>
      </c>
      <c r="G1436" s="53">
        <f t="shared" si="45"/>
        <v>-2.5921184600641006E-3</v>
      </c>
    </row>
    <row r="1437" spans="1:7" ht="13.5" customHeight="1" x14ac:dyDescent="0.3">
      <c r="A1437" s="52">
        <v>46038</v>
      </c>
      <c r="B1437" s="27">
        <v>361.6</v>
      </c>
      <c r="C1437" s="53">
        <f t="shared" si="44"/>
        <v>-3.1990362735912159E-2</v>
      </c>
      <c r="E1437" s="52">
        <v>46038</v>
      </c>
      <c r="F1437" s="54">
        <v>25694.349609375</v>
      </c>
      <c r="G1437" s="53">
        <f t="shared" si="45"/>
        <v>1.1201764399651254E-3</v>
      </c>
    </row>
    <row r="1438" spans="1:7" ht="13.5" customHeight="1" x14ac:dyDescent="0.3">
      <c r="A1438" s="52">
        <v>46041</v>
      </c>
      <c r="B1438" s="27">
        <v>368.65</v>
      </c>
      <c r="C1438" s="53">
        <f t="shared" si="44"/>
        <v>1.9496681415929078E-2</v>
      </c>
      <c r="E1438" s="52">
        <v>46041</v>
      </c>
      <c r="F1438" s="54">
        <v>25585.5</v>
      </c>
      <c r="G1438" s="53">
        <f t="shared" si="45"/>
        <v>-4.2363247573810724E-3</v>
      </c>
    </row>
    <row r="1439" spans="1:7" ht="13.5" customHeight="1" x14ac:dyDescent="0.3">
      <c r="A1439" s="52">
        <v>46042</v>
      </c>
      <c r="B1439" s="27">
        <v>358.95</v>
      </c>
      <c r="C1439" s="53">
        <f t="shared" si="44"/>
        <v>-2.6312220263122174E-2</v>
      </c>
      <c r="E1439" s="52">
        <v>46042</v>
      </c>
      <c r="F1439" s="54">
        <v>25232.5</v>
      </c>
      <c r="G1439" s="53">
        <f t="shared" si="45"/>
        <v>-1.3796877137441129E-2</v>
      </c>
    </row>
    <row r="1440" spans="1:7" ht="13.5" customHeight="1" x14ac:dyDescent="0.3">
      <c r="A1440" s="52">
        <v>46043</v>
      </c>
      <c r="B1440" s="27">
        <v>361.5</v>
      </c>
      <c r="C1440" s="53">
        <f t="shared" si="44"/>
        <v>7.1040534893439516E-3</v>
      </c>
      <c r="E1440" s="52">
        <v>46043</v>
      </c>
      <c r="F1440" s="54">
        <v>25157.5</v>
      </c>
      <c r="G1440" s="53">
        <f t="shared" si="45"/>
        <v>-2.9723570791637768E-3</v>
      </c>
    </row>
    <row r="1441" spans="1:7" ht="13.5" customHeight="1" x14ac:dyDescent="0.3">
      <c r="A1441" s="52">
        <v>46044</v>
      </c>
      <c r="B1441" s="27">
        <v>364.6</v>
      </c>
      <c r="C1441" s="53">
        <f t="shared" si="44"/>
        <v>8.575380359612788E-3</v>
      </c>
      <c r="E1441" s="52">
        <v>46044</v>
      </c>
      <c r="F1441" s="54">
        <v>25289.900390625</v>
      </c>
      <c r="G1441" s="53">
        <f t="shared" si="45"/>
        <v>5.2628596094603996E-3</v>
      </c>
    </row>
    <row r="1442" spans="1:7" ht="13.5" customHeight="1" x14ac:dyDescent="0.3">
      <c r="A1442" s="52">
        <v>46045</v>
      </c>
      <c r="B1442" s="27">
        <v>370.65</v>
      </c>
      <c r="C1442" s="53">
        <f t="shared" si="44"/>
        <v>1.6593527153044307E-2</v>
      </c>
      <c r="E1442" s="52">
        <v>46045</v>
      </c>
      <c r="F1442" s="54">
        <v>25048.650390625</v>
      </c>
      <c r="G1442" s="53">
        <f t="shared" si="45"/>
        <v>-9.5393811867061241E-3</v>
      </c>
    </row>
    <row r="1443" spans="1:7" ht="13.5" customHeight="1" x14ac:dyDescent="0.3">
      <c r="A1443" s="52">
        <v>46049</v>
      </c>
      <c r="B1443" s="27">
        <v>384.6</v>
      </c>
      <c r="C1443" s="53">
        <f t="shared" si="44"/>
        <v>3.7636584378794136E-2</v>
      </c>
      <c r="E1443" s="52">
        <v>46049</v>
      </c>
      <c r="F1443" s="54">
        <v>25175.400390625</v>
      </c>
      <c r="G1443" s="53">
        <f t="shared" si="45"/>
        <v>5.0601528634628126E-3</v>
      </c>
    </row>
    <row r="1444" spans="1:7" ht="13.5" customHeight="1" x14ac:dyDescent="0.3">
      <c r="A1444" s="52">
        <v>46050</v>
      </c>
      <c r="B1444" s="27">
        <v>406.15</v>
      </c>
      <c r="C1444" s="53">
        <f t="shared" si="44"/>
        <v>5.6032241289651466E-2</v>
      </c>
      <c r="E1444" s="52">
        <v>46050</v>
      </c>
      <c r="F1444" s="54">
        <v>25342.75</v>
      </c>
      <c r="G1444" s="53">
        <f t="shared" si="45"/>
        <v>6.6473464881741809E-3</v>
      </c>
    </row>
    <row r="1445" spans="1:7" ht="13.5" customHeight="1" x14ac:dyDescent="0.3">
      <c r="A1445" s="52">
        <v>46051</v>
      </c>
      <c r="B1445" s="27">
        <v>428.85</v>
      </c>
      <c r="C1445" s="53">
        <f t="shared" si="44"/>
        <v>5.5890680782962075E-2</v>
      </c>
      <c r="E1445" s="52">
        <v>46051</v>
      </c>
      <c r="F1445" s="54">
        <v>25418.900390625</v>
      </c>
      <c r="G1445" s="53">
        <f t="shared" si="45"/>
        <v>3.004819548983437E-3</v>
      </c>
    </row>
    <row r="1446" spans="1:7" ht="13.5" customHeight="1" x14ac:dyDescent="0.3">
      <c r="A1446" s="52">
        <v>46052</v>
      </c>
      <c r="B1446" s="27">
        <v>385.45</v>
      </c>
      <c r="C1446" s="53">
        <f t="shared" si="44"/>
        <v>-0.10120088609070778</v>
      </c>
      <c r="E1446" s="52">
        <v>46052</v>
      </c>
      <c r="F1446" s="54">
        <v>25320.650390625</v>
      </c>
      <c r="G1446" s="53">
        <f t="shared" si="45"/>
        <v>-3.8652340774047241E-3</v>
      </c>
    </row>
    <row r="1447" spans="1:7" ht="13.5" customHeight="1" x14ac:dyDescent="0.3">
      <c r="A1447" s="52">
        <v>46055</v>
      </c>
      <c r="B1447" s="27">
        <v>369.7</v>
      </c>
      <c r="C1447" s="53">
        <f t="shared" si="44"/>
        <v>-4.086133091192113E-2</v>
      </c>
      <c r="E1447" s="52">
        <v>46055</v>
      </c>
      <c r="F1447" s="54">
        <v>25088.400390625</v>
      </c>
      <c r="G1447" s="53">
        <f t="shared" si="45"/>
        <v>-9.1723552285209401E-3</v>
      </c>
    </row>
    <row r="1448" spans="1:7" ht="13.5" customHeight="1" x14ac:dyDescent="0.3">
      <c r="A1448" s="52">
        <v>46056</v>
      </c>
      <c r="B1448" s="27">
        <v>370.85</v>
      </c>
      <c r="C1448" s="53">
        <f t="shared" si="44"/>
        <v>3.1106302407358241E-3</v>
      </c>
      <c r="E1448" s="52">
        <v>46056</v>
      </c>
      <c r="F1448" s="54">
        <v>25727.55078125</v>
      </c>
      <c r="G1448" s="53">
        <f t="shared" si="45"/>
        <v>2.5475932330218904E-2</v>
      </c>
    </row>
    <row r="1449" spans="1:7" ht="13.5" customHeight="1" x14ac:dyDescent="0.3">
      <c r="A1449" s="52">
        <v>46057</v>
      </c>
      <c r="B1449" s="27">
        <v>374.9</v>
      </c>
      <c r="C1449" s="53">
        <f t="shared" si="44"/>
        <v>1.0920857489550908E-2</v>
      </c>
      <c r="E1449" s="52">
        <v>46057</v>
      </c>
      <c r="F1449" s="54">
        <v>25776</v>
      </c>
      <c r="G1449" s="53">
        <f t="shared" si="45"/>
        <v>1.8831648283174059E-3</v>
      </c>
    </row>
    <row r="1450" spans="1:7" ht="13.5" customHeight="1" x14ac:dyDescent="0.3">
      <c r="A1450" s="52">
        <v>46058</v>
      </c>
      <c r="B1450" s="27">
        <v>363.85</v>
      </c>
      <c r="C1450" s="53">
        <f t="shared" si="44"/>
        <v>-2.9474526540410658E-2</v>
      </c>
      <c r="E1450" s="52">
        <v>46058</v>
      </c>
      <c r="F1450" s="54">
        <v>25642.80078125</v>
      </c>
      <c r="G1450" s="53">
        <f t="shared" si="45"/>
        <v>-5.1675674561607694E-3</v>
      </c>
    </row>
    <row r="1451" spans="1:7" ht="13.5" customHeight="1" x14ac:dyDescent="0.3">
      <c r="A1451" s="52">
        <v>46059</v>
      </c>
      <c r="B1451" s="27">
        <v>354.65</v>
      </c>
      <c r="C1451" s="53">
        <f t="shared" si="44"/>
        <v>-2.5285144977325945E-2</v>
      </c>
      <c r="E1451" s="52">
        <v>46059</v>
      </c>
      <c r="F1451" s="54">
        <v>25693.69921875</v>
      </c>
      <c r="G1451" s="53">
        <f t="shared" si="45"/>
        <v>1.9849016468285676E-3</v>
      </c>
    </row>
    <row r="1452" spans="1:7" ht="13.5" customHeight="1" x14ac:dyDescent="0.3">
      <c r="A1452" s="52">
        <v>46062</v>
      </c>
      <c r="B1452" s="27">
        <v>365.2</v>
      </c>
      <c r="C1452" s="53">
        <f t="shared" si="44"/>
        <v>2.9747638516847631E-2</v>
      </c>
      <c r="E1452" s="52">
        <v>46062</v>
      </c>
      <c r="F1452" s="54">
        <v>25867.30078125</v>
      </c>
      <c r="G1452" s="53">
        <f t="shared" si="45"/>
        <v>6.7565810988132885E-3</v>
      </c>
    </row>
    <row r="1453" spans="1:7" ht="13.5" customHeight="1" x14ac:dyDescent="0.3">
      <c r="A1453" s="52">
        <v>46063</v>
      </c>
      <c r="B1453" s="27">
        <v>368.65</v>
      </c>
      <c r="C1453" s="53">
        <f t="shared" si="44"/>
        <v>9.4468784227820062E-3</v>
      </c>
      <c r="E1453" s="52">
        <v>46063</v>
      </c>
      <c r="F1453" s="54">
        <v>25935.150390625</v>
      </c>
      <c r="G1453" s="53">
        <f t="shared" si="45"/>
        <v>2.6229876069706129E-3</v>
      </c>
    </row>
    <row r="1454" spans="1:7" ht="13.5" customHeight="1" x14ac:dyDescent="0.3">
      <c r="A1454" s="52">
        <v>46064</v>
      </c>
      <c r="B1454" s="27">
        <v>367.7</v>
      </c>
      <c r="C1454" s="53">
        <f t="shared" si="44"/>
        <v>-2.5769700257696694E-3</v>
      </c>
      <c r="E1454" s="52">
        <v>46064</v>
      </c>
      <c r="F1454" s="54">
        <v>25953.849609375</v>
      </c>
      <c r="G1454" s="53">
        <f t="shared" si="45"/>
        <v>7.2099904833246569E-4</v>
      </c>
    </row>
    <row r="1455" spans="1:7" ht="13.5" customHeight="1" x14ac:dyDescent="0.3">
      <c r="A1455" s="52">
        <v>46065</v>
      </c>
      <c r="B1455" s="27">
        <v>369.7</v>
      </c>
      <c r="C1455" s="53">
        <f t="shared" si="44"/>
        <v>5.4392167527875989E-3</v>
      </c>
      <c r="E1455" s="52">
        <v>46065</v>
      </c>
      <c r="F1455" s="54">
        <v>25807.19921875</v>
      </c>
      <c r="G1455" s="53">
        <f t="shared" si="45"/>
        <v>-5.6504292362096155E-3</v>
      </c>
    </row>
    <row r="1456" spans="1:7" ht="13.5" customHeight="1" x14ac:dyDescent="0.3">
      <c r="A1456" s="52">
        <v>46066</v>
      </c>
      <c r="B1456" s="27">
        <v>349.3</v>
      </c>
      <c r="C1456" s="53">
        <f t="shared" si="44"/>
        <v>-5.5179875574790309E-2</v>
      </c>
      <c r="E1456" s="52">
        <v>46066</v>
      </c>
      <c r="F1456" s="54">
        <v>25471.099609375</v>
      </c>
      <c r="G1456" s="53">
        <f t="shared" si="45"/>
        <v>-1.3023482576552116E-2</v>
      </c>
    </row>
    <row r="1457" spans="1:7" ht="13.5" customHeight="1" x14ac:dyDescent="0.3">
      <c r="A1457" s="52">
        <v>46069</v>
      </c>
      <c r="B1457" s="27">
        <v>348.4</v>
      </c>
      <c r="C1457" s="53">
        <f t="shared" si="44"/>
        <v>-2.5765817348984655E-3</v>
      </c>
      <c r="E1457" s="52">
        <v>46069</v>
      </c>
      <c r="F1457" s="54">
        <v>25682.75</v>
      </c>
      <c r="G1457" s="53">
        <f t="shared" si="45"/>
        <v>8.3094328030933959E-3</v>
      </c>
    </row>
    <row r="1458" spans="1:7" ht="13.5" customHeight="1" x14ac:dyDescent="0.3">
      <c r="A1458" s="52">
        <v>46070</v>
      </c>
      <c r="B1458" s="27">
        <v>340.85</v>
      </c>
      <c r="C1458" s="53">
        <f t="shared" si="44"/>
        <v>-2.1670493685418929E-2</v>
      </c>
      <c r="E1458" s="52">
        <v>46070</v>
      </c>
      <c r="F1458" s="54">
        <v>25725.400390625</v>
      </c>
      <c r="G1458" s="53">
        <f t="shared" si="45"/>
        <v>1.6606629206373927E-3</v>
      </c>
    </row>
    <row r="1459" spans="1:7" ht="13.5" customHeight="1" x14ac:dyDescent="0.3">
      <c r="A1459" s="52">
        <v>46071</v>
      </c>
      <c r="B1459" s="27">
        <v>344.05</v>
      </c>
      <c r="C1459" s="53">
        <f t="shared" si="44"/>
        <v>9.3882939709549317E-3</v>
      </c>
      <c r="E1459" s="52">
        <v>46071</v>
      </c>
      <c r="F1459" s="54">
        <v>25819.349609375</v>
      </c>
      <c r="G1459" s="53">
        <f t="shared" si="45"/>
        <v>3.6520021971839754E-3</v>
      </c>
    </row>
    <row r="1460" spans="1:7" ht="13.5" customHeight="1" x14ac:dyDescent="0.3">
      <c r="A1460" s="52">
        <v>46072</v>
      </c>
      <c r="B1460" s="27">
        <v>340.1</v>
      </c>
      <c r="C1460" s="53">
        <f t="shared" si="44"/>
        <v>-1.1480889405609616E-2</v>
      </c>
      <c r="E1460" s="52">
        <v>46072</v>
      </c>
      <c r="F1460" s="54">
        <v>25454.349609375</v>
      </c>
      <c r="G1460" s="53">
        <f t="shared" si="45"/>
        <v>-1.4136684522350191E-2</v>
      </c>
    </row>
    <row r="1461" spans="1:7" ht="13.5" customHeight="1" x14ac:dyDescent="0.3">
      <c r="A1461" s="52">
        <v>46073</v>
      </c>
      <c r="B1461" s="27">
        <v>341.2</v>
      </c>
      <c r="C1461" s="53">
        <f t="shared" si="44"/>
        <v>3.2343428403409755E-3</v>
      </c>
      <c r="E1461" s="52">
        <v>46073</v>
      </c>
      <c r="F1461" s="54">
        <v>25571.25</v>
      </c>
      <c r="G1461" s="53">
        <f t="shared" si="45"/>
        <v>4.5925506806877847E-3</v>
      </c>
    </row>
    <row r="1462" spans="1:7" ht="13.5" customHeight="1" x14ac:dyDescent="0.3">
      <c r="A1462" s="52">
        <v>46076</v>
      </c>
      <c r="B1462" s="27">
        <v>338.95</v>
      </c>
      <c r="C1462" s="53">
        <f t="shared" si="44"/>
        <v>-6.5943728018757327E-3</v>
      </c>
      <c r="E1462" s="52">
        <v>46076</v>
      </c>
      <c r="F1462" s="54">
        <v>25713</v>
      </c>
      <c r="G1462" s="53">
        <f t="shared" si="45"/>
        <v>5.5433347998240208E-3</v>
      </c>
    </row>
    <row r="1463" spans="1:7" ht="13.5" customHeight="1" x14ac:dyDescent="0.3">
      <c r="A1463" s="52">
        <v>46077</v>
      </c>
      <c r="B1463" s="27">
        <v>343</v>
      </c>
      <c r="C1463" s="53">
        <f t="shared" si="44"/>
        <v>1.194866499483703E-2</v>
      </c>
      <c r="E1463" s="52">
        <v>46077</v>
      </c>
      <c r="F1463" s="54">
        <v>25424.650390625</v>
      </c>
      <c r="G1463" s="53">
        <f t="shared" si="45"/>
        <v>-1.1214156627970288E-2</v>
      </c>
    </row>
    <row r="1464" spans="1:7" ht="13.5" customHeight="1" x14ac:dyDescent="0.3">
      <c r="A1464" s="52">
        <v>46078</v>
      </c>
      <c r="B1464" s="27">
        <v>359.8</v>
      </c>
      <c r="C1464" s="53">
        <f t="shared" si="44"/>
        <v>4.8979591836734726E-2</v>
      </c>
      <c r="E1464" s="52">
        <v>46078</v>
      </c>
      <c r="F1464" s="54">
        <v>25482.5</v>
      </c>
      <c r="G1464" s="53">
        <f t="shared" si="45"/>
        <v>2.2753354908011348E-3</v>
      </c>
    </row>
    <row r="1465" spans="1:7" ht="13.5" customHeight="1" x14ac:dyDescent="0.3">
      <c r="A1465" s="52">
        <v>46079</v>
      </c>
      <c r="B1465" s="27">
        <v>361.3</v>
      </c>
      <c r="C1465" s="53">
        <f t="shared" si="44"/>
        <v>4.168982768204558E-3</v>
      </c>
      <c r="E1465" s="52">
        <v>46079</v>
      </c>
      <c r="F1465" s="54">
        <v>25496.55078125</v>
      </c>
      <c r="G1465" s="53">
        <f t="shared" si="45"/>
        <v>5.5138943392524285E-4</v>
      </c>
    </row>
    <row r="1466" spans="1:7" ht="13.5" customHeight="1" x14ac:dyDescent="0.3">
      <c r="A1466" s="52">
        <v>46080</v>
      </c>
      <c r="B1466" s="27">
        <v>354.6</v>
      </c>
      <c r="C1466" s="53">
        <f t="shared" si="44"/>
        <v>-1.8544146138942674E-2</v>
      </c>
      <c r="E1466" s="52">
        <v>46080</v>
      </c>
      <c r="F1466" s="54">
        <v>25178.650390625</v>
      </c>
      <c r="G1466" s="53">
        <f t="shared" si="45"/>
        <v>-1.2468368500212268E-2</v>
      </c>
    </row>
    <row r="1467" spans="1:7" ht="13.5" customHeight="1" x14ac:dyDescent="0.3">
      <c r="A1467" s="52">
        <v>46083</v>
      </c>
      <c r="B1467" s="27">
        <v>362.85</v>
      </c>
      <c r="C1467" s="53">
        <f t="shared" si="44"/>
        <v>2.3265651438240269E-2</v>
      </c>
      <c r="E1467" s="52">
        <v>46083</v>
      </c>
      <c r="F1467" s="54">
        <v>24865.69921875</v>
      </c>
      <c r="G1467" s="53">
        <f t="shared" si="45"/>
        <v>-1.2429227421638295E-2</v>
      </c>
    </row>
    <row r="1468" spans="1:7" ht="13.5" customHeight="1" x14ac:dyDescent="0.3">
      <c r="A1468" s="52">
        <v>46085</v>
      </c>
      <c r="B1468" s="27">
        <v>373.5</v>
      </c>
      <c r="C1468" s="53">
        <f t="shared" si="44"/>
        <v>2.935097147581639E-2</v>
      </c>
      <c r="E1468" s="52">
        <v>46085</v>
      </c>
      <c r="F1468" s="54">
        <v>24480.5</v>
      </c>
      <c r="G1468" s="53">
        <f t="shared" si="45"/>
        <v>-1.5491187895474108E-2</v>
      </c>
    </row>
    <row r="1469" spans="1:7" ht="13.5" customHeight="1" x14ac:dyDescent="0.3">
      <c r="A1469" s="52">
        <v>46086</v>
      </c>
      <c r="B1469" s="27">
        <v>395.95</v>
      </c>
      <c r="C1469" s="53">
        <f t="shared" si="44"/>
        <v>6.0107095046854055E-2</v>
      </c>
      <c r="E1469" s="52">
        <v>46086</v>
      </c>
      <c r="F1469" s="54">
        <v>24765.900390625</v>
      </c>
      <c r="G1469" s="53">
        <f t="shared" si="45"/>
        <v>1.165827457057658E-2</v>
      </c>
    </row>
    <row r="1470" spans="1:7" ht="13.5" customHeight="1" x14ac:dyDescent="0.3">
      <c r="A1470" s="52">
        <v>46087</v>
      </c>
      <c r="B1470" s="27">
        <v>396.15</v>
      </c>
      <c r="C1470" s="53">
        <f t="shared" si="44"/>
        <v>5.0511428210629782E-4</v>
      </c>
      <c r="E1470" s="52">
        <v>46087</v>
      </c>
      <c r="F1470" s="54">
        <v>24450.44921875</v>
      </c>
      <c r="G1470" s="53">
        <f t="shared" si="45"/>
        <v>-1.273731893044407E-2</v>
      </c>
    </row>
    <row r="1471" spans="1:7" ht="13.5" customHeight="1" x14ac:dyDescent="0.3">
      <c r="A1471" s="52">
        <v>46090</v>
      </c>
      <c r="B1471" s="27">
        <v>388.1</v>
      </c>
      <c r="C1471" s="53">
        <f t="shared" si="44"/>
        <v>-2.0320585636753642E-2</v>
      </c>
      <c r="E1471" s="52">
        <v>46090</v>
      </c>
      <c r="F1471" s="54">
        <v>24028.05078125</v>
      </c>
      <c r="G1471" s="53">
        <f t="shared" si="45"/>
        <v>-1.7275692308183883E-2</v>
      </c>
    </row>
    <row r="1472" spans="1:7" ht="13.5" customHeight="1" x14ac:dyDescent="0.3">
      <c r="A1472" s="52">
        <v>46091</v>
      </c>
      <c r="B1472" s="27">
        <v>388.75</v>
      </c>
      <c r="C1472" s="53">
        <f t="shared" si="44"/>
        <v>1.6748260757536132E-3</v>
      </c>
      <c r="E1472" s="52">
        <v>46091</v>
      </c>
      <c r="F1472" s="54">
        <v>24261.599609375</v>
      </c>
      <c r="G1472" s="53">
        <f t="shared" si="45"/>
        <v>9.7198407915488096E-3</v>
      </c>
    </row>
    <row r="1473" spans="1:7" ht="13.5" customHeight="1" x14ac:dyDescent="0.3">
      <c r="A1473" s="52">
        <v>46092</v>
      </c>
      <c r="B1473" s="27">
        <v>397.75</v>
      </c>
      <c r="C1473" s="53">
        <f t="shared" si="44"/>
        <v>2.3151125401929259E-2</v>
      </c>
      <c r="E1473" s="52">
        <v>46092</v>
      </c>
      <c r="F1473" s="54">
        <v>23866.849609375</v>
      </c>
      <c r="G1473" s="53">
        <f t="shared" si="45"/>
        <v>-1.6270567743087452E-2</v>
      </c>
    </row>
    <row r="1474" spans="1:7" ht="13.5" customHeight="1" x14ac:dyDescent="0.3">
      <c r="A1474" s="52">
        <v>46093</v>
      </c>
      <c r="B1474" s="27">
        <v>409.15</v>
      </c>
      <c r="C1474" s="53">
        <f t="shared" si="44"/>
        <v>2.8661219358893722E-2</v>
      </c>
      <c r="E1474" s="52">
        <v>46093</v>
      </c>
      <c r="F1474" s="54">
        <v>23639.150390625</v>
      </c>
      <c r="G1474" s="53">
        <f t="shared" si="45"/>
        <v>-9.5403969303329752E-3</v>
      </c>
    </row>
    <row r="1475" spans="1:7" ht="13.5" customHeight="1" x14ac:dyDescent="0.3">
      <c r="A1475" s="52">
        <v>46094</v>
      </c>
      <c r="B1475" s="27">
        <v>387.35</v>
      </c>
      <c r="C1475" s="53">
        <f t="shared" si="44"/>
        <v>-5.3281192716607494E-2</v>
      </c>
      <c r="E1475" s="52">
        <v>46094</v>
      </c>
      <c r="F1475" s="54">
        <v>23151.099609375</v>
      </c>
      <c r="G1475" s="53">
        <f t="shared" si="45"/>
        <v>-2.0645868112229408E-2</v>
      </c>
    </row>
    <row r="1476" spans="1:7" ht="13.5" customHeight="1" x14ac:dyDescent="0.3">
      <c r="A1476" s="52">
        <v>46097</v>
      </c>
      <c r="B1476" s="27">
        <v>372.25</v>
      </c>
      <c r="C1476" s="53">
        <f t="shared" si="44"/>
        <v>-3.8982832064024843E-2</v>
      </c>
      <c r="E1476" s="52">
        <v>46097</v>
      </c>
      <c r="F1476" s="54">
        <v>23408.80078125</v>
      </c>
      <c r="G1476" s="53">
        <f t="shared" si="45"/>
        <v>1.1131271353117254E-2</v>
      </c>
    </row>
    <row r="1477" spans="1:7" ht="13.5" customHeight="1" x14ac:dyDescent="0.3">
      <c r="A1477" s="52">
        <v>46098</v>
      </c>
      <c r="B1477" s="27">
        <v>395.15</v>
      </c>
      <c r="C1477" s="53">
        <f t="shared" ref="C1477:C1540" si="46">(B1477-B1476)/B1476</f>
        <v>6.1517797179314916E-2</v>
      </c>
      <c r="E1477" s="52">
        <v>46098</v>
      </c>
      <c r="F1477" s="54">
        <v>23581.150390625</v>
      </c>
      <c r="G1477" s="53">
        <f t="shared" ref="G1477:G1540" si="47">(F1477-F1476)/F1476</f>
        <v>7.3625988356075351E-3</v>
      </c>
    </row>
    <row r="1478" spans="1:7" ht="13.5" customHeight="1" x14ac:dyDescent="0.3">
      <c r="A1478" s="52">
        <v>46099</v>
      </c>
      <c r="B1478" s="27">
        <v>387.65</v>
      </c>
      <c r="C1478" s="53">
        <f t="shared" si="46"/>
        <v>-1.8980134126281162E-2</v>
      </c>
      <c r="E1478" s="52">
        <v>46099</v>
      </c>
      <c r="F1478" s="54">
        <v>23777.80078125</v>
      </c>
      <c r="G1478" s="53">
        <f t="shared" si="47"/>
        <v>8.339304375208979E-3</v>
      </c>
    </row>
    <row r="1479" spans="1:7" ht="13.5" customHeight="1" x14ac:dyDescent="0.3">
      <c r="A1479" s="52">
        <v>46100</v>
      </c>
      <c r="B1479" s="27">
        <v>377</v>
      </c>
      <c r="C1479" s="53">
        <f t="shared" si="46"/>
        <v>-2.7473236166645112E-2</v>
      </c>
      <c r="E1479" s="52">
        <v>46100</v>
      </c>
      <c r="F1479" s="54">
        <v>23002.150390625</v>
      </c>
      <c r="G1479" s="53">
        <f t="shared" si="47"/>
        <v>-3.2620779262169594E-2</v>
      </c>
    </row>
    <row r="1480" spans="1:7" ht="13.5" customHeight="1" x14ac:dyDescent="0.3">
      <c r="A1480" s="52">
        <v>46101</v>
      </c>
      <c r="B1480" s="27">
        <v>368.5</v>
      </c>
      <c r="C1480" s="53">
        <f t="shared" si="46"/>
        <v>-2.2546419098143235E-2</v>
      </c>
      <c r="E1480" s="52">
        <v>46101</v>
      </c>
      <c r="F1480" s="54">
        <v>23114.5</v>
      </c>
      <c r="G1480" s="53">
        <f t="shared" si="47"/>
        <v>4.8843089653387538E-3</v>
      </c>
    </row>
    <row r="1481" spans="1:7" ht="13.5" customHeight="1" x14ac:dyDescent="0.3">
      <c r="A1481" s="52">
        <v>46104</v>
      </c>
      <c r="B1481" s="27">
        <v>349.75</v>
      </c>
      <c r="C1481" s="53">
        <f t="shared" si="46"/>
        <v>-5.0881953867028491E-2</v>
      </c>
      <c r="E1481" s="52">
        <v>46104</v>
      </c>
      <c r="F1481" s="54">
        <v>22512.650390625</v>
      </c>
      <c r="G1481" s="53">
        <f t="shared" si="47"/>
        <v>-2.6037751600726817E-2</v>
      </c>
    </row>
    <row r="1482" spans="1:7" ht="13.5" customHeight="1" x14ac:dyDescent="0.3">
      <c r="A1482" s="52">
        <v>46105</v>
      </c>
      <c r="B1482" s="27">
        <v>354.65</v>
      </c>
      <c r="C1482" s="53">
        <f t="shared" si="46"/>
        <v>1.4010007147962765E-2</v>
      </c>
      <c r="E1482" s="52">
        <v>46105</v>
      </c>
      <c r="F1482" s="54">
        <v>22912.400390625</v>
      </c>
      <c r="G1482" s="53">
        <f t="shared" si="47"/>
        <v>1.7756683156527359E-2</v>
      </c>
    </row>
    <row r="1483" spans="1:7" ht="13.5" customHeight="1" x14ac:dyDescent="0.3">
      <c r="A1483" s="52">
        <v>46106</v>
      </c>
      <c r="B1483" s="27">
        <v>367.3</v>
      </c>
      <c r="C1483" s="53">
        <f t="shared" si="46"/>
        <v>3.5668969406457168E-2</v>
      </c>
      <c r="E1483" s="52">
        <v>46106</v>
      </c>
      <c r="F1483" s="54">
        <v>23306.44921875</v>
      </c>
      <c r="G1483" s="53">
        <f t="shared" si="47"/>
        <v>1.719805962740734E-2</v>
      </c>
    </row>
    <row r="1484" spans="1:7" ht="13.5" customHeight="1" x14ac:dyDescent="0.3">
      <c r="A1484" s="52">
        <v>46108</v>
      </c>
      <c r="B1484" s="27">
        <v>371</v>
      </c>
      <c r="C1484" s="53">
        <f t="shared" si="46"/>
        <v>1.0073509392866836E-2</v>
      </c>
      <c r="E1484" s="52">
        <v>46108</v>
      </c>
      <c r="F1484" s="54">
        <v>22819.599609375</v>
      </c>
      <c r="G1484" s="53">
        <f t="shared" si="47"/>
        <v>-2.0889051129389984E-2</v>
      </c>
    </row>
    <row r="1485" spans="1:7" ht="13.5" customHeight="1" x14ac:dyDescent="0.3">
      <c r="A1485" s="52">
        <v>46111</v>
      </c>
      <c r="B1485" s="27">
        <v>386.1</v>
      </c>
      <c r="C1485" s="53">
        <f t="shared" si="46"/>
        <v>4.0700808625336989E-2</v>
      </c>
      <c r="E1485" s="52">
        <v>46111</v>
      </c>
      <c r="F1485" s="54">
        <v>22331.400390625</v>
      </c>
      <c r="G1485" s="53">
        <f t="shared" si="47"/>
        <v>-2.1393855593742871E-2</v>
      </c>
    </row>
  </sheetData>
  <mergeCells count="9">
    <mergeCell ref="L7:O7"/>
    <mergeCell ref="J9:K9"/>
    <mergeCell ref="J10:K10"/>
    <mergeCell ref="J17:O17"/>
    <mergeCell ref="A2:C2"/>
    <mergeCell ref="E2:G2"/>
    <mergeCell ref="I2:O2"/>
    <mergeCell ref="L4:O4"/>
    <mergeCell ref="L5:O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46"/>
  <sheetViews>
    <sheetView zoomScale="94" zoomScaleNormal="94" workbookViewId="0">
      <selection activeCell="G4" sqref="G4"/>
    </sheetView>
  </sheetViews>
  <sheetFormatPr defaultColWidth="8.54296875" defaultRowHeight="14.5" x14ac:dyDescent="0.35"/>
  <cols>
    <col min="2" max="2" width="35.7265625" customWidth="1"/>
  </cols>
  <sheetData>
    <row r="2" spans="2:11" ht="14.25" customHeight="1" x14ac:dyDescent="0.35">
      <c r="B2" s="87" t="s">
        <v>39</v>
      </c>
      <c r="C2" s="88">
        <v>2021</v>
      </c>
      <c r="D2" s="88">
        <v>2022</v>
      </c>
      <c r="E2" s="88">
        <v>2023</v>
      </c>
      <c r="F2" s="88">
        <v>2024</v>
      </c>
      <c r="G2" s="88">
        <v>2025</v>
      </c>
      <c r="H2" s="13"/>
      <c r="I2" s="13"/>
      <c r="J2" s="13"/>
      <c r="K2" s="13"/>
    </row>
    <row r="3" spans="2:11" ht="14.25" customHeight="1" x14ac:dyDescent="0.35">
      <c r="B3" s="53" t="s">
        <v>165</v>
      </c>
      <c r="C3" s="89">
        <f>'Consolidated FS'!D4</f>
        <v>8956</v>
      </c>
      <c r="D3" s="89">
        <f>'Consolidated FS'!E4</f>
        <v>14181</v>
      </c>
      <c r="E3" s="89">
        <f>'Consolidated FS'!F4</f>
        <v>14257</v>
      </c>
      <c r="F3" s="89">
        <f>'Consolidated FS'!G4</f>
        <v>13149</v>
      </c>
      <c r="G3" s="89">
        <f>'Consolidated FS'!H4</f>
        <v>16788</v>
      </c>
      <c r="H3" s="13"/>
      <c r="I3" s="13"/>
      <c r="J3" s="13"/>
      <c r="K3" s="13"/>
    </row>
    <row r="4" spans="2:11" ht="14.25" customHeight="1" x14ac:dyDescent="0.35">
      <c r="B4" s="90" t="s">
        <v>166</v>
      </c>
      <c r="C4" s="43"/>
      <c r="D4" s="91">
        <f>(D3-C3)/C3</f>
        <v>0.58340777132648503</v>
      </c>
      <c r="E4" s="91">
        <f>(E3-D3)/D3</f>
        <v>5.3592835484098439E-3</v>
      </c>
      <c r="F4" s="91">
        <f>(F3-E3)/E3</f>
        <v>-7.7716209581258328E-2</v>
      </c>
      <c r="G4" s="91">
        <f>(G3-F3)/F3</f>
        <v>0.27675108373260326</v>
      </c>
      <c r="H4" s="13"/>
      <c r="I4" s="13"/>
      <c r="J4" s="13"/>
      <c r="K4" s="13"/>
    </row>
    <row r="5" spans="2:11" ht="14.25" customHeight="1" x14ac:dyDescent="0.35">
      <c r="B5" s="53" t="s">
        <v>167</v>
      </c>
      <c r="C5" s="89">
        <f>'Consolidated FS'!D6-C6-C7</f>
        <v>4830.2147999999997</v>
      </c>
      <c r="D5" s="89">
        <f>'Consolidated FS'!E6-D6-D7</f>
        <v>6521.0722999999998</v>
      </c>
      <c r="E5" s="89">
        <f>'Consolidated FS'!F6-E6-E7</f>
        <v>9238.1097000000009</v>
      </c>
      <c r="F5" s="89">
        <f>'Consolidated FS'!G6-F6-F7</f>
        <v>7557.7822000000006</v>
      </c>
      <c r="G5" s="89">
        <f>'Consolidated FS'!H6-G6-G7</f>
        <v>6649.3203999999996</v>
      </c>
      <c r="H5" s="13"/>
      <c r="I5" s="13"/>
      <c r="J5" s="92"/>
      <c r="K5" s="13"/>
    </row>
    <row r="6" spans="2:11" ht="14.25" customHeight="1" x14ac:dyDescent="0.35">
      <c r="B6" s="53" t="s">
        <v>168</v>
      </c>
      <c r="C6" s="89">
        <f>'Consolidated FS'!D11*C3</f>
        <v>1930.018</v>
      </c>
      <c r="D6" s="89">
        <f>'Consolidated FS'!E11*D3</f>
        <v>2355.4641000000001</v>
      </c>
      <c r="E6" s="89">
        <f>'Consolidated FS'!F11*E3</f>
        <v>1842.0044</v>
      </c>
      <c r="F6" s="89">
        <f>'Consolidated FS'!G11*F3</f>
        <v>2042.0396999999998</v>
      </c>
      <c r="G6" s="89">
        <f>'Consolidated FS'!H11*G3</f>
        <v>1797.9947999999999</v>
      </c>
      <c r="H6" s="13"/>
      <c r="I6" s="13"/>
      <c r="J6" s="13"/>
      <c r="K6" s="13"/>
    </row>
    <row r="7" spans="2:11" ht="14.25" customHeight="1" x14ac:dyDescent="0.35">
      <c r="B7" s="53" t="s">
        <v>169</v>
      </c>
      <c r="C7" s="89">
        <f>'Consolidated FS'!D12*C3</f>
        <v>413.7672</v>
      </c>
      <c r="D7" s="89">
        <f>'Consolidated FS'!E12*D3</f>
        <v>788.46359999999993</v>
      </c>
      <c r="E7" s="89">
        <f>'Consolidated FS'!F12*E3</f>
        <v>836.88589999999999</v>
      </c>
      <c r="F7" s="89">
        <f>'Consolidated FS'!G12*F3</f>
        <v>748.17809999999997</v>
      </c>
      <c r="G7" s="89">
        <f>'Consolidated FS'!H12*G3</f>
        <v>832.6848</v>
      </c>
      <c r="H7" s="13"/>
      <c r="I7" s="13"/>
      <c r="J7" s="13"/>
      <c r="K7" s="13"/>
    </row>
    <row r="8" spans="2:11" ht="14.25" customHeight="1" x14ac:dyDescent="0.35">
      <c r="B8" s="93" t="s">
        <v>170</v>
      </c>
      <c r="C8" s="89">
        <f>SUM(C5:C7)</f>
        <v>7174</v>
      </c>
      <c r="D8" s="89">
        <f>SUM(D5:D7)</f>
        <v>9665</v>
      </c>
      <c r="E8" s="89">
        <f>SUM(E5:E7)</f>
        <v>11917</v>
      </c>
      <c r="F8" s="89">
        <f>SUM(F5:F7)</f>
        <v>10348</v>
      </c>
      <c r="G8" s="89">
        <f>SUM(G5:G7)</f>
        <v>9280</v>
      </c>
      <c r="H8" s="13"/>
      <c r="I8" s="13"/>
      <c r="J8" s="13"/>
      <c r="K8" s="13"/>
    </row>
    <row r="9" spans="2:11" ht="14.25" customHeight="1" x14ac:dyDescent="0.35">
      <c r="B9" s="53" t="s">
        <v>171</v>
      </c>
      <c r="C9" s="89">
        <f>C3-C8</f>
        <v>1782</v>
      </c>
      <c r="D9" s="89">
        <f>D3-D8</f>
        <v>4516</v>
      </c>
      <c r="E9" s="89">
        <f>E3-E8</f>
        <v>2340</v>
      </c>
      <c r="F9" s="89">
        <f>F3-F8</f>
        <v>2801</v>
      </c>
      <c r="G9" s="89">
        <f>G3-G8</f>
        <v>7508</v>
      </c>
      <c r="H9" s="13"/>
      <c r="I9" s="13"/>
      <c r="J9" s="13"/>
      <c r="K9" s="13"/>
    </row>
    <row r="10" spans="2:11" ht="14.25" customHeight="1" x14ac:dyDescent="0.35">
      <c r="B10" s="53" t="s">
        <v>172</v>
      </c>
      <c r="C10" s="94">
        <f>'Consolidated FS'!D19</f>
        <v>606</v>
      </c>
      <c r="D10" s="94">
        <f>'Consolidated FS'!E19</f>
        <v>837</v>
      </c>
      <c r="E10" s="94">
        <f>'Consolidated FS'!F19</f>
        <v>716</v>
      </c>
      <c r="F10" s="94">
        <f>'Consolidated FS'!G19</f>
        <v>750</v>
      </c>
      <c r="G10" s="94">
        <f>'Consolidated FS'!H19</f>
        <v>728</v>
      </c>
      <c r="H10" s="13"/>
      <c r="I10" s="13"/>
      <c r="J10" s="13"/>
      <c r="K10" s="13"/>
    </row>
    <row r="11" spans="2:11" ht="14.25" customHeight="1" x14ac:dyDescent="0.35">
      <c r="B11" s="53" t="s">
        <v>173</v>
      </c>
      <c r="C11" s="89">
        <f>C9-C10</f>
        <v>1176</v>
      </c>
      <c r="D11" s="89">
        <f>D9-D10</f>
        <v>3679</v>
      </c>
      <c r="E11" s="89">
        <f>E9-E10</f>
        <v>1624</v>
      </c>
      <c r="F11" s="89">
        <f>F9-F10</f>
        <v>2051</v>
      </c>
      <c r="G11" s="89">
        <f>G9-G10</f>
        <v>6780</v>
      </c>
      <c r="H11" s="13"/>
      <c r="I11" s="13"/>
      <c r="J11" s="13"/>
      <c r="K11" s="13"/>
    </row>
    <row r="12" spans="2:11" ht="14.25" customHeight="1" x14ac:dyDescent="0.35">
      <c r="B12" s="53" t="s">
        <v>174</v>
      </c>
      <c r="C12" s="53">
        <f>'Consolidated FS'!D15</f>
        <v>147</v>
      </c>
      <c r="D12" s="94">
        <f>'Consolidated FS'!E15</f>
        <v>298</v>
      </c>
      <c r="E12" s="53">
        <f>'Consolidated FS'!F15</f>
        <v>234</v>
      </c>
      <c r="F12" s="53">
        <f>'Consolidated FS'!G15</f>
        <v>678</v>
      </c>
      <c r="G12" s="53">
        <f>'Consolidated FS'!H15</f>
        <v>357</v>
      </c>
      <c r="H12" s="13"/>
      <c r="I12" s="13"/>
      <c r="J12" s="95"/>
      <c r="K12" s="13"/>
    </row>
    <row r="13" spans="2:11" ht="14.25" customHeight="1" x14ac:dyDescent="0.35">
      <c r="B13" s="53" t="s">
        <v>175</v>
      </c>
      <c r="C13" s="53">
        <f>'Consolidated FS'!D18</f>
        <v>7</v>
      </c>
      <c r="D13" s="53">
        <f>'Consolidated FS'!E18</f>
        <v>23</v>
      </c>
      <c r="E13" s="53">
        <f>'Consolidated FS'!F18</f>
        <v>13</v>
      </c>
      <c r="F13" s="53">
        <f>'Consolidated FS'!G18</f>
        <v>17</v>
      </c>
      <c r="G13" s="53">
        <f>'Consolidated FS'!H18</f>
        <v>59</v>
      </c>
      <c r="H13" s="13"/>
      <c r="I13" s="13"/>
      <c r="J13" s="13"/>
      <c r="K13" s="13"/>
    </row>
    <row r="14" spans="2:11" ht="14.25" customHeight="1" x14ac:dyDescent="0.35">
      <c r="B14" s="53" t="s">
        <v>176</v>
      </c>
      <c r="C14" s="89">
        <f>C11+C12-C13</f>
        <v>1316</v>
      </c>
      <c r="D14" s="89">
        <f>D11+D12-D13</f>
        <v>3954</v>
      </c>
      <c r="E14" s="89">
        <f>E11+E12-E13</f>
        <v>1845</v>
      </c>
      <c r="F14" s="89">
        <f>F11+F12-F13</f>
        <v>2712</v>
      </c>
      <c r="G14" s="89">
        <f>G11+G12-G13</f>
        <v>7078</v>
      </c>
      <c r="H14" s="13"/>
      <c r="I14" s="13"/>
      <c r="J14" s="13"/>
      <c r="K14" s="13"/>
    </row>
    <row r="15" spans="2:11" ht="14.25" customHeight="1" x14ac:dyDescent="0.35">
      <c r="B15" s="53" t="s">
        <v>177</v>
      </c>
      <c r="C15" s="53">
        <f>C14*'Consolidated FS'!D21</f>
        <v>13.16</v>
      </c>
      <c r="D15" s="53">
        <f>D14*'Consolidated FS'!E21</f>
        <v>988.5</v>
      </c>
      <c r="E15" s="53">
        <f>E14*'Consolidated FS'!F21</f>
        <v>405.9</v>
      </c>
      <c r="F15" s="53">
        <f>F14*'Consolidated FS'!G21</f>
        <v>732.24</v>
      </c>
      <c r="G15" s="53">
        <f>G14*'Consolidated FS'!H21</f>
        <v>1840.28</v>
      </c>
      <c r="H15" s="13"/>
      <c r="I15" s="13"/>
      <c r="J15" s="13"/>
      <c r="K15" s="13"/>
    </row>
    <row r="16" spans="2:11" ht="14.25" customHeight="1" x14ac:dyDescent="0.35">
      <c r="B16" s="53" t="s">
        <v>178</v>
      </c>
      <c r="C16" s="53"/>
      <c r="D16" s="53">
        <v>0</v>
      </c>
      <c r="E16" s="53">
        <v>0</v>
      </c>
      <c r="F16" s="53">
        <v>0</v>
      </c>
      <c r="G16" s="53">
        <v>0</v>
      </c>
      <c r="H16" s="13"/>
      <c r="I16" s="13"/>
      <c r="J16" s="13"/>
      <c r="K16" s="13"/>
    </row>
    <row r="17" spans="2:11" ht="14.25" customHeight="1" x14ac:dyDescent="0.35">
      <c r="B17" s="93" t="s">
        <v>179</v>
      </c>
      <c r="C17" s="96">
        <f>C14-C15-C16</f>
        <v>1302.8399999999999</v>
      </c>
      <c r="D17" s="96">
        <f>D14-D15-D16</f>
        <v>2965.5</v>
      </c>
      <c r="E17" s="96">
        <f>E14-E15-E16</f>
        <v>1439.1</v>
      </c>
      <c r="F17" s="96">
        <f>F14-F15-F16</f>
        <v>1979.76</v>
      </c>
      <c r="G17" s="96">
        <f>G14-G15-G16</f>
        <v>5237.72</v>
      </c>
      <c r="H17" s="13"/>
      <c r="I17" s="13"/>
      <c r="J17" s="13"/>
      <c r="K17" s="13"/>
    </row>
    <row r="18" spans="2:11" ht="14.25" customHeight="1" x14ac:dyDescent="0.35"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2:11" ht="14.25" customHeight="1" x14ac:dyDescent="0.35">
      <c r="B19" s="224" t="s">
        <v>180</v>
      </c>
      <c r="C19" s="224"/>
      <c r="D19" s="224"/>
      <c r="E19" s="13"/>
      <c r="F19" s="13"/>
      <c r="G19" s="13"/>
      <c r="H19" s="13"/>
      <c r="I19" s="13"/>
      <c r="J19" s="13"/>
      <c r="K19" s="13"/>
    </row>
    <row r="20" spans="2:11" ht="14.25" customHeight="1" x14ac:dyDescent="0.35">
      <c r="B20" s="53" t="s">
        <v>181</v>
      </c>
      <c r="C20" s="43">
        <f>AVERAGE(D4:G4)</f>
        <v>0.19695048225655995</v>
      </c>
      <c r="D20" s="43"/>
      <c r="E20" s="92"/>
      <c r="F20" s="92"/>
      <c r="G20" s="92"/>
      <c r="H20" s="13"/>
      <c r="I20" s="13"/>
      <c r="J20" s="13"/>
      <c r="K20" s="13"/>
    </row>
    <row r="21" spans="2:11" ht="14.25" customHeight="1" x14ac:dyDescent="0.35">
      <c r="B21" s="53" t="s">
        <v>182</v>
      </c>
      <c r="C21" s="43">
        <f>(G3/C3)^(1/4)-1</f>
        <v>0.17009525694014971</v>
      </c>
      <c r="D21" s="43">
        <f>_xlfn.RRI(4,C3,G3)</f>
        <v>0.17009525694014971</v>
      </c>
      <c r="E21" s="92"/>
      <c r="F21" s="92"/>
      <c r="G21" s="92"/>
      <c r="H21" s="13"/>
      <c r="I21" s="13"/>
      <c r="J21" s="13"/>
      <c r="K21" s="13"/>
    </row>
    <row r="22" spans="2:11" ht="14.25" customHeight="1" x14ac:dyDescent="0.35">
      <c r="B22" s="98" t="s">
        <v>183</v>
      </c>
      <c r="C22" s="92"/>
      <c r="D22" s="92"/>
      <c r="E22" s="92"/>
      <c r="F22" s="92"/>
      <c r="G22" s="92"/>
      <c r="H22" s="13"/>
      <c r="I22" s="13"/>
      <c r="J22" s="13"/>
      <c r="K22" s="13"/>
    </row>
    <row r="23" spans="2:11" ht="14.25" customHeight="1" x14ac:dyDescent="0.35">
      <c r="B23" s="99" t="s">
        <v>184</v>
      </c>
      <c r="C23" s="100">
        <f>C9/C3</f>
        <v>0.19897275569450648</v>
      </c>
      <c r="D23" s="100">
        <f>D9/D3</f>
        <v>0.31845426979761654</v>
      </c>
      <c r="E23" s="100">
        <f>E9/E3</f>
        <v>0.16412990110121345</v>
      </c>
      <c r="F23" s="100">
        <f>F9/F3</f>
        <v>0.21302000152102821</v>
      </c>
      <c r="G23" s="100">
        <f>G9/G3</f>
        <v>0.44722420776745292</v>
      </c>
      <c r="H23" s="13"/>
      <c r="I23" s="13"/>
      <c r="J23" s="13"/>
      <c r="K23" s="13"/>
    </row>
    <row r="24" spans="2:11" ht="14.25" customHeight="1" x14ac:dyDescent="0.35">
      <c r="B24" s="99" t="s">
        <v>185</v>
      </c>
      <c r="C24" s="100">
        <f>C11/C3</f>
        <v>0.13130861991960696</v>
      </c>
      <c r="D24" s="100">
        <f>D11/D3</f>
        <v>0.25943163387631335</v>
      </c>
      <c r="E24" s="100">
        <f>E11/E3</f>
        <v>0.11390895700357719</v>
      </c>
      <c r="F24" s="100">
        <f>F11/F3</f>
        <v>0.15598144345577611</v>
      </c>
      <c r="G24" s="100">
        <f>G11/G3</f>
        <v>0.40385989992852039</v>
      </c>
      <c r="H24" s="13"/>
      <c r="I24" s="13"/>
      <c r="J24" s="13"/>
      <c r="K24" s="13"/>
    </row>
    <row r="25" spans="2:11" ht="14.25" customHeight="1" x14ac:dyDescent="0.35">
      <c r="B25" s="99" t="s">
        <v>186</v>
      </c>
      <c r="C25" s="100">
        <f>C14/C3</f>
        <v>0.14694059848146493</v>
      </c>
      <c r="D25" s="100">
        <f>D14/D3</f>
        <v>0.27882377829490163</v>
      </c>
      <c r="E25" s="100">
        <f>E14/E3</f>
        <v>0.1294101143298029</v>
      </c>
      <c r="F25" s="100">
        <f>F14/F3</f>
        <v>0.20625142596395163</v>
      </c>
      <c r="G25" s="100">
        <f>G14/G3</f>
        <v>0.42161067429116034</v>
      </c>
      <c r="H25" s="13"/>
      <c r="I25" s="13"/>
      <c r="J25" s="13"/>
      <c r="K25" s="13"/>
    </row>
    <row r="26" spans="2:11" ht="14.25" customHeight="1" x14ac:dyDescent="0.35">
      <c r="B26" s="99" t="s">
        <v>187</v>
      </c>
      <c r="C26" s="100">
        <f>C17/C3</f>
        <v>0.14547119249665028</v>
      </c>
      <c r="D26" s="100">
        <f>D17/D3</f>
        <v>0.20911783372117623</v>
      </c>
      <c r="E26" s="100">
        <f>E17/E3</f>
        <v>0.10093988917724626</v>
      </c>
      <c r="F26" s="100">
        <f>F17/F3</f>
        <v>0.15056354095368468</v>
      </c>
      <c r="G26" s="100">
        <f>G17/G3</f>
        <v>0.3119918989754587</v>
      </c>
      <c r="H26" s="13"/>
      <c r="I26" s="13"/>
      <c r="J26" s="13"/>
      <c r="K26" s="13"/>
    </row>
    <row r="27" spans="2:11" ht="14.25" customHeight="1" x14ac:dyDescent="0.35">
      <c r="B27" s="53"/>
      <c r="C27" s="43"/>
      <c r="D27" s="43"/>
      <c r="E27" s="43"/>
      <c r="F27" s="43"/>
      <c r="G27" s="43"/>
      <c r="H27" s="13"/>
      <c r="I27" s="13"/>
      <c r="J27" s="13"/>
      <c r="K27" s="13"/>
    </row>
    <row r="28" spans="2:11" ht="14.25" customHeight="1" x14ac:dyDescent="0.35">
      <c r="B28" s="98" t="s">
        <v>188</v>
      </c>
      <c r="C28" s="13"/>
      <c r="D28" s="13"/>
      <c r="E28" s="13"/>
      <c r="F28" s="13"/>
      <c r="G28" s="13"/>
      <c r="H28" s="13"/>
      <c r="I28" s="13"/>
      <c r="J28" s="13"/>
      <c r="K28" s="13"/>
    </row>
    <row r="29" spans="2:11" ht="14.25" customHeight="1" x14ac:dyDescent="0.35">
      <c r="B29" s="101" t="s">
        <v>189</v>
      </c>
      <c r="C29" s="102">
        <f>C15/C14</f>
        <v>0.01</v>
      </c>
      <c r="D29" s="102">
        <f>D15/D14</f>
        <v>0.25</v>
      </c>
      <c r="E29" s="102">
        <f>E15/E14</f>
        <v>0.22</v>
      </c>
      <c r="F29" s="102">
        <f>F15/F14</f>
        <v>0.27</v>
      </c>
      <c r="G29" s="102">
        <f>G15/G14</f>
        <v>0.26</v>
      </c>
      <c r="H29" s="13"/>
      <c r="I29" s="13"/>
      <c r="J29" s="13"/>
      <c r="K29" s="13"/>
    </row>
    <row r="30" spans="2:11" ht="14.25" customHeight="1" x14ac:dyDescent="0.35">
      <c r="B30" s="99" t="s">
        <v>190</v>
      </c>
      <c r="C30" s="43">
        <v>0.25</v>
      </c>
      <c r="D30" s="43">
        <v>0.25</v>
      </c>
      <c r="E30" s="43">
        <v>0.25</v>
      </c>
      <c r="F30" s="43">
        <v>0.25</v>
      </c>
      <c r="G30" s="43">
        <v>0.25</v>
      </c>
      <c r="H30" s="13"/>
      <c r="I30" s="13"/>
      <c r="J30" s="13"/>
      <c r="K30" s="13"/>
    </row>
    <row r="31" spans="2:11" ht="14.25" customHeight="1" x14ac:dyDescent="0.35">
      <c r="B31" s="99"/>
      <c r="C31" s="43"/>
      <c r="D31" s="43"/>
      <c r="E31" s="43"/>
      <c r="F31" s="43"/>
      <c r="G31" s="43"/>
      <c r="H31" s="13"/>
      <c r="I31" s="13"/>
      <c r="J31" s="13"/>
      <c r="K31" s="13"/>
    </row>
    <row r="32" spans="2:11" ht="14.25" customHeight="1" x14ac:dyDescent="0.35">
      <c r="B32" s="103" t="s">
        <v>191</v>
      </c>
      <c r="C32" s="43"/>
      <c r="D32" s="43"/>
      <c r="E32" s="43"/>
      <c r="F32" s="43"/>
      <c r="G32" s="43"/>
      <c r="H32" s="13"/>
      <c r="I32" s="13"/>
      <c r="J32" s="13"/>
      <c r="K32" s="13"/>
    </row>
    <row r="33" spans="2:11" ht="14.25" customHeight="1" x14ac:dyDescent="0.35">
      <c r="B33" s="104" t="s">
        <v>192</v>
      </c>
      <c r="C33" s="13">
        <f>C11*(1-C30)</f>
        <v>882</v>
      </c>
      <c r="D33" s="13">
        <f>D11*(1-D30)</f>
        <v>2759.25</v>
      </c>
      <c r="E33" s="13">
        <f>E11*(1-E30)</f>
        <v>1218</v>
      </c>
      <c r="F33" s="13">
        <f>F11*(1-F30)</f>
        <v>1538.25</v>
      </c>
      <c r="G33" s="13">
        <f>G11*(1-G30)</f>
        <v>5085</v>
      </c>
      <c r="H33" s="13"/>
      <c r="I33" s="13"/>
      <c r="J33" s="13"/>
      <c r="K33" s="13"/>
    </row>
    <row r="34" spans="2:11" ht="14.25" customHeight="1" x14ac:dyDescent="0.35">
      <c r="B34" s="101" t="s">
        <v>193</v>
      </c>
      <c r="C34" s="105">
        <f>'Consolidated FS'!R4+'Consolidated FS'!R5</f>
        <v>10679</v>
      </c>
      <c r="D34" s="105">
        <f>'Consolidated FS'!S4+'Consolidated FS'!S5</f>
        <v>12552</v>
      </c>
      <c r="E34" s="105">
        <f>'Consolidated FS'!T4+'Consolidated FS'!T5</f>
        <v>13126</v>
      </c>
      <c r="F34" s="105">
        <f>'Consolidated FS'!U4+'Consolidated FS'!U5</f>
        <v>14388</v>
      </c>
      <c r="G34" s="105">
        <f>'Consolidated FS'!V4+'Consolidated FS'!V5</f>
        <v>17805</v>
      </c>
      <c r="H34" s="13"/>
      <c r="I34" s="13"/>
      <c r="J34" s="13"/>
      <c r="K34" s="13"/>
    </row>
    <row r="35" spans="2:11" ht="14.25" customHeight="1" x14ac:dyDescent="0.35">
      <c r="B35" s="99" t="s">
        <v>194</v>
      </c>
      <c r="C35" s="89">
        <f>'Consolidated FS'!R6</f>
        <v>102</v>
      </c>
      <c r="D35" s="89">
        <f>'Consolidated FS'!S6</f>
        <v>77</v>
      </c>
      <c r="E35" s="89">
        <f>'Consolidated FS'!T6</f>
        <v>105</v>
      </c>
      <c r="F35" s="89">
        <f>'Consolidated FS'!U6</f>
        <v>96</v>
      </c>
      <c r="G35" s="89">
        <f>'Consolidated FS'!V6</f>
        <v>182</v>
      </c>
      <c r="H35" s="13"/>
      <c r="I35" s="13"/>
      <c r="J35" s="13"/>
      <c r="K35" s="13"/>
    </row>
    <row r="36" spans="2:11" ht="14.25" customHeight="1" x14ac:dyDescent="0.35">
      <c r="B36" s="99" t="s">
        <v>195</v>
      </c>
      <c r="C36" s="89">
        <f>'Consolidated FS'!R37</f>
        <v>1750</v>
      </c>
      <c r="D36" s="89">
        <f>'Consolidated FS'!S37</f>
        <v>3706</v>
      </c>
      <c r="E36" s="89">
        <f>'Consolidated FS'!T37</f>
        <v>2118</v>
      </c>
      <c r="F36" s="89">
        <f>'Consolidated FS'!U37</f>
        <v>2575</v>
      </c>
      <c r="G36" s="89">
        <f>'Consolidated FS'!V37</f>
        <v>5427</v>
      </c>
      <c r="H36" s="13"/>
      <c r="I36" s="13"/>
      <c r="J36" s="13"/>
      <c r="K36" s="13"/>
    </row>
    <row r="37" spans="2:11" ht="14.25" customHeight="1" x14ac:dyDescent="0.35">
      <c r="B37" s="99" t="s">
        <v>196</v>
      </c>
      <c r="C37" s="89">
        <f>C34+C35+C36</f>
        <v>12531</v>
      </c>
      <c r="D37" s="89">
        <f>D34+D35+D36</f>
        <v>16335</v>
      </c>
      <c r="E37" s="89">
        <f>E34+E35+E36</f>
        <v>15349</v>
      </c>
      <c r="F37" s="89">
        <f>F34+F35+F36</f>
        <v>17059</v>
      </c>
      <c r="G37" s="89">
        <f>G34+G35+G36</f>
        <v>23414</v>
      </c>
      <c r="H37" s="106"/>
      <c r="I37" s="13"/>
      <c r="J37" s="13"/>
      <c r="K37" s="13"/>
    </row>
    <row r="38" spans="2:11" ht="14.25" customHeight="1" x14ac:dyDescent="0.35">
      <c r="B38" s="99"/>
      <c r="C38" s="89"/>
      <c r="D38" s="89"/>
      <c r="E38" s="89"/>
      <c r="F38" s="89"/>
      <c r="G38" s="89"/>
      <c r="H38" s="106"/>
      <c r="I38" s="13"/>
      <c r="J38" s="13"/>
      <c r="K38" s="13"/>
    </row>
    <row r="39" spans="2:11" ht="14.25" customHeight="1" x14ac:dyDescent="0.35">
      <c r="B39" s="99" t="s">
        <v>197</v>
      </c>
      <c r="C39" s="89">
        <f>C11/C37</f>
        <v>9.3847258798180511E-2</v>
      </c>
      <c r="D39" s="89">
        <f>D11/D37</f>
        <v>0.22522191613100703</v>
      </c>
      <c r="E39" s="89">
        <f>E11/E37</f>
        <v>0.10580493843247117</v>
      </c>
      <c r="F39" s="89">
        <f>F11/F37</f>
        <v>0.12022979072630283</v>
      </c>
      <c r="G39" s="89">
        <f>G11/G37</f>
        <v>0.28957034253011021</v>
      </c>
      <c r="H39" s="106"/>
      <c r="I39" s="13"/>
      <c r="J39" s="13"/>
      <c r="K39" s="13"/>
    </row>
    <row r="40" spans="2:11" ht="14.25" customHeight="1" x14ac:dyDescent="0.35">
      <c r="B40" s="104" t="s">
        <v>198</v>
      </c>
      <c r="C40" s="102">
        <f>C33/C37</f>
        <v>7.0385444098635383E-2</v>
      </c>
      <c r="D40" s="102">
        <f>D33/D37</f>
        <v>0.16891643709825527</v>
      </c>
      <c r="E40" s="102">
        <f>E33/E37</f>
        <v>7.9353703824353375E-2</v>
      </c>
      <c r="F40" s="102">
        <f>F33/F37</f>
        <v>9.0172343044727127E-2</v>
      </c>
      <c r="G40" s="102">
        <f>G33/G37</f>
        <v>0.21717775689758265</v>
      </c>
      <c r="H40" s="106"/>
      <c r="I40" s="13"/>
      <c r="J40" s="13"/>
      <c r="K40" s="13"/>
    </row>
    <row r="41" spans="2:11" ht="14.25" customHeight="1" x14ac:dyDescent="0.35"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spans="2:11" ht="14.25" customHeight="1" x14ac:dyDescent="0.35">
      <c r="B42" s="98" t="s">
        <v>199</v>
      </c>
      <c r="C42" s="13"/>
      <c r="D42" s="13"/>
      <c r="E42" s="13"/>
      <c r="F42" s="13"/>
      <c r="G42" s="13"/>
      <c r="H42" s="13"/>
      <c r="I42" s="13"/>
      <c r="J42" s="13"/>
      <c r="K42" s="13"/>
    </row>
    <row r="43" spans="2:11" ht="14.25" customHeight="1" x14ac:dyDescent="0.35">
      <c r="B43" s="104" t="s">
        <v>200</v>
      </c>
      <c r="C43" s="107">
        <f>AVERAGE(D4:G4)</f>
        <v>0.19695048225655995</v>
      </c>
      <c r="D43" s="13"/>
      <c r="E43" s="13"/>
      <c r="F43" s="13"/>
      <c r="G43" s="13"/>
      <c r="H43" s="13"/>
      <c r="I43" s="13"/>
      <c r="J43" s="13"/>
      <c r="K43" s="13"/>
    </row>
    <row r="44" spans="2:11" ht="14.25" customHeight="1" x14ac:dyDescent="0.35">
      <c r="B44" s="104" t="s">
        <v>201</v>
      </c>
      <c r="C44" s="106">
        <f>(G3/C3)^(1/4)-1</f>
        <v>0.17009525694014971</v>
      </c>
      <c r="D44" s="13"/>
      <c r="E44" s="13"/>
      <c r="F44" s="13"/>
      <c r="G44" s="13"/>
      <c r="H44" s="13"/>
      <c r="I44" s="13"/>
      <c r="J44" s="13"/>
      <c r="K44" s="13"/>
    </row>
    <row r="45" spans="2:11" ht="14.25" customHeight="1" x14ac:dyDescent="0.35"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spans="2:11" ht="14.25" customHeight="1" x14ac:dyDescent="0.35">
      <c r="B46" s="13" t="s">
        <v>202</v>
      </c>
      <c r="C46" s="108">
        <f>FCFF!C13*G40</f>
        <v>1.4469380710728395E-2</v>
      </c>
      <c r="D46" s="13"/>
      <c r="E46" s="13"/>
      <c r="F46" s="13"/>
      <c r="G46" s="13"/>
      <c r="H46" s="13"/>
      <c r="I46" s="13"/>
      <c r="J46" s="13"/>
      <c r="K46" s="13"/>
    </row>
  </sheetData>
  <mergeCells count="1">
    <mergeCell ref="B19:D1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22"/>
  <sheetViews>
    <sheetView topLeftCell="A3" zoomScaleNormal="100" workbookViewId="0">
      <selection activeCell="A2" sqref="A2"/>
    </sheetView>
  </sheetViews>
  <sheetFormatPr defaultColWidth="8.54296875" defaultRowHeight="14.5" x14ac:dyDescent="0.35"/>
  <cols>
    <col min="2" max="2" width="17.26953125" customWidth="1"/>
  </cols>
  <sheetData>
    <row r="2" spans="2:10" ht="16.5" customHeight="1" x14ac:dyDescent="0.35">
      <c r="B2" s="225" t="s">
        <v>203</v>
      </c>
      <c r="C2" s="225"/>
      <c r="D2" s="225"/>
      <c r="E2" s="225"/>
      <c r="F2" s="225"/>
      <c r="G2" s="225"/>
      <c r="H2" s="225"/>
      <c r="I2" s="225"/>
      <c r="J2" s="225"/>
    </row>
    <row r="3" spans="2:10" ht="27.75" customHeight="1" x14ac:dyDescent="0.35">
      <c r="B3" s="109" t="s">
        <v>39</v>
      </c>
      <c r="C3" s="110">
        <v>2021</v>
      </c>
      <c r="D3" s="110">
        <v>2022</v>
      </c>
      <c r="E3" s="110">
        <v>2023</v>
      </c>
      <c r="F3" s="110">
        <v>2024</v>
      </c>
      <c r="G3" s="110">
        <v>2025</v>
      </c>
      <c r="H3" s="109" t="s">
        <v>204</v>
      </c>
      <c r="I3" s="109" t="s">
        <v>205</v>
      </c>
      <c r="J3" s="109" t="s">
        <v>206</v>
      </c>
    </row>
    <row r="4" spans="2:10" ht="14.25" customHeight="1" x14ac:dyDescent="0.35">
      <c r="B4" s="226" t="s">
        <v>207</v>
      </c>
      <c r="C4" s="226"/>
      <c r="D4" s="226"/>
      <c r="E4" s="226"/>
      <c r="F4" s="226"/>
      <c r="G4" s="226"/>
      <c r="H4" s="226"/>
      <c r="I4" s="226"/>
      <c r="J4" s="226"/>
    </row>
    <row r="5" spans="2:10" ht="14.25" customHeight="1" x14ac:dyDescent="0.35">
      <c r="B5" s="99" t="s">
        <v>208</v>
      </c>
      <c r="C5" s="27"/>
      <c r="D5" s="111">
        <f>(Assumptions!D3-Assumptions!C3)/ABS(Assumptions!C3)</f>
        <v>0.58340777132648503</v>
      </c>
      <c r="E5" s="111">
        <f>(Assumptions!E3-Assumptions!D3)/ABS(Assumptions!D3)</f>
        <v>5.3592835484098439E-3</v>
      </c>
      <c r="F5" s="111">
        <f>(Assumptions!F3-Assumptions!E3)/ABS(Assumptions!E3)</f>
        <v>-7.7716209581258328E-2</v>
      </c>
      <c r="G5" s="111">
        <f>(Assumptions!G3-Assumptions!F3)/ABS(Assumptions!F3)</f>
        <v>0.27675108373260326</v>
      </c>
      <c r="H5" s="27"/>
      <c r="I5" s="112">
        <f>AVERAGE(D5:G5)</f>
        <v>0.19695048225655995</v>
      </c>
      <c r="J5" s="112">
        <f>MEDIAN(D5:G5)</f>
        <v>0.14105518364050654</v>
      </c>
    </row>
    <row r="6" spans="2:10" ht="14.25" customHeight="1" x14ac:dyDescent="0.35">
      <c r="B6" s="99" t="s">
        <v>209</v>
      </c>
      <c r="C6" s="27"/>
      <c r="D6" s="111">
        <f>(Assumptions!D9-Assumptions!C9)/ABS(Assumptions!C9)</f>
        <v>1.5342312008978676</v>
      </c>
      <c r="E6" s="111">
        <f>(Assumptions!E9-Assumptions!D9)/ABS(Assumptions!D9)</f>
        <v>-0.48184233835252438</v>
      </c>
      <c r="F6" s="111">
        <f>(Assumptions!F9-Assumptions!E9)/ABS(Assumptions!E9)</f>
        <v>0.197008547008547</v>
      </c>
      <c r="G6" s="111">
        <f>(Assumptions!G9-Assumptions!F9)/ABS(Assumptions!F9)</f>
        <v>1.6804712602641914</v>
      </c>
      <c r="H6" s="27"/>
      <c r="I6" s="112">
        <f>AVERAGE(D6:G6)</f>
        <v>0.73246716745452045</v>
      </c>
      <c r="J6" s="112">
        <f>MEDIAN(D6:G6)</f>
        <v>0.86561987395320728</v>
      </c>
    </row>
    <row r="7" spans="2:10" ht="14.25" customHeight="1" x14ac:dyDescent="0.35">
      <c r="B7" s="99" t="s">
        <v>210</v>
      </c>
      <c r="C7" s="27"/>
      <c r="D7" s="111">
        <f>(Assumptions!D11-Assumptions!C11)/ABS(Assumptions!C11)</f>
        <v>2.1284013605442178</v>
      </c>
      <c r="E7" s="111">
        <f>(Assumptions!E11-Assumptions!D11)/ABS(Assumptions!D11)</f>
        <v>-0.55857569991845613</v>
      </c>
      <c r="F7" s="111">
        <f>(Assumptions!F11-Assumptions!E11)/ABS(Assumptions!E11)</f>
        <v>0.26293103448275862</v>
      </c>
      <c r="G7" s="111">
        <f>(Assumptions!G11-Assumptions!F11)/ABS(Assumptions!F11)</f>
        <v>2.3057045343734766</v>
      </c>
      <c r="H7" s="27"/>
      <c r="I7" s="112">
        <f>AVERAGE(D7:G7)</f>
        <v>1.0346153073704993</v>
      </c>
      <c r="J7" s="112">
        <f>MEDIAN(D7:G7)</f>
        <v>1.1956661975134881</v>
      </c>
    </row>
    <row r="8" spans="2:10" ht="14.25" customHeight="1" x14ac:dyDescent="0.35">
      <c r="B8" s="99" t="s">
        <v>211</v>
      </c>
      <c r="C8" s="27"/>
      <c r="D8" s="111">
        <f>(Assumptions!D17-Assumptions!C17)/ABS(Assumptions!C17)</f>
        <v>1.2761812655429678</v>
      </c>
      <c r="E8" s="111">
        <f>(Assumptions!E17-Assumptions!D17)/ABS(Assumptions!D17)</f>
        <v>-0.51471927162367226</v>
      </c>
      <c r="F8" s="111">
        <f>(Assumptions!F17-Assumptions!E17)/ABS(Assumptions!E17)</f>
        <v>0.37569314154680017</v>
      </c>
      <c r="G8" s="111">
        <f>(Assumptions!G17-Assumptions!F17)/ABS(Assumptions!F17)</f>
        <v>1.6456338141997009</v>
      </c>
      <c r="H8" s="27"/>
      <c r="I8" s="112">
        <f>AVERAGE(D8:G8)</f>
        <v>0.69569723741644918</v>
      </c>
      <c r="J8" s="112">
        <f>MEDIAN(D8:G8)</f>
        <v>0.82593720354488398</v>
      </c>
    </row>
    <row r="9" spans="2:10" ht="14.25" customHeight="1" x14ac:dyDescent="0.35">
      <c r="B9" s="34"/>
      <c r="C9" s="34"/>
      <c r="D9" s="34"/>
      <c r="E9" s="34"/>
      <c r="F9" s="34"/>
      <c r="G9" s="34"/>
      <c r="H9" s="34"/>
      <c r="I9" s="113"/>
      <c r="J9" s="113"/>
    </row>
    <row r="10" spans="2:10" ht="14.25" customHeight="1" x14ac:dyDescent="0.35">
      <c r="B10" s="227" t="s">
        <v>212</v>
      </c>
      <c r="C10" s="227"/>
      <c r="D10" s="227"/>
      <c r="E10" s="227"/>
      <c r="F10" s="227"/>
      <c r="G10" s="227"/>
      <c r="H10" s="227"/>
      <c r="I10" s="227"/>
      <c r="J10" s="227"/>
    </row>
    <row r="11" spans="2:10" ht="14.25" customHeight="1" x14ac:dyDescent="0.35">
      <c r="B11" s="99" t="s">
        <v>184</v>
      </c>
      <c r="C11" s="111">
        <f>(Assumptions!C9/Assumptions!C3)</f>
        <v>0.19897275569450648</v>
      </c>
      <c r="D11" s="111">
        <f>(Assumptions!D9/Assumptions!D3)</f>
        <v>0.31845426979761654</v>
      </c>
      <c r="E11" s="111">
        <f>(Assumptions!E9/Assumptions!E3)</f>
        <v>0.16412990110121345</v>
      </c>
      <c r="F11" s="111">
        <f>(Assumptions!F9/Assumptions!F3)</f>
        <v>0.21302000152102821</v>
      </c>
      <c r="G11" s="111">
        <f>(Assumptions!G9/Assumptions!G3)</f>
        <v>0.44722420776745292</v>
      </c>
      <c r="H11" s="27"/>
      <c r="I11" s="112">
        <f>(AVERAGE(C11:G11))</f>
        <v>0.26836022717636354</v>
      </c>
      <c r="J11" s="112">
        <f>(MEDIAN(C11:G11))</f>
        <v>0.21302000152102821</v>
      </c>
    </row>
    <row r="12" spans="2:10" ht="14.25" customHeight="1" x14ac:dyDescent="0.35">
      <c r="B12" s="99" t="s">
        <v>185</v>
      </c>
      <c r="C12" s="111">
        <f>(Assumptions!C11/Assumptions!C3)</f>
        <v>0.13130861991960696</v>
      </c>
      <c r="D12" s="111">
        <f>(Assumptions!D11/Assumptions!D3)</f>
        <v>0.25943163387631335</v>
      </c>
      <c r="E12" s="111">
        <f>(Assumptions!E11/Assumptions!E3)</f>
        <v>0.11390895700357719</v>
      </c>
      <c r="F12" s="111">
        <f>(Assumptions!F11/Assumptions!F3)</f>
        <v>0.15598144345577611</v>
      </c>
      <c r="G12" s="111">
        <f>(Assumptions!G11/Assumptions!G3)</f>
        <v>0.40385989992852039</v>
      </c>
      <c r="H12" s="27"/>
      <c r="I12" s="112">
        <f>(AVERAGE(C12:G12))</f>
        <v>0.21289811083675883</v>
      </c>
      <c r="J12" s="112">
        <f>(MEDIAN(C12:G12))</f>
        <v>0.15598144345577611</v>
      </c>
    </row>
    <row r="13" spans="2:10" ht="14.25" customHeight="1" x14ac:dyDescent="0.35">
      <c r="B13" s="99" t="s">
        <v>186</v>
      </c>
      <c r="C13" s="111">
        <f>(Assumptions!C14/Assumptions!C3)</f>
        <v>0.14694059848146493</v>
      </c>
      <c r="D13" s="111">
        <f>(Assumptions!D14/Assumptions!D3)</f>
        <v>0.27882377829490163</v>
      </c>
      <c r="E13" s="111">
        <f>(Assumptions!E14/Assumptions!E3)</f>
        <v>0.1294101143298029</v>
      </c>
      <c r="F13" s="111">
        <f>(Assumptions!F14/Assumptions!F3)</f>
        <v>0.20625142596395163</v>
      </c>
      <c r="G13" s="111">
        <f>(Assumptions!G14/Assumptions!G3)</f>
        <v>0.42161067429116034</v>
      </c>
      <c r="H13" s="27"/>
      <c r="I13" s="112">
        <f>(AVERAGE(C13:G13))</f>
        <v>0.23660731827225628</v>
      </c>
      <c r="J13" s="112">
        <f>(MEDIAN(C13:G13))</f>
        <v>0.20625142596395163</v>
      </c>
    </row>
    <row r="14" spans="2:10" ht="14.25" customHeight="1" x14ac:dyDescent="0.35">
      <c r="B14" s="99" t="s">
        <v>187</v>
      </c>
      <c r="C14" s="111">
        <f>(Assumptions!C17/Assumptions!C3)</f>
        <v>0.14547119249665028</v>
      </c>
      <c r="D14" s="111">
        <f>(Assumptions!D17/Assumptions!D3)</f>
        <v>0.20911783372117623</v>
      </c>
      <c r="E14" s="111">
        <f>(Assumptions!E17/Assumptions!E3)</f>
        <v>0.10093988917724626</v>
      </c>
      <c r="F14" s="111">
        <f>(Assumptions!F17/Assumptions!F3)</f>
        <v>0.15056354095368468</v>
      </c>
      <c r="G14" s="111">
        <f>(Assumptions!G17/Assumptions!G3)</f>
        <v>0.3119918989754587</v>
      </c>
      <c r="H14" s="27"/>
      <c r="I14" s="112">
        <f>(AVERAGE(C14:G14))</f>
        <v>0.18361687106484323</v>
      </c>
      <c r="J14" s="112">
        <f>(MEDIAN(C14:G14))</f>
        <v>0.15056354095368468</v>
      </c>
    </row>
    <row r="15" spans="2:10" ht="14.25" customHeight="1" x14ac:dyDescent="0.35">
      <c r="B15" s="34"/>
      <c r="C15" s="34"/>
      <c r="D15" s="34"/>
      <c r="E15" s="34"/>
      <c r="F15" s="34"/>
      <c r="G15" s="34"/>
      <c r="H15" s="34"/>
      <c r="I15" s="113"/>
      <c r="J15" s="113"/>
    </row>
    <row r="16" spans="2:10" ht="14.25" customHeight="1" x14ac:dyDescent="0.35">
      <c r="B16" s="227" t="s">
        <v>213</v>
      </c>
      <c r="C16" s="227"/>
      <c r="D16" s="227"/>
      <c r="E16" s="227"/>
      <c r="F16" s="227"/>
      <c r="G16" s="227"/>
      <c r="H16" s="227"/>
      <c r="I16" s="227"/>
      <c r="J16" s="227"/>
    </row>
    <row r="17" spans="2:10" ht="14.25" customHeight="1" x14ac:dyDescent="0.35">
      <c r="B17" s="99" t="s">
        <v>214</v>
      </c>
      <c r="C17" s="114">
        <f>Assumptions!C39</f>
        <v>9.3847258798180511E-2</v>
      </c>
      <c r="D17" s="114">
        <f>Assumptions!D39</f>
        <v>0.22522191613100703</v>
      </c>
      <c r="E17" s="114">
        <f>Assumptions!E39</f>
        <v>0.10580493843247117</v>
      </c>
      <c r="F17" s="114">
        <f>Assumptions!F39</f>
        <v>0.12022979072630283</v>
      </c>
      <c r="G17" s="114">
        <f>Assumptions!G39</f>
        <v>0.28957034253011021</v>
      </c>
      <c r="H17" s="27"/>
      <c r="I17" s="112">
        <f>(AVERAGE(C17:G17))</f>
        <v>0.16693484932361433</v>
      </c>
      <c r="J17" s="112">
        <f>(MEDIAN(C17:G17))</f>
        <v>0.12022979072630283</v>
      </c>
    </row>
    <row r="18" spans="2:10" ht="14.25" customHeight="1" x14ac:dyDescent="0.35">
      <c r="B18" s="99" t="s">
        <v>215</v>
      </c>
      <c r="C18" s="114">
        <f>Assumptions!C40</f>
        <v>7.0385444098635383E-2</v>
      </c>
      <c r="D18" s="114">
        <f>Assumptions!D40</f>
        <v>0.16891643709825527</v>
      </c>
      <c r="E18" s="114">
        <f>Assumptions!E40</f>
        <v>7.9353703824353375E-2</v>
      </c>
      <c r="F18" s="114">
        <f>Assumptions!F40</f>
        <v>9.0172343044727127E-2</v>
      </c>
      <c r="G18" s="114">
        <f>Assumptions!G40</f>
        <v>0.21717775689758265</v>
      </c>
      <c r="H18" s="27"/>
      <c r="I18" s="112">
        <f>(AVERAGE(C18:G18))</f>
        <v>0.12520113699271077</v>
      </c>
      <c r="J18" s="112">
        <f>(MEDIAN(C18:G18))</f>
        <v>9.0172343044727127E-2</v>
      </c>
    </row>
    <row r="19" spans="2:10" ht="14.25" customHeight="1" x14ac:dyDescent="0.35">
      <c r="B19" s="34"/>
      <c r="C19" s="34"/>
      <c r="D19" s="34"/>
      <c r="E19" s="34"/>
      <c r="F19" s="34"/>
      <c r="G19" s="34"/>
      <c r="H19" s="34"/>
      <c r="I19" s="34"/>
      <c r="J19" s="34"/>
    </row>
    <row r="20" spans="2:10" ht="14.25" customHeight="1" x14ac:dyDescent="0.35">
      <c r="B20" s="227" t="s">
        <v>216</v>
      </c>
      <c r="C20" s="227"/>
      <c r="D20" s="227"/>
      <c r="E20" s="227"/>
      <c r="F20" s="227"/>
      <c r="G20" s="227"/>
      <c r="H20" s="227"/>
      <c r="I20" s="227"/>
      <c r="J20" s="227"/>
    </row>
    <row r="21" spans="2:10" ht="14.25" customHeight="1" x14ac:dyDescent="0.35">
      <c r="B21" s="99" t="s">
        <v>217</v>
      </c>
      <c r="C21" s="27"/>
      <c r="D21" s="53">
        <f>('Consolidated FS'!E22*'Consolidated FS'!E30-'Consolidated FS'!D22*'Consolidated FS'!D30)/ABS('Consolidated FS'!D22*'Consolidated FS'!D30)</f>
        <v>0.85448775353097373</v>
      </c>
      <c r="E21" s="111">
        <f>('Consolidated FS'!F22*'Consolidated FS'!F30-'Consolidated FS'!E22*'Consolidated FS'!E30)/ABS('Consolidated FS'!E22*'Consolidated FS'!E30)</f>
        <v>-0.29490003388681812</v>
      </c>
      <c r="F21" s="111">
        <f>('Consolidated FS'!G22*'Consolidated FS'!G30-'Consolidated FS'!F22*'Consolidated FS'!F30)/ABS('Consolidated FS'!F22*'Consolidated FS'!F30)</f>
        <v>9.8738435660218754E-2</v>
      </c>
      <c r="G21" s="111">
        <f>('Consolidated FS'!H22*'Consolidated FS'!H30-'Consolidated FS'!G22*'Consolidated FS'!G30)/ABS('Consolidated FS'!G22*'Consolidated FS'!G30)</f>
        <v>1.1314408188259995</v>
      </c>
      <c r="H21" s="27"/>
      <c r="I21" s="112">
        <f>(AVERAGE(D21:G21))</f>
        <v>0.44744174353259347</v>
      </c>
      <c r="J21" s="112">
        <f>(MEDIAN(D21:G21))</f>
        <v>0.4766130945955962</v>
      </c>
    </row>
    <row r="22" spans="2:10" ht="14.25" customHeight="1" x14ac:dyDescent="0.35">
      <c r="B22" s="99" t="s">
        <v>218</v>
      </c>
      <c r="C22" s="27"/>
      <c r="D22" s="53">
        <f>('Consolidated FS'!E29-'Consolidated FS'!D29)/ABS('Consolidated FS'!D29)</f>
        <v>1.272984441301273</v>
      </c>
      <c r="E22" s="111">
        <f>('Consolidated FS'!F29-'Consolidated FS'!E29)/ABS('Consolidated FS'!E29)</f>
        <v>-0.51400124455507168</v>
      </c>
      <c r="F22" s="111">
        <f>('Consolidated FS'!G29-'Consolidated FS'!F29)/ABS('Consolidated FS'!F29)</f>
        <v>0.38668373879641493</v>
      </c>
      <c r="G22" s="111">
        <f>('Consolidated FS'!H29-'Consolidated FS'!G29)/ABS('Consolidated FS'!G29)</f>
        <v>1.6481994459833795</v>
      </c>
      <c r="H22" s="27"/>
      <c r="I22" s="112">
        <f>(AVERAGE(D22:G22))</f>
        <v>0.69846659538149891</v>
      </c>
      <c r="J22" s="112">
        <f>(MEDIAN(D22:G22))</f>
        <v>0.8298340900488439</v>
      </c>
    </row>
  </sheetData>
  <mergeCells count="5">
    <mergeCell ref="B2:J2"/>
    <mergeCell ref="B4:J4"/>
    <mergeCell ref="B10:J10"/>
    <mergeCell ref="B16:J16"/>
    <mergeCell ref="B20:J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14"/>
  <sheetViews>
    <sheetView zoomScaleNormal="100" workbookViewId="0">
      <selection activeCell="I5" sqref="I5"/>
    </sheetView>
  </sheetViews>
  <sheetFormatPr defaultColWidth="8.54296875" defaultRowHeight="14.5" x14ac:dyDescent="0.35"/>
  <cols>
    <col min="2" max="2" width="35.453125" customWidth="1"/>
  </cols>
  <sheetData>
    <row r="2" spans="2:7" ht="14.25" customHeight="1" x14ac:dyDescent="0.35">
      <c r="B2" s="115" t="s">
        <v>39</v>
      </c>
      <c r="C2" s="116">
        <v>2021</v>
      </c>
      <c r="D2" s="116">
        <v>2022</v>
      </c>
      <c r="E2" s="116">
        <v>2023</v>
      </c>
      <c r="F2" s="116">
        <v>2024</v>
      </c>
      <c r="G2" s="116">
        <v>2025</v>
      </c>
    </row>
    <row r="3" spans="2:7" ht="14.25" customHeight="1" x14ac:dyDescent="0.35">
      <c r="B3" s="99" t="s">
        <v>219</v>
      </c>
      <c r="C3" s="53"/>
      <c r="D3" s="89">
        <f>C7</f>
        <v>7660</v>
      </c>
      <c r="E3" s="89">
        <f>D7</f>
        <v>7343</v>
      </c>
      <c r="F3" s="89">
        <f>E7</f>
        <v>7303</v>
      </c>
      <c r="G3" s="89">
        <f>F7</f>
        <v>7383</v>
      </c>
    </row>
    <row r="4" spans="2:7" ht="14.25" customHeight="1" x14ac:dyDescent="0.35">
      <c r="B4" s="99" t="s">
        <v>220</v>
      </c>
      <c r="C4" s="53"/>
      <c r="D4" s="89">
        <f>D5-D3</f>
        <v>520</v>
      </c>
      <c r="E4" s="53">
        <f>E5-E3</f>
        <v>676</v>
      </c>
      <c r="F4" s="53">
        <f>F5-F3</f>
        <v>830</v>
      </c>
      <c r="G4" s="53">
        <f>G5-G3</f>
        <v>1093</v>
      </c>
    </row>
    <row r="5" spans="2:7" ht="14.25" customHeight="1" x14ac:dyDescent="0.35">
      <c r="B5" s="99" t="s">
        <v>221</v>
      </c>
      <c r="C5" s="89"/>
      <c r="D5" s="53">
        <f>D6+D7</f>
        <v>8180</v>
      </c>
      <c r="E5" s="53">
        <f>E6+E7</f>
        <v>8019</v>
      </c>
      <c r="F5" s="53">
        <f>F6+F7</f>
        <v>8133</v>
      </c>
      <c r="G5" s="53">
        <f>G6+G7</f>
        <v>8476</v>
      </c>
    </row>
    <row r="6" spans="2:7" ht="14.25" customHeight="1" x14ac:dyDescent="0.35">
      <c r="B6" s="99" t="s">
        <v>222</v>
      </c>
      <c r="C6" s="94">
        <f>'Consolidated FS'!D19</f>
        <v>606</v>
      </c>
      <c r="D6" s="94">
        <f>'Consolidated FS'!E19</f>
        <v>837</v>
      </c>
      <c r="E6" s="94">
        <f>'Consolidated FS'!F19</f>
        <v>716</v>
      </c>
      <c r="F6" s="94">
        <f>'Consolidated FS'!G19</f>
        <v>750</v>
      </c>
      <c r="G6" s="94">
        <f>'Consolidated FS'!H19</f>
        <v>728</v>
      </c>
    </row>
    <row r="7" spans="2:7" ht="14.25" customHeight="1" x14ac:dyDescent="0.35">
      <c r="B7" s="99" t="s">
        <v>223</v>
      </c>
      <c r="C7" s="89">
        <f>'Consolidated FS'!R17</f>
        <v>7660</v>
      </c>
      <c r="D7" s="89">
        <f>'Consolidated FS'!S17</f>
        <v>7343</v>
      </c>
      <c r="E7" s="89">
        <f>'Consolidated FS'!T17</f>
        <v>7303</v>
      </c>
      <c r="F7" s="89">
        <f>'Consolidated FS'!U17</f>
        <v>7383</v>
      </c>
      <c r="G7" s="89">
        <f>'Consolidated FS'!V17</f>
        <v>7748</v>
      </c>
    </row>
    <row r="8" spans="2:7" ht="14.25" customHeight="1" x14ac:dyDescent="0.35">
      <c r="B8" s="53"/>
      <c r="C8" s="53"/>
      <c r="D8" s="53"/>
      <c r="E8" s="53"/>
      <c r="F8" s="53"/>
      <c r="G8" s="53"/>
    </row>
    <row r="9" spans="2:7" ht="14.25" customHeight="1" x14ac:dyDescent="0.35">
      <c r="B9" s="99" t="s">
        <v>224</v>
      </c>
      <c r="C9" s="53"/>
      <c r="D9" s="89">
        <f>D4-D6</f>
        <v>-317</v>
      </c>
      <c r="E9" s="53">
        <f>E4-E6</f>
        <v>-40</v>
      </c>
      <c r="F9" s="53">
        <f>F4-F6</f>
        <v>80</v>
      </c>
      <c r="G9" s="53">
        <f>G4-G6</f>
        <v>365</v>
      </c>
    </row>
    <row r="10" spans="2:7" ht="14.25" customHeight="1" x14ac:dyDescent="0.35">
      <c r="B10" s="99" t="s">
        <v>225</v>
      </c>
      <c r="C10" s="53"/>
      <c r="D10" s="91">
        <f>D9/'Consolidated FS'!E4</f>
        <v>-2.2353853747972639E-2</v>
      </c>
      <c r="E10" s="91">
        <f>E9/'Consolidated FS'!F4</f>
        <v>-2.8056393350634778E-3</v>
      </c>
      <c r="F10" s="91">
        <f>F9/'Consolidated FS'!G4</f>
        <v>6.0841128602935586E-3</v>
      </c>
      <c r="G10" s="91">
        <f>G9/'Consolidated FS'!H4</f>
        <v>2.1741720276387898E-2</v>
      </c>
    </row>
    <row r="11" spans="2:7" ht="14.25" customHeight="1" x14ac:dyDescent="0.35">
      <c r="B11" s="13"/>
      <c r="C11" s="13"/>
      <c r="D11" s="13"/>
      <c r="E11" s="13"/>
      <c r="F11" s="13"/>
      <c r="G11" s="13"/>
    </row>
    <row r="12" spans="2:7" ht="14.25" customHeight="1" x14ac:dyDescent="0.35">
      <c r="B12" s="53" t="s">
        <v>226</v>
      </c>
      <c r="C12" s="43">
        <f>MEDIAN(D10:G10)</f>
        <v>1.6392367626150406E-3</v>
      </c>
      <c r="D12" s="13"/>
      <c r="E12" s="13"/>
      <c r="F12" s="13"/>
      <c r="G12" s="13"/>
    </row>
    <row r="13" spans="2:7" ht="14.25" customHeight="1" x14ac:dyDescent="0.35">
      <c r="B13" s="53" t="s">
        <v>227</v>
      </c>
      <c r="C13" s="43">
        <f>AVERAGE(D10:G10)</f>
        <v>6.6658501341133446E-4</v>
      </c>
      <c r="D13" s="13"/>
      <c r="E13" s="13"/>
      <c r="F13" s="13"/>
      <c r="G13" s="13"/>
    </row>
    <row r="14" spans="2:7" ht="14.25" customHeight="1" x14ac:dyDescent="0.35">
      <c r="B14" s="13"/>
      <c r="C14" s="13"/>
      <c r="D14" s="13"/>
      <c r="E14" s="13"/>
      <c r="F14" s="13"/>
      <c r="G14" s="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14"/>
  <sheetViews>
    <sheetView zoomScaleNormal="100" workbookViewId="0">
      <selection activeCell="C4" sqref="C4"/>
    </sheetView>
  </sheetViews>
  <sheetFormatPr defaultColWidth="8.54296875" defaultRowHeight="14.5" x14ac:dyDescent="0.35"/>
  <cols>
    <col min="2" max="2" width="34.36328125" customWidth="1"/>
  </cols>
  <sheetData>
    <row r="2" spans="2:7" ht="25.5" customHeight="1" x14ac:dyDescent="0.35">
      <c r="B2" s="115" t="s">
        <v>39</v>
      </c>
      <c r="C2" s="116">
        <v>2021</v>
      </c>
      <c r="D2" s="116">
        <v>2022</v>
      </c>
      <c r="E2" s="116">
        <v>2023</v>
      </c>
      <c r="F2" s="116">
        <v>2024</v>
      </c>
      <c r="G2" s="116">
        <v>2025</v>
      </c>
    </row>
    <row r="3" spans="2:7" ht="14.25" customHeight="1" x14ac:dyDescent="0.35">
      <c r="B3" s="99" t="s">
        <v>173</v>
      </c>
      <c r="C3" s="89">
        <f>Assumptions!C11</f>
        <v>1176</v>
      </c>
      <c r="D3" s="89">
        <f>Assumptions!D11</f>
        <v>3679</v>
      </c>
      <c r="E3" s="89">
        <f>Assumptions!E11</f>
        <v>1624</v>
      </c>
      <c r="F3" s="89">
        <f>Assumptions!F11</f>
        <v>2051</v>
      </c>
      <c r="G3" s="89">
        <f>Assumptions!G11</f>
        <v>6780</v>
      </c>
    </row>
    <row r="4" spans="2:7" ht="14.25" customHeight="1" x14ac:dyDescent="0.35">
      <c r="B4" s="99" t="s">
        <v>228</v>
      </c>
      <c r="C4" s="53">
        <f>25%*C3</f>
        <v>294</v>
      </c>
      <c r="D4" s="53">
        <f>25%*D3</f>
        <v>919.75</v>
      </c>
      <c r="E4" s="53">
        <f>25%*E3</f>
        <v>406</v>
      </c>
      <c r="F4" s="53">
        <f>25%*F3</f>
        <v>512.75</v>
      </c>
      <c r="G4" s="53">
        <f>25%*G3</f>
        <v>1695</v>
      </c>
    </row>
    <row r="5" spans="2:7" ht="14.25" customHeight="1" x14ac:dyDescent="0.35">
      <c r="B5" s="99" t="s">
        <v>229</v>
      </c>
      <c r="C5" s="53">
        <f>C3-C4</f>
        <v>882</v>
      </c>
      <c r="D5" s="53">
        <f>D3-D4</f>
        <v>2759.25</v>
      </c>
      <c r="E5" s="53">
        <f>E3-E4</f>
        <v>1218</v>
      </c>
      <c r="F5" s="53">
        <f>F3-F4</f>
        <v>1538.25</v>
      </c>
      <c r="G5" s="53">
        <f>G3-G4</f>
        <v>5085</v>
      </c>
    </row>
    <row r="6" spans="2:7" ht="14.25" customHeight="1" x14ac:dyDescent="0.35">
      <c r="B6" s="99" t="s">
        <v>230</v>
      </c>
      <c r="C6" s="53"/>
      <c r="D6" s="89">
        <f>'Fixed Asset Schedule'!D9</f>
        <v>-317</v>
      </c>
      <c r="E6" s="53">
        <f>'Fixed Asset Schedule'!E9</f>
        <v>-40</v>
      </c>
      <c r="F6" s="53">
        <f>'Fixed Asset Schedule'!F9</f>
        <v>80</v>
      </c>
      <c r="G6" s="53">
        <f>'Fixed Asset Schedule'!G9</f>
        <v>365</v>
      </c>
    </row>
    <row r="7" spans="2:7" ht="14.25" customHeight="1" x14ac:dyDescent="0.35">
      <c r="B7" s="99" t="s">
        <v>231</v>
      </c>
      <c r="C7" s="53"/>
      <c r="D7" s="89">
        <f>'Changes in WC'!D7</f>
        <v>-419</v>
      </c>
      <c r="E7" s="89">
        <f>'Changes in WC'!E7</f>
        <v>404</v>
      </c>
      <c r="F7" s="89">
        <f>'Changes in WC'!F7</f>
        <v>-180</v>
      </c>
      <c r="G7" s="89">
        <f>'Changes in WC'!G7</f>
        <v>869</v>
      </c>
    </row>
    <row r="8" spans="2:7" ht="14.25" customHeight="1" x14ac:dyDescent="0.35">
      <c r="B8" s="99" t="s">
        <v>232</v>
      </c>
      <c r="C8" s="53">
        <f>SUM(C6:C7)</f>
        <v>0</v>
      </c>
      <c r="D8" s="53">
        <f>SUM(D6:D7)</f>
        <v>-736</v>
      </c>
      <c r="E8" s="53">
        <f>SUM(E6:E7)</f>
        <v>364</v>
      </c>
      <c r="F8" s="53">
        <f>SUM(F6:F7)</f>
        <v>-100</v>
      </c>
      <c r="G8" s="53">
        <f>SUM(G6:G7)</f>
        <v>1234</v>
      </c>
    </row>
    <row r="9" spans="2:7" ht="14.25" customHeight="1" x14ac:dyDescent="0.35">
      <c r="B9" s="99" t="s">
        <v>233</v>
      </c>
      <c r="C9" s="53">
        <f>C5-C8</f>
        <v>882</v>
      </c>
      <c r="D9" s="53">
        <f>D5-D8</f>
        <v>3495.25</v>
      </c>
      <c r="E9" s="53">
        <f>E5-E8</f>
        <v>854</v>
      </c>
      <c r="F9" s="53">
        <f>F5-F8</f>
        <v>1638.25</v>
      </c>
      <c r="G9" s="53">
        <f>G5-G8</f>
        <v>3851</v>
      </c>
    </row>
    <row r="10" spans="2:7" ht="14.25" customHeight="1" x14ac:dyDescent="0.35">
      <c r="B10" s="13"/>
      <c r="C10" s="13"/>
      <c r="D10" s="13"/>
      <c r="E10" s="13"/>
      <c r="F10" s="13"/>
      <c r="G10" s="13"/>
    </row>
    <row r="11" spans="2:7" ht="14.25" customHeight="1" x14ac:dyDescent="0.35">
      <c r="B11" s="53" t="s">
        <v>234</v>
      </c>
      <c r="C11" s="43"/>
      <c r="D11" s="43">
        <f>D8/D3</f>
        <v>-0.20005436259853221</v>
      </c>
      <c r="E11" s="43">
        <f>E8/E3</f>
        <v>0.22413793103448276</v>
      </c>
      <c r="F11" s="43">
        <f>F8/F3</f>
        <v>-4.8756704046806439E-2</v>
      </c>
      <c r="G11" s="43">
        <f>G8/G3</f>
        <v>0.18200589970501474</v>
      </c>
    </row>
    <row r="12" spans="2:7" ht="14.25" customHeight="1" x14ac:dyDescent="0.35">
      <c r="B12" s="13"/>
      <c r="C12" s="13"/>
      <c r="D12" s="13"/>
      <c r="E12" s="13"/>
      <c r="F12" s="13"/>
      <c r="G12" s="13"/>
    </row>
    <row r="13" spans="2:7" ht="14.25" customHeight="1" x14ac:dyDescent="0.35">
      <c r="B13" s="53" t="s">
        <v>235</v>
      </c>
      <c r="C13" s="43">
        <f>MEDIAN(D11:G11)</f>
        <v>6.6624597829104154E-2</v>
      </c>
      <c r="D13" s="13"/>
      <c r="E13" s="13"/>
      <c r="F13" s="13"/>
      <c r="G13" s="13"/>
    </row>
    <row r="14" spans="2:7" ht="14.25" customHeight="1" x14ac:dyDescent="0.35">
      <c r="B14" s="53" t="s">
        <v>236</v>
      </c>
      <c r="C14" s="43">
        <f>AVERAGE(D11:G11)</f>
        <v>3.9333191023539715E-2</v>
      </c>
      <c r="D14" s="13"/>
      <c r="E14" s="13"/>
      <c r="F14" s="13"/>
      <c r="G14" s="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12"/>
  <sheetViews>
    <sheetView zoomScaleNormal="100" workbookViewId="0">
      <selection activeCell="I16" sqref="I16"/>
    </sheetView>
  </sheetViews>
  <sheetFormatPr defaultColWidth="8.54296875" defaultRowHeight="14.5" x14ac:dyDescent="0.35"/>
  <cols>
    <col min="2" max="2" width="29.7265625" customWidth="1"/>
  </cols>
  <sheetData>
    <row r="2" spans="2:7" ht="25.5" customHeight="1" x14ac:dyDescent="0.35">
      <c r="B2" s="115" t="s">
        <v>39</v>
      </c>
      <c r="C2" s="116">
        <v>2021</v>
      </c>
      <c r="D2" s="116">
        <v>2022</v>
      </c>
      <c r="E2" s="116">
        <v>2023</v>
      </c>
      <c r="F2" s="116">
        <v>2024</v>
      </c>
      <c r="G2" s="116">
        <v>2025</v>
      </c>
    </row>
    <row r="3" spans="2:7" ht="14.25" customHeight="1" x14ac:dyDescent="0.35">
      <c r="B3" s="99" t="s">
        <v>119</v>
      </c>
      <c r="C3" s="89">
        <f>'Consolidated FS'!R32</f>
        <v>1476</v>
      </c>
      <c r="D3" s="89">
        <f>'Consolidated FS'!S32</f>
        <v>1646</v>
      </c>
      <c r="E3" s="89">
        <f>'Consolidated FS'!T32</f>
        <v>1840</v>
      </c>
      <c r="F3" s="89">
        <f>'Consolidated FS'!U32</f>
        <v>1830</v>
      </c>
      <c r="G3" s="89">
        <f>'Consolidated FS'!V32</f>
        <v>1909</v>
      </c>
    </row>
    <row r="4" spans="2:7" ht="14.25" customHeight="1" x14ac:dyDescent="0.35">
      <c r="B4" s="99" t="s">
        <v>237</v>
      </c>
      <c r="C4" s="89">
        <f>'Consolidated FS'!R33</f>
        <v>147</v>
      </c>
      <c r="D4" s="89">
        <f>'Consolidated FS'!S33</f>
        <v>75</v>
      </c>
      <c r="E4" s="89">
        <f>'Consolidated FS'!T33</f>
        <v>91</v>
      </c>
      <c r="F4" s="89">
        <f>'Consolidated FS'!U33</f>
        <v>154</v>
      </c>
      <c r="G4" s="89">
        <f>'Consolidated FS'!V33</f>
        <v>186</v>
      </c>
    </row>
    <row r="5" spans="2:7" ht="14.25" customHeight="1" x14ac:dyDescent="0.35">
      <c r="B5" s="99" t="s">
        <v>84</v>
      </c>
      <c r="C5" s="89">
        <f>'Consolidated FS'!R13</f>
        <v>940</v>
      </c>
      <c r="D5" s="89">
        <f>'Consolidated FS'!S13</f>
        <v>1457</v>
      </c>
      <c r="E5" s="89">
        <f>'Consolidated FS'!T13</f>
        <v>1263</v>
      </c>
      <c r="F5" s="89">
        <f>'Consolidated FS'!U13</f>
        <v>1496</v>
      </c>
      <c r="G5" s="89">
        <f>'Consolidated FS'!V13</f>
        <v>738</v>
      </c>
    </row>
    <row r="6" spans="2:7" ht="14.25" customHeight="1" x14ac:dyDescent="0.35">
      <c r="B6" s="99" t="s">
        <v>238</v>
      </c>
      <c r="C6" s="89">
        <f>C3+C4-C5</f>
        <v>683</v>
      </c>
      <c r="D6" s="89">
        <f>D3+D4-D5</f>
        <v>264</v>
      </c>
      <c r="E6" s="89">
        <f>E3+E4-E5</f>
        <v>668</v>
      </c>
      <c r="F6" s="89">
        <f>F3+F4-F5</f>
        <v>488</v>
      </c>
      <c r="G6" s="89">
        <f>G3+G4-G5</f>
        <v>1357</v>
      </c>
    </row>
    <row r="7" spans="2:7" ht="14.25" customHeight="1" x14ac:dyDescent="0.35">
      <c r="B7" s="99" t="s">
        <v>239</v>
      </c>
      <c r="C7" s="89"/>
      <c r="D7" s="89">
        <f>D6-C6</f>
        <v>-419</v>
      </c>
      <c r="E7" s="89">
        <f>E6-D6</f>
        <v>404</v>
      </c>
      <c r="F7" s="89">
        <f>F6-E6</f>
        <v>-180</v>
      </c>
      <c r="G7" s="89">
        <f>G6-F6</f>
        <v>869</v>
      </c>
    </row>
    <row r="8" spans="2:7" ht="14.25" customHeight="1" x14ac:dyDescent="0.35">
      <c r="B8" s="99" t="s">
        <v>240</v>
      </c>
      <c r="C8" s="89"/>
      <c r="D8" s="89">
        <f>D7/'Consolidated FS'!E4</f>
        <v>-2.954657640504901E-2</v>
      </c>
      <c r="E8" s="89">
        <f>E7/'Consolidated FS'!F4</f>
        <v>2.8336957284141123E-2</v>
      </c>
      <c r="F8" s="89">
        <f>F7/'Consolidated FS'!G4</f>
        <v>-1.3689253935660506E-2</v>
      </c>
      <c r="G8" s="89">
        <f>G7/'Consolidated FS'!H4</f>
        <v>5.1763164164879673E-2</v>
      </c>
    </row>
    <row r="9" spans="2:7" ht="14.25" customHeight="1" x14ac:dyDescent="0.35">
      <c r="B9" s="13"/>
      <c r="C9" s="105"/>
      <c r="D9" s="105"/>
      <c r="E9" s="105"/>
      <c r="F9" s="105"/>
      <c r="G9" s="105"/>
    </row>
    <row r="10" spans="2:7" ht="14.25" customHeight="1" x14ac:dyDescent="0.35">
      <c r="B10" s="99" t="s">
        <v>241</v>
      </c>
      <c r="C10" s="89">
        <f>MEDIAN(D8:G8)</f>
        <v>7.3238516742403087E-3</v>
      </c>
      <c r="D10" s="105"/>
      <c r="E10" s="105"/>
      <c r="F10" s="105"/>
      <c r="G10" s="105"/>
    </row>
    <row r="11" spans="2:7" ht="14.25" customHeight="1" x14ac:dyDescent="0.35">
      <c r="B11" s="253" t="s">
        <v>242</v>
      </c>
      <c r="C11" s="254">
        <f>AVERAGE(D8:G8)</f>
        <v>9.216072777077821E-3</v>
      </c>
      <c r="D11" s="13"/>
      <c r="E11" s="13"/>
      <c r="F11" s="13"/>
      <c r="G11" s="13"/>
    </row>
    <row r="12" spans="2:7" ht="14.25" customHeight="1" x14ac:dyDescent="0.35">
      <c r="B12" s="13"/>
      <c r="C12" s="13"/>
      <c r="D12" s="13"/>
      <c r="E12" s="13"/>
      <c r="F12" s="13"/>
      <c r="G12" s="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E31"/>
  <sheetViews>
    <sheetView zoomScale="88" zoomScaleNormal="88" workbookViewId="0">
      <selection activeCell="E20" sqref="E20"/>
    </sheetView>
  </sheetViews>
  <sheetFormatPr defaultColWidth="8.54296875" defaultRowHeight="14.5" x14ac:dyDescent="0.35"/>
  <cols>
    <col min="2" max="2" width="39.26953125" customWidth="1"/>
    <col min="3" max="3" width="16.453125" customWidth="1"/>
    <col min="4" max="4" width="19.81640625" customWidth="1"/>
    <col min="5" max="5" width="16.453125" customWidth="1"/>
  </cols>
  <sheetData>
    <row r="2" spans="2:5" ht="15" customHeight="1" x14ac:dyDescent="0.35">
      <c r="B2" s="228" t="s">
        <v>243</v>
      </c>
      <c r="C2" s="228"/>
      <c r="D2" s="228"/>
      <c r="E2" s="228"/>
    </row>
    <row r="3" spans="2:5" ht="15" customHeight="1" x14ac:dyDescent="0.35">
      <c r="B3" s="34"/>
      <c r="C3" s="34"/>
      <c r="D3" s="34"/>
      <c r="E3" s="34"/>
    </row>
    <row r="4" spans="2:5" ht="14.25" customHeight="1" x14ac:dyDescent="0.35">
      <c r="B4" s="229" t="s">
        <v>244</v>
      </c>
      <c r="C4" s="229"/>
      <c r="D4" s="229"/>
      <c r="E4" s="229"/>
    </row>
    <row r="5" spans="2:5" ht="14.25" customHeight="1" x14ac:dyDescent="0.35">
      <c r="B5" s="117" t="s">
        <v>39</v>
      </c>
      <c r="C5" s="118" t="s">
        <v>245</v>
      </c>
      <c r="D5" s="118" t="s">
        <v>246</v>
      </c>
      <c r="E5" s="119" t="s">
        <v>247</v>
      </c>
    </row>
    <row r="6" spans="2:5" ht="14.25" customHeight="1" x14ac:dyDescent="0.35">
      <c r="B6" s="120" t="s">
        <v>248</v>
      </c>
      <c r="C6" s="121">
        <f>Assumptions!G34</f>
        <v>17805</v>
      </c>
      <c r="D6" s="121">
        <f>'Raw FS Valuation'!F3</f>
        <v>220677.65</v>
      </c>
      <c r="E6" s="122">
        <f>D6/D8</f>
        <v>0.99917594725881342</v>
      </c>
    </row>
    <row r="7" spans="2:5" ht="14.25" customHeight="1" x14ac:dyDescent="0.35">
      <c r="B7" s="120" t="s">
        <v>249</v>
      </c>
      <c r="C7" s="121">
        <f>Assumptions!G35</f>
        <v>182</v>
      </c>
      <c r="D7" s="121">
        <f>C7</f>
        <v>182</v>
      </c>
      <c r="E7" s="122">
        <f>D7/D8</f>
        <v>8.2405274118654088E-4</v>
      </c>
    </row>
    <row r="8" spans="2:5" ht="15" customHeight="1" x14ac:dyDescent="0.35">
      <c r="B8" s="123" t="s">
        <v>250</v>
      </c>
      <c r="C8" s="124">
        <f>SUM(C6:C7)</f>
        <v>17987</v>
      </c>
      <c r="D8" s="124">
        <f>SUM(D6:D7)</f>
        <v>220859.65</v>
      </c>
      <c r="E8" s="125"/>
    </row>
    <row r="9" spans="2:5" ht="15" customHeight="1" x14ac:dyDescent="0.35">
      <c r="B9" s="34"/>
      <c r="C9" s="34"/>
      <c r="D9" s="34" t="s">
        <v>251</v>
      </c>
      <c r="E9" s="34"/>
    </row>
    <row r="10" spans="2:5" ht="14.25" customHeight="1" x14ac:dyDescent="0.35">
      <c r="B10" s="230" t="s">
        <v>252</v>
      </c>
      <c r="C10" s="230"/>
    </row>
    <row r="11" spans="2:5" ht="14.25" customHeight="1" x14ac:dyDescent="0.35">
      <c r="B11" s="117" t="s">
        <v>39</v>
      </c>
      <c r="C11" s="119" t="s">
        <v>136</v>
      </c>
    </row>
    <row r="12" spans="2:5" ht="14.25" customHeight="1" x14ac:dyDescent="0.35">
      <c r="B12" s="126" t="s">
        <v>253</v>
      </c>
      <c r="C12" s="127">
        <v>0.06</v>
      </c>
    </row>
    <row r="13" spans="2:5" ht="14.25" customHeight="1" x14ac:dyDescent="0.35">
      <c r="B13" s="126" t="s">
        <v>254</v>
      </c>
      <c r="C13" s="127">
        <v>7.4399999999999994E-2</v>
      </c>
    </row>
    <row r="14" spans="2:5" ht="14.25" customHeight="1" x14ac:dyDescent="0.35">
      <c r="B14" s="126" t="s">
        <v>255</v>
      </c>
      <c r="C14" s="128">
        <f>Beta!K5</f>
        <v>1.3379163691624858</v>
      </c>
    </row>
    <row r="15" spans="2:5" ht="14.25" customHeight="1" x14ac:dyDescent="0.35">
      <c r="B15" s="126" t="s">
        <v>256</v>
      </c>
      <c r="C15" s="127">
        <f>D7/D6</f>
        <v>8.2473236415196553E-4</v>
      </c>
    </row>
    <row r="16" spans="2:5" ht="14.25" customHeight="1" x14ac:dyDescent="0.35">
      <c r="B16" s="126" t="s">
        <v>257</v>
      </c>
      <c r="C16" s="127">
        <f>C14*C13</f>
        <v>9.954097786568894E-2</v>
      </c>
    </row>
    <row r="17" spans="2:5" ht="15" customHeight="1" x14ac:dyDescent="0.35">
      <c r="B17" s="129" t="s">
        <v>258</v>
      </c>
      <c r="C17" s="130">
        <f>C12+C16</f>
        <v>0.15954097786568894</v>
      </c>
    </row>
    <row r="18" spans="2:5" ht="14.25" customHeight="1" x14ac:dyDescent="0.35">
      <c r="B18" s="34"/>
      <c r="C18" s="34"/>
      <c r="D18" s="34"/>
      <c r="E18" s="34"/>
    </row>
    <row r="19" spans="2:5" ht="14.25" customHeight="1" x14ac:dyDescent="0.35">
      <c r="B19" s="231" t="s">
        <v>259</v>
      </c>
      <c r="C19" s="231"/>
    </row>
    <row r="20" spans="2:5" ht="14.25" customHeight="1" x14ac:dyDescent="0.35">
      <c r="B20" s="118" t="s">
        <v>39</v>
      </c>
      <c r="C20" s="118" t="s">
        <v>136</v>
      </c>
    </row>
    <row r="21" spans="2:5" ht="14.25" customHeight="1" x14ac:dyDescent="0.35">
      <c r="B21" s="131" t="s">
        <v>260</v>
      </c>
      <c r="C21" s="121">
        <f>Assumptions!G13</f>
        <v>59</v>
      </c>
    </row>
    <row r="22" spans="2:5" ht="14.25" customHeight="1" x14ac:dyDescent="0.35">
      <c r="B22" s="131" t="s">
        <v>261</v>
      </c>
      <c r="C22" s="121">
        <f>AVERAGE(Assumptions!F35,Assumptions!G35)</f>
        <v>139</v>
      </c>
    </row>
    <row r="23" spans="2:5" ht="14.25" customHeight="1" x14ac:dyDescent="0.35">
      <c r="B23" s="131" t="s">
        <v>262</v>
      </c>
      <c r="C23" s="132">
        <f>C21/C22</f>
        <v>0.42446043165467628</v>
      </c>
    </row>
    <row r="24" spans="2:5" ht="14.25" customHeight="1" x14ac:dyDescent="0.35">
      <c r="B24" s="131" t="s">
        <v>190</v>
      </c>
      <c r="C24" s="132">
        <f>Assumptions!G30</f>
        <v>0.25</v>
      </c>
    </row>
    <row r="25" spans="2:5" ht="14.25" customHeight="1" x14ac:dyDescent="0.35">
      <c r="B25" s="133" t="s">
        <v>263</v>
      </c>
      <c r="C25" s="134">
        <f>C23*(1-C24)</f>
        <v>0.31834532374100721</v>
      </c>
    </row>
    <row r="26" spans="2:5" ht="14.25" customHeight="1" x14ac:dyDescent="0.35">
      <c r="B26" s="34"/>
      <c r="C26" s="34"/>
      <c r="D26" s="34"/>
      <c r="E26" s="34"/>
    </row>
    <row r="27" spans="2:5" ht="14.25" customHeight="1" x14ac:dyDescent="0.35">
      <c r="B27" s="231" t="s">
        <v>264</v>
      </c>
      <c r="C27" s="231"/>
      <c r="D27" s="231"/>
      <c r="E27" s="231"/>
    </row>
    <row r="28" spans="2:5" ht="14.25" customHeight="1" x14ac:dyDescent="0.35">
      <c r="B28" s="118" t="s">
        <v>265</v>
      </c>
      <c r="C28" s="118" t="s">
        <v>266</v>
      </c>
      <c r="D28" s="118" t="s">
        <v>267</v>
      </c>
      <c r="E28" s="118" t="s">
        <v>268</v>
      </c>
    </row>
    <row r="29" spans="2:5" ht="14.25" customHeight="1" x14ac:dyDescent="0.35">
      <c r="B29" s="131" t="s">
        <v>269</v>
      </c>
      <c r="C29" s="132">
        <f>C17</f>
        <v>0.15954097786568894</v>
      </c>
      <c r="D29" s="132">
        <f>E6</f>
        <v>0.99917594725881342</v>
      </c>
      <c r="E29" s="132">
        <f>C29*D29</f>
        <v>0.15940950768554712</v>
      </c>
    </row>
    <row r="30" spans="2:5" ht="14.25" customHeight="1" x14ac:dyDescent="0.35">
      <c r="B30" s="131" t="s">
        <v>270</v>
      </c>
      <c r="C30" s="132">
        <f>C25</f>
        <v>0.31834532374100721</v>
      </c>
      <c r="D30" s="132">
        <f>E7</f>
        <v>8.2405274118654088E-4</v>
      </c>
      <c r="E30" s="132">
        <f>C30*D30</f>
        <v>2.623333366726938E-4</v>
      </c>
    </row>
    <row r="31" spans="2:5" ht="14.25" customHeight="1" x14ac:dyDescent="0.35">
      <c r="B31" s="232" t="s">
        <v>271</v>
      </c>
      <c r="C31" s="232"/>
      <c r="D31" s="232"/>
      <c r="E31" s="135">
        <f>SUM(E29:E30)</f>
        <v>0.15967184102221982</v>
      </c>
    </row>
  </sheetData>
  <mergeCells count="6">
    <mergeCell ref="B31:D31"/>
    <mergeCell ref="B2:E2"/>
    <mergeCell ref="B4:E4"/>
    <mergeCell ref="B10:C10"/>
    <mergeCell ref="B19:C19"/>
    <mergeCell ref="B27:E2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Q10"/>
  <sheetViews>
    <sheetView zoomScaleNormal="100" workbookViewId="0">
      <selection activeCell="E20" sqref="E20"/>
    </sheetView>
  </sheetViews>
  <sheetFormatPr defaultColWidth="8.54296875" defaultRowHeight="14.5" x14ac:dyDescent="0.35"/>
  <cols>
    <col min="1" max="1" width="3.36328125" customWidth="1"/>
    <col min="2" max="2" width="7" customWidth="1"/>
    <col min="3" max="3" width="20.81640625" customWidth="1"/>
    <col min="4" max="5" width="8.6328125" customWidth="1"/>
    <col min="6" max="6" width="11.36328125" customWidth="1"/>
    <col min="7" max="7" width="8.6328125" customWidth="1"/>
    <col min="8" max="8" width="11" customWidth="1"/>
    <col min="9" max="10" width="8.6328125" customWidth="1"/>
    <col min="11" max="11" width="11.36328125" customWidth="1"/>
    <col min="12" max="12" width="11" customWidth="1"/>
    <col min="13" max="13" width="9.453125" customWidth="1"/>
    <col min="14" max="14" width="10.26953125" customWidth="1"/>
    <col min="15" max="15" width="10.08984375" customWidth="1"/>
    <col min="16" max="16" width="9.08984375" customWidth="1"/>
    <col min="17" max="17" width="10.453125" customWidth="1"/>
  </cols>
  <sheetData>
    <row r="2" spans="2:17" ht="42" customHeight="1" x14ac:dyDescent="0.35">
      <c r="B2" s="136" t="s">
        <v>272</v>
      </c>
      <c r="C2" s="136" t="s">
        <v>20</v>
      </c>
      <c r="D2" s="137" t="s">
        <v>273</v>
      </c>
      <c r="E2" s="137" t="s">
        <v>274</v>
      </c>
      <c r="F2" s="137" t="s">
        <v>275</v>
      </c>
      <c r="G2" s="137" t="s">
        <v>276</v>
      </c>
      <c r="H2" s="137" t="s">
        <v>277</v>
      </c>
      <c r="I2" s="137" t="s">
        <v>278</v>
      </c>
      <c r="J2" s="137" t="s">
        <v>279</v>
      </c>
      <c r="K2" s="137" t="s">
        <v>280</v>
      </c>
      <c r="L2" s="137" t="s">
        <v>281</v>
      </c>
      <c r="M2" s="137" t="s">
        <v>282</v>
      </c>
      <c r="N2" s="137" t="s">
        <v>283</v>
      </c>
      <c r="O2" s="137" t="s">
        <v>284</v>
      </c>
      <c r="P2" s="137" t="s">
        <v>285</v>
      </c>
      <c r="Q2" s="137" t="s">
        <v>286</v>
      </c>
    </row>
    <row r="3" spans="2:17" ht="14.25" customHeight="1" x14ac:dyDescent="0.35">
      <c r="B3" s="41">
        <v>1</v>
      </c>
      <c r="C3" s="53" t="s">
        <v>287</v>
      </c>
      <c r="D3" s="138">
        <v>982</v>
      </c>
      <c r="E3" s="138">
        <v>12.6</v>
      </c>
      <c r="F3" s="138">
        <v>220677.65</v>
      </c>
      <c r="G3" s="138">
        <v>0.5</v>
      </c>
      <c r="H3" s="138">
        <v>2597</v>
      </c>
      <c r="I3" s="138">
        <v>-22.12</v>
      </c>
      <c r="J3" s="138">
        <v>13.67</v>
      </c>
      <c r="K3" s="138">
        <v>99161</v>
      </c>
      <c r="L3" s="138">
        <v>8.08</v>
      </c>
      <c r="M3" s="138">
        <v>224.72</v>
      </c>
      <c r="N3" s="138">
        <v>28939</v>
      </c>
      <c r="O3" s="138">
        <v>13391</v>
      </c>
      <c r="P3" s="138">
        <v>274944</v>
      </c>
      <c r="Q3" s="138">
        <v>14808</v>
      </c>
    </row>
    <row r="4" spans="2:17" ht="14.25" customHeight="1" x14ac:dyDescent="0.35">
      <c r="B4" s="41">
        <v>2</v>
      </c>
      <c r="C4" s="53" t="s">
        <v>288</v>
      </c>
      <c r="D4" s="138">
        <v>351.6</v>
      </c>
      <c r="E4" s="138">
        <v>11.09</v>
      </c>
      <c r="F4" s="138">
        <v>64575.99</v>
      </c>
      <c r="G4" s="138">
        <v>2.89</v>
      </c>
      <c r="H4" s="138">
        <v>1722.44</v>
      </c>
      <c r="I4" s="138">
        <v>-16.68</v>
      </c>
      <c r="J4" s="138">
        <v>39.590000000000003</v>
      </c>
      <c r="K4" s="138">
        <v>59.83</v>
      </c>
      <c r="L4" s="138">
        <v>6.54</v>
      </c>
      <c r="M4" s="138">
        <v>183.66</v>
      </c>
      <c r="N4" s="138">
        <v>7848.5</v>
      </c>
      <c r="O4" s="138">
        <v>5797.01</v>
      </c>
      <c r="P4" s="138">
        <v>17843.05</v>
      </c>
      <c r="Q4" s="138">
        <v>8407.74</v>
      </c>
    </row>
    <row r="5" spans="2:17" ht="14.25" customHeight="1" x14ac:dyDescent="0.35">
      <c r="B5" s="41">
        <v>3</v>
      </c>
      <c r="C5" s="53" t="s">
        <v>289</v>
      </c>
      <c r="D5" s="138">
        <v>96.14</v>
      </c>
      <c r="E5" s="138">
        <v>119.24</v>
      </c>
      <c r="F5" s="138">
        <v>1622.12</v>
      </c>
      <c r="G5" s="138">
        <v>0.11</v>
      </c>
      <c r="H5" s="138">
        <v>5.71</v>
      </c>
      <c r="I5" s="138">
        <v>957.41</v>
      </c>
      <c r="J5" s="138">
        <v>13.97</v>
      </c>
      <c r="K5" s="138">
        <v>129.27000000000001</v>
      </c>
      <c r="L5" s="138">
        <v>39.1</v>
      </c>
      <c r="M5" s="138">
        <v>16.87</v>
      </c>
      <c r="N5" s="138">
        <v>39.92</v>
      </c>
      <c r="O5" s="138">
        <v>13.6</v>
      </c>
      <c r="P5" s="138">
        <v>624.9</v>
      </c>
      <c r="Q5" s="138">
        <v>8.86</v>
      </c>
    </row>
    <row r="6" spans="2:17" ht="14.25" customHeight="1" x14ac:dyDescent="0.35">
      <c r="B6" s="41">
        <v>4</v>
      </c>
      <c r="C6" s="53" t="s">
        <v>290</v>
      </c>
      <c r="D6" s="138">
        <v>127</v>
      </c>
      <c r="E6" s="138">
        <v>58.44</v>
      </c>
      <c r="F6" s="138">
        <v>761.8</v>
      </c>
      <c r="G6" s="138">
        <v>0</v>
      </c>
      <c r="H6" s="138">
        <v>1.7</v>
      </c>
      <c r="I6" s="138">
        <v>-56.85</v>
      </c>
      <c r="J6" s="138">
        <v>7.73</v>
      </c>
      <c r="K6" s="138">
        <v>54.79</v>
      </c>
      <c r="L6" s="138">
        <v>25.43</v>
      </c>
      <c r="M6" s="138">
        <v>6</v>
      </c>
      <c r="N6" s="138">
        <v>23.12</v>
      </c>
      <c r="O6" s="138">
        <v>13.03</v>
      </c>
      <c r="P6" s="138">
        <v>808.71</v>
      </c>
      <c r="Q6" s="138">
        <v>38.44</v>
      </c>
    </row>
    <row r="7" spans="2:17" ht="14.25" customHeight="1" x14ac:dyDescent="0.35">
      <c r="B7" s="41">
        <v>5</v>
      </c>
      <c r="C7" s="53" t="s">
        <v>291</v>
      </c>
      <c r="D7" s="138">
        <v>274.45</v>
      </c>
      <c r="E7" s="138">
        <v>18.07</v>
      </c>
      <c r="F7" s="138">
        <v>697.18</v>
      </c>
      <c r="G7" s="138">
        <v>0.7</v>
      </c>
      <c r="H7" s="138">
        <v>17.989999999999998</v>
      </c>
      <c r="I7" s="138">
        <v>14.36</v>
      </c>
      <c r="J7" s="138">
        <v>12.49</v>
      </c>
      <c r="K7" s="138">
        <v>184.53</v>
      </c>
      <c r="L7" s="138">
        <v>11.81</v>
      </c>
      <c r="M7" s="138">
        <v>2.54</v>
      </c>
      <c r="N7" s="138">
        <v>63.13</v>
      </c>
      <c r="O7" s="138">
        <v>31.01</v>
      </c>
      <c r="P7" s="138">
        <v>824</v>
      </c>
      <c r="Q7" s="138">
        <v>2.0099999999999998</v>
      </c>
    </row>
    <row r="8" spans="2:17" ht="14.25" customHeight="1" x14ac:dyDescent="0.35">
      <c r="B8" s="41">
        <v>6</v>
      </c>
      <c r="C8" s="53" t="s">
        <v>292</v>
      </c>
      <c r="D8" s="138">
        <v>208</v>
      </c>
      <c r="E8" s="138">
        <v>18.95</v>
      </c>
      <c r="F8" s="138">
        <v>424.31</v>
      </c>
      <c r="G8" s="138">
        <v>0</v>
      </c>
      <c r="H8" s="138">
        <v>11.92</v>
      </c>
      <c r="I8" s="138">
        <v>91.95</v>
      </c>
      <c r="J8" s="138">
        <v>34.11</v>
      </c>
      <c r="K8" s="138">
        <v>38.590000000000003</v>
      </c>
      <c r="L8" s="138">
        <v>10.130000000000001</v>
      </c>
      <c r="M8" s="138">
        <v>2.04</v>
      </c>
      <c r="N8" s="138">
        <v>33.22</v>
      </c>
      <c r="O8" s="138">
        <v>22.42</v>
      </c>
      <c r="P8" s="138">
        <v>103.5</v>
      </c>
      <c r="Q8" s="138">
        <v>43.18</v>
      </c>
    </row>
    <row r="9" spans="2:17" ht="14.25" customHeight="1" x14ac:dyDescent="0.35">
      <c r="B9" s="139"/>
      <c r="C9" s="45" t="s">
        <v>293</v>
      </c>
      <c r="D9" s="138">
        <v>204.4</v>
      </c>
      <c r="E9" s="138">
        <v>18.510000000000002</v>
      </c>
      <c r="F9" s="138">
        <v>729.49</v>
      </c>
      <c r="G9" s="138">
        <v>0.06</v>
      </c>
      <c r="H9" s="138">
        <v>7.85</v>
      </c>
      <c r="I9" s="138">
        <v>14.36</v>
      </c>
      <c r="J9" s="138">
        <v>13.67</v>
      </c>
      <c r="K9" s="138">
        <v>94.55</v>
      </c>
      <c r="L9" s="138">
        <v>9.98</v>
      </c>
      <c r="M9" s="138">
        <v>6.28</v>
      </c>
      <c r="N9" s="138">
        <v>35.840000000000003</v>
      </c>
      <c r="O9" s="138">
        <v>13.81</v>
      </c>
      <c r="P9" s="138">
        <v>594.4</v>
      </c>
      <c r="Q9" s="138">
        <v>13.49</v>
      </c>
    </row>
    <row r="10" spans="2:17" ht="14.25" customHeight="1" x14ac:dyDescent="0.3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Q24"/>
  <sheetViews>
    <sheetView zoomScale="83" zoomScaleNormal="83" workbookViewId="0">
      <selection activeCell="C25" sqref="C25"/>
    </sheetView>
  </sheetViews>
  <sheetFormatPr defaultColWidth="8.54296875" defaultRowHeight="14.5" x14ac:dyDescent="0.35"/>
  <cols>
    <col min="1" max="1" width="1.08984375" customWidth="1"/>
    <col min="2" max="2" width="17.81640625" customWidth="1"/>
    <col min="4" max="6" width="12.26953125" customWidth="1"/>
    <col min="8" max="8" width="11.1796875" customWidth="1"/>
    <col min="10" max="10" width="9.7265625" customWidth="1"/>
    <col min="11" max="11" width="13" customWidth="1"/>
    <col min="12" max="12" width="9.81640625" customWidth="1"/>
    <col min="13" max="13" width="14.36328125" customWidth="1"/>
    <col min="15" max="17" width="12.453125" customWidth="1"/>
  </cols>
  <sheetData>
    <row r="2" spans="2:17" ht="14.25" customHeight="1" x14ac:dyDescent="0.35">
      <c r="B2" s="233" t="s">
        <v>294</v>
      </c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</row>
    <row r="3" spans="2:17" ht="14.25" customHeight="1" x14ac:dyDescent="0.35">
      <c r="B3" s="140" t="s">
        <v>295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2:17" ht="15" customHeight="1" x14ac:dyDescent="0.35">
      <c r="B4" s="234" t="s">
        <v>296</v>
      </c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</row>
    <row r="5" spans="2:17" ht="15" customHeight="1" x14ac:dyDescent="0.35">
      <c r="B5" s="235" t="s">
        <v>297</v>
      </c>
      <c r="C5" s="236" t="s">
        <v>298</v>
      </c>
      <c r="D5" s="236"/>
      <c r="E5" s="236"/>
      <c r="F5" s="236"/>
      <c r="G5" s="236"/>
      <c r="H5" s="236"/>
      <c r="I5" s="237"/>
      <c r="J5" s="235" t="s">
        <v>299</v>
      </c>
      <c r="K5" s="235"/>
      <c r="L5" s="235"/>
      <c r="M5" s="235"/>
      <c r="N5" s="237"/>
      <c r="O5" s="235" t="s">
        <v>300</v>
      </c>
      <c r="P5" s="235"/>
      <c r="Q5" s="235"/>
    </row>
    <row r="6" spans="2:17" ht="25.5" customHeight="1" x14ac:dyDescent="0.35">
      <c r="B6" s="235"/>
      <c r="C6" s="141" t="s">
        <v>301</v>
      </c>
      <c r="D6" s="141" t="s">
        <v>302</v>
      </c>
      <c r="E6" s="141" t="s">
        <v>303</v>
      </c>
      <c r="F6" s="141" t="s">
        <v>270</v>
      </c>
      <c r="G6" s="141" t="s">
        <v>304</v>
      </c>
      <c r="H6" s="142" t="s">
        <v>305</v>
      </c>
      <c r="I6" s="237"/>
      <c r="J6" s="143" t="s">
        <v>306</v>
      </c>
      <c r="K6" s="144" t="s">
        <v>171</v>
      </c>
      <c r="L6" s="144" t="s">
        <v>307</v>
      </c>
      <c r="M6" s="145" t="s">
        <v>308</v>
      </c>
      <c r="N6" s="237"/>
      <c r="O6" s="143" t="s">
        <v>309</v>
      </c>
      <c r="P6" s="144" t="s">
        <v>310</v>
      </c>
      <c r="Q6" s="145" t="s">
        <v>311</v>
      </c>
    </row>
    <row r="7" spans="2:17" ht="14.25" customHeight="1" x14ac:dyDescent="0.35">
      <c r="B7" s="53" t="s">
        <v>287</v>
      </c>
      <c r="C7" s="146">
        <f>'Raw FS Valuation'!M3</f>
        <v>224.72</v>
      </c>
      <c r="D7" s="147">
        <f>'Raw FS Valuation'!D3</f>
        <v>982</v>
      </c>
      <c r="E7" s="147">
        <f t="shared" ref="E7:E12" si="0">C7*D7</f>
        <v>220675.04</v>
      </c>
      <c r="F7" s="147">
        <f>'Raw FS Valuation'!K3</f>
        <v>99161</v>
      </c>
      <c r="G7" s="147">
        <f>'Raw FS Valuation'!Q3</f>
        <v>14808</v>
      </c>
      <c r="H7" s="148">
        <f t="shared" ref="H7:H12" si="1">E7+F7-G7</f>
        <v>305028.04000000004</v>
      </c>
      <c r="I7" s="13"/>
      <c r="J7" s="149">
        <f>'Raw FS Valuation'!P3</f>
        <v>274944</v>
      </c>
      <c r="K7" s="150">
        <f>H7/'Raw FS Valuation'!L3</f>
        <v>37750.995049504956</v>
      </c>
      <c r="L7" s="147">
        <f>'Raw FS Valuation'!O3</f>
        <v>13391</v>
      </c>
      <c r="M7" s="151">
        <f t="shared" ref="M7:M12" si="2">L7/C7</f>
        <v>59.589711641153436</v>
      </c>
      <c r="N7" s="13"/>
      <c r="O7" s="152">
        <f t="shared" ref="O7:O12" si="3">H7/J7</f>
        <v>1.1094187907355681</v>
      </c>
      <c r="P7" s="153">
        <f t="shared" ref="P7:P12" si="4">H7/K7</f>
        <v>8.08</v>
      </c>
      <c r="Q7" s="154">
        <f t="shared" ref="Q7:Q12" si="5">D7/M7</f>
        <v>16.479354790530955</v>
      </c>
    </row>
    <row r="8" spans="2:17" ht="14.25" customHeight="1" x14ac:dyDescent="0.35">
      <c r="B8" s="155" t="s">
        <v>288</v>
      </c>
      <c r="C8" s="156">
        <f>'Raw FS Valuation'!M4</f>
        <v>183.66</v>
      </c>
      <c r="D8" s="157">
        <f>'Raw FS Valuation'!D4</f>
        <v>351.6</v>
      </c>
      <c r="E8" s="157">
        <f t="shared" si="0"/>
        <v>64574.856</v>
      </c>
      <c r="F8" s="157">
        <f>'Raw FS Valuation'!K4</f>
        <v>59.83</v>
      </c>
      <c r="G8" s="157">
        <f>'Raw FS Valuation'!Q4</f>
        <v>8407.74</v>
      </c>
      <c r="H8" s="158">
        <f t="shared" si="1"/>
        <v>56226.946000000004</v>
      </c>
      <c r="I8" s="13"/>
      <c r="J8" s="159">
        <f>'Raw FS Valuation'!P4</f>
        <v>17843.05</v>
      </c>
      <c r="K8" s="160">
        <f>H8/'Raw FS Valuation'!L4</f>
        <v>8597.3923547400609</v>
      </c>
      <c r="L8" s="157">
        <f>'Raw FS Valuation'!O4</f>
        <v>5797.01</v>
      </c>
      <c r="M8" s="161">
        <f t="shared" si="2"/>
        <v>31.563813568550586</v>
      </c>
      <c r="N8" s="13"/>
      <c r="O8" s="162">
        <f t="shared" si="3"/>
        <v>3.1511958998041258</v>
      </c>
      <c r="P8" s="163">
        <f t="shared" si="4"/>
        <v>6.5400000000000009</v>
      </c>
      <c r="Q8" s="164">
        <f t="shared" si="5"/>
        <v>11.139338383062992</v>
      </c>
    </row>
    <row r="9" spans="2:17" ht="14.25" customHeight="1" x14ac:dyDescent="0.35">
      <c r="B9" s="53" t="s">
        <v>289</v>
      </c>
      <c r="C9" s="146">
        <f>'Raw FS Valuation'!M5</f>
        <v>16.87</v>
      </c>
      <c r="D9" s="147">
        <f>'Raw FS Valuation'!D5</f>
        <v>96.14</v>
      </c>
      <c r="E9" s="147">
        <f t="shared" si="0"/>
        <v>1621.8818000000001</v>
      </c>
      <c r="F9" s="147">
        <f>'Raw FS Valuation'!K5</f>
        <v>129.27000000000001</v>
      </c>
      <c r="G9" s="147">
        <f>'Raw FS Valuation'!Q5</f>
        <v>8.86</v>
      </c>
      <c r="H9" s="148">
        <f t="shared" si="1"/>
        <v>1742.2918000000002</v>
      </c>
      <c r="I9" s="13"/>
      <c r="J9" s="149">
        <f>'Raw FS Valuation'!P5</f>
        <v>624.9</v>
      </c>
      <c r="K9" s="150">
        <f>H9/'Raw FS Valuation'!L5</f>
        <v>44.55989258312021</v>
      </c>
      <c r="L9" s="147">
        <f>'Raw FS Valuation'!O5</f>
        <v>13.6</v>
      </c>
      <c r="M9" s="151">
        <f t="shared" si="2"/>
        <v>0.80616478956727911</v>
      </c>
      <c r="N9" s="13"/>
      <c r="O9" s="152">
        <f t="shared" si="3"/>
        <v>2.7881129780764926</v>
      </c>
      <c r="P9" s="153">
        <f t="shared" si="4"/>
        <v>39.1</v>
      </c>
      <c r="Q9" s="154">
        <f t="shared" si="5"/>
        <v>119.25601470588236</v>
      </c>
    </row>
    <row r="10" spans="2:17" ht="14.25" customHeight="1" x14ac:dyDescent="0.35">
      <c r="B10" s="53" t="s">
        <v>290</v>
      </c>
      <c r="C10" s="146">
        <f>'Raw FS Valuation'!M6</f>
        <v>6</v>
      </c>
      <c r="D10" s="147">
        <f>'Raw FS Valuation'!D6</f>
        <v>127</v>
      </c>
      <c r="E10" s="147">
        <f t="shared" si="0"/>
        <v>762</v>
      </c>
      <c r="F10" s="147">
        <f>'Raw FS Valuation'!K6</f>
        <v>54.79</v>
      </c>
      <c r="G10" s="147">
        <f>'Raw FS Valuation'!Q6</f>
        <v>38.44</v>
      </c>
      <c r="H10" s="148">
        <f t="shared" si="1"/>
        <v>778.34999999999991</v>
      </c>
      <c r="I10" s="13"/>
      <c r="J10" s="149">
        <f>'Raw FS Valuation'!P6</f>
        <v>808.71</v>
      </c>
      <c r="K10" s="150">
        <f>H10/'Raw FS Valuation'!L6</f>
        <v>30.607550137632714</v>
      </c>
      <c r="L10" s="147">
        <f>'Raw FS Valuation'!O6</f>
        <v>13.03</v>
      </c>
      <c r="M10" s="151">
        <f t="shared" si="2"/>
        <v>2.1716666666666664</v>
      </c>
      <c r="N10" s="13"/>
      <c r="O10" s="152">
        <f t="shared" si="3"/>
        <v>0.96245873057090903</v>
      </c>
      <c r="P10" s="153">
        <f t="shared" si="4"/>
        <v>25.43</v>
      </c>
      <c r="Q10" s="154">
        <f t="shared" si="5"/>
        <v>58.48042977743669</v>
      </c>
    </row>
    <row r="11" spans="2:17" ht="14.25" customHeight="1" x14ac:dyDescent="0.35">
      <c r="B11" s="53" t="s">
        <v>291</v>
      </c>
      <c r="C11" s="146">
        <f>'Raw FS Valuation'!M7</f>
        <v>2.54</v>
      </c>
      <c r="D11" s="147">
        <f>'Raw FS Valuation'!D7</f>
        <v>274.45</v>
      </c>
      <c r="E11" s="147">
        <f t="shared" si="0"/>
        <v>697.10299999999995</v>
      </c>
      <c r="F11" s="147">
        <f>'Raw FS Valuation'!K7</f>
        <v>184.53</v>
      </c>
      <c r="G11" s="147">
        <f>'Raw FS Valuation'!Q7</f>
        <v>2.0099999999999998</v>
      </c>
      <c r="H11" s="148">
        <f t="shared" si="1"/>
        <v>879.62299999999993</v>
      </c>
      <c r="I11" s="13"/>
      <c r="J11" s="149">
        <f>'Raw FS Valuation'!P7</f>
        <v>824</v>
      </c>
      <c r="K11" s="150">
        <f>H11/'Raw FS Valuation'!L7</f>
        <v>74.48120237087214</v>
      </c>
      <c r="L11" s="147">
        <f>'Raw FS Valuation'!O7</f>
        <v>31.01</v>
      </c>
      <c r="M11" s="151">
        <f t="shared" si="2"/>
        <v>12.208661417322835</v>
      </c>
      <c r="N11" s="13"/>
      <c r="O11" s="152">
        <f t="shared" si="3"/>
        <v>1.0675036407766989</v>
      </c>
      <c r="P11" s="153">
        <f t="shared" si="4"/>
        <v>11.809999999999999</v>
      </c>
      <c r="Q11" s="154">
        <f t="shared" si="5"/>
        <v>22.479941954208318</v>
      </c>
    </row>
    <row r="12" spans="2:17" ht="14.25" customHeight="1" x14ac:dyDescent="0.35">
      <c r="B12" s="53" t="s">
        <v>292</v>
      </c>
      <c r="C12" s="146">
        <f>'Raw FS Valuation'!M8</f>
        <v>2.04</v>
      </c>
      <c r="D12" s="147">
        <f>'Raw FS Valuation'!D8</f>
        <v>208</v>
      </c>
      <c r="E12" s="147">
        <f t="shared" si="0"/>
        <v>424.32</v>
      </c>
      <c r="F12" s="147">
        <f>'Raw FS Valuation'!K8</f>
        <v>38.590000000000003</v>
      </c>
      <c r="G12" s="147">
        <f>'Raw FS Valuation'!Q8</f>
        <v>43.18</v>
      </c>
      <c r="H12" s="148">
        <f t="shared" si="1"/>
        <v>419.72999999999996</v>
      </c>
      <c r="I12" s="13"/>
      <c r="J12" s="149">
        <f>'Raw FS Valuation'!P8</f>
        <v>103.5</v>
      </c>
      <c r="K12" s="150">
        <f>H12/'Raw FS Valuation'!L8</f>
        <v>41.43435340572556</v>
      </c>
      <c r="L12" s="147">
        <f>'Raw FS Valuation'!O8</f>
        <v>22.42</v>
      </c>
      <c r="M12" s="151">
        <f t="shared" si="2"/>
        <v>10.990196078431373</v>
      </c>
      <c r="N12" s="13"/>
      <c r="O12" s="152">
        <f t="shared" si="3"/>
        <v>4.0553623188405794</v>
      </c>
      <c r="P12" s="153">
        <f t="shared" si="4"/>
        <v>10.130000000000001</v>
      </c>
      <c r="Q12" s="154">
        <f t="shared" si="5"/>
        <v>18.925958965209634</v>
      </c>
    </row>
    <row r="13" spans="2:17" ht="14.25" customHeight="1" x14ac:dyDescent="0.35"/>
    <row r="14" spans="2:17" ht="14.25" customHeight="1" x14ac:dyDescent="0.35">
      <c r="B14" s="165"/>
      <c r="C14" s="166"/>
      <c r="D14" s="167"/>
      <c r="E14" s="167"/>
      <c r="F14" s="167"/>
      <c r="G14" s="167"/>
      <c r="H14" s="167"/>
      <c r="I14" s="13"/>
      <c r="J14" s="167"/>
      <c r="K14" s="167"/>
      <c r="L14" s="167"/>
      <c r="M14" s="168"/>
      <c r="N14" s="13"/>
      <c r="O14" s="169"/>
      <c r="P14" s="169"/>
      <c r="Q14" s="170"/>
    </row>
    <row r="15" spans="2:17" ht="21" customHeight="1" x14ac:dyDescent="0.35">
      <c r="B15" s="238" t="s">
        <v>39</v>
      </c>
      <c r="C15" s="238"/>
      <c r="D15" s="171" t="s">
        <v>309</v>
      </c>
      <c r="E15" s="171" t="s">
        <v>310</v>
      </c>
      <c r="F15" s="171" t="s">
        <v>311</v>
      </c>
      <c r="G15" s="167"/>
      <c r="H15" s="167"/>
      <c r="I15" s="13"/>
      <c r="J15" s="167"/>
      <c r="K15" s="167"/>
      <c r="L15" s="167"/>
      <c r="M15" s="239"/>
      <c r="N15" s="239"/>
      <c r="O15" s="169"/>
      <c r="P15" s="169"/>
      <c r="Q15" s="170"/>
    </row>
    <row r="16" spans="2:17" ht="14.25" customHeight="1" x14ac:dyDescent="0.35">
      <c r="B16" s="240" t="s">
        <v>312</v>
      </c>
      <c r="C16" s="240"/>
      <c r="D16" s="172">
        <f>J7*O18</f>
        <v>601854.81528985174</v>
      </c>
      <c r="E16" s="172">
        <f>K7*P19</f>
        <v>414128.41569306934</v>
      </c>
      <c r="F16" s="172">
        <f>L7*Q19</f>
        <v>277233.20960596291</v>
      </c>
      <c r="G16" s="13"/>
      <c r="H16" s="13"/>
      <c r="I16" s="13"/>
      <c r="J16" s="13"/>
      <c r="K16" s="13"/>
      <c r="L16" s="13"/>
      <c r="M16" s="241" t="s">
        <v>313</v>
      </c>
      <c r="N16" s="241"/>
      <c r="O16" s="153">
        <f>MAX(O7:O12)</f>
        <v>4.0553623188405794</v>
      </c>
      <c r="P16" s="153">
        <f>MAX(P7:P12)</f>
        <v>39.1</v>
      </c>
      <c r="Q16" s="153">
        <f>MAX(Q7:Q12)</f>
        <v>119.25601470588236</v>
      </c>
    </row>
    <row r="17" spans="2:17" ht="14.25" customHeight="1" x14ac:dyDescent="0.35">
      <c r="B17" s="240" t="s">
        <v>314</v>
      </c>
      <c r="C17" s="240"/>
      <c r="D17" s="172">
        <f>F7-G7</f>
        <v>84353</v>
      </c>
      <c r="E17" s="172">
        <f>D17</f>
        <v>84353</v>
      </c>
      <c r="F17" s="172">
        <v>0</v>
      </c>
      <c r="G17" s="13"/>
      <c r="H17" s="13"/>
      <c r="I17" s="13"/>
      <c r="J17" s="13"/>
      <c r="K17" s="13"/>
      <c r="L17" s="13"/>
      <c r="M17" s="241" t="s">
        <v>315</v>
      </c>
      <c r="N17" s="241"/>
      <c r="O17" s="172">
        <f>QUARTILE(O7:O12,3)</f>
        <v>3.0604251693722175</v>
      </c>
      <c r="P17" s="172">
        <f>QUARTILE(P7:P12,3)</f>
        <v>22.024999999999999</v>
      </c>
      <c r="Q17" s="172">
        <f>QUARTILE(Q7:Q12,3)</f>
        <v>49.480307821629594</v>
      </c>
    </row>
    <row r="18" spans="2:17" ht="14.25" customHeight="1" x14ac:dyDescent="0.35">
      <c r="B18" s="240" t="s">
        <v>316</v>
      </c>
      <c r="C18" s="240"/>
      <c r="D18" s="172">
        <f>D16-D17</f>
        <v>517501.81528985174</v>
      </c>
      <c r="E18" s="172">
        <f>E16-E17</f>
        <v>329775.41569306934</v>
      </c>
      <c r="F18" s="172">
        <f>F16-F17</f>
        <v>277233.20960596291</v>
      </c>
      <c r="G18" s="13"/>
      <c r="H18" s="13"/>
      <c r="I18" s="13"/>
      <c r="J18" s="13"/>
      <c r="K18" s="13"/>
      <c r="L18" s="13"/>
      <c r="M18" s="241" t="s">
        <v>317</v>
      </c>
      <c r="N18" s="241"/>
      <c r="O18" s="153">
        <f>AVERAGE(O7:O12)</f>
        <v>2.1890087264673959</v>
      </c>
      <c r="P18" s="153">
        <f>AVERAGE(P7:P12)</f>
        <v>16.848333333333333</v>
      </c>
      <c r="Q18" s="153">
        <f>AVERAGE(Q7:Q12)</f>
        <v>41.126839762721829</v>
      </c>
    </row>
    <row r="19" spans="2:17" ht="14.25" customHeight="1" x14ac:dyDescent="0.35">
      <c r="B19" s="242" t="s">
        <v>318</v>
      </c>
      <c r="C19" s="242"/>
      <c r="D19" s="174">
        <f>C7</f>
        <v>224.72</v>
      </c>
      <c r="E19" s="174">
        <f>D19</f>
        <v>224.72</v>
      </c>
      <c r="F19" s="174">
        <f>E19</f>
        <v>224.72</v>
      </c>
      <c r="G19" s="13"/>
      <c r="H19" s="13"/>
      <c r="I19" s="13"/>
      <c r="J19" s="13"/>
      <c r="K19" s="13"/>
      <c r="L19" s="169"/>
      <c r="M19" s="241" t="s">
        <v>206</v>
      </c>
      <c r="N19" s="241"/>
      <c r="O19" s="153">
        <f>MEDIAN(O7:O12)</f>
        <v>1.9487658844060305</v>
      </c>
      <c r="P19" s="153">
        <f>MEDIAN(P7:P12)</f>
        <v>10.969999999999999</v>
      </c>
      <c r="Q19" s="153">
        <f>MEDIAN(Q7:Q12)</f>
        <v>20.702950459708976</v>
      </c>
    </row>
    <row r="20" spans="2:17" ht="14.25" customHeight="1" x14ac:dyDescent="0.35">
      <c r="B20" s="243" t="s">
        <v>319</v>
      </c>
      <c r="C20" s="243"/>
      <c r="D20" s="62">
        <f>D18/D19</f>
        <v>2302.8738665443739</v>
      </c>
      <c r="E20" s="175">
        <f>E18/E19</f>
        <v>1467.4947298552393</v>
      </c>
      <c r="F20" s="176">
        <f>F18/F19</f>
        <v>1233.682848015143</v>
      </c>
      <c r="G20" s="13"/>
      <c r="H20" s="13"/>
      <c r="I20" s="13"/>
      <c r="J20" s="13"/>
      <c r="K20" s="13"/>
      <c r="L20" s="13"/>
      <c r="M20" s="241" t="s">
        <v>320</v>
      </c>
      <c r="N20" s="241"/>
      <c r="O20" s="153">
        <f>QUARTILE(O7:O12,1)</f>
        <v>1.0779824282664161</v>
      </c>
      <c r="P20" s="153">
        <f>QUARTILE(P7:P12,1)</f>
        <v>8.5925000000000011</v>
      </c>
      <c r="Q20" s="153">
        <f>QUARTILE(Q7:Q12,1)</f>
        <v>17.091005834200626</v>
      </c>
    </row>
    <row r="21" spans="2:17" ht="14.25" customHeight="1" x14ac:dyDescent="0.35">
      <c r="G21" s="13"/>
      <c r="H21" s="13"/>
      <c r="I21" s="13"/>
      <c r="J21" s="13"/>
      <c r="K21" s="13"/>
      <c r="L21" s="13"/>
      <c r="M21" s="241" t="s">
        <v>321</v>
      </c>
      <c r="N21" s="241"/>
      <c r="O21" s="153">
        <f>MIN(O7:O12)</f>
        <v>0.96245873057090903</v>
      </c>
      <c r="P21" s="153">
        <f>MIN(P7:P12)</f>
        <v>6.5400000000000009</v>
      </c>
      <c r="Q21" s="153">
        <f>MIN(Q7:Q12)</f>
        <v>11.139338383062992</v>
      </c>
    </row>
    <row r="22" spans="2:17" ht="14.25" customHeight="1" x14ac:dyDescent="0.35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69"/>
      <c r="P22" s="169"/>
      <c r="Q22" s="169"/>
    </row>
    <row r="23" spans="2:17" ht="15" customHeight="1" x14ac:dyDescent="0.3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2:17" ht="15" customHeight="1" x14ac:dyDescent="0.35"/>
  </sheetData>
  <mergeCells count="21">
    <mergeCell ref="M21:N21"/>
    <mergeCell ref="B18:C18"/>
    <mergeCell ref="M18:N18"/>
    <mergeCell ref="B19:C19"/>
    <mergeCell ref="M19:N19"/>
    <mergeCell ref="B20:C20"/>
    <mergeCell ref="M20:N20"/>
    <mergeCell ref="B15:C15"/>
    <mergeCell ref="M15:N15"/>
    <mergeCell ref="B16:C16"/>
    <mergeCell ref="M16:N16"/>
    <mergeCell ref="B17:C17"/>
    <mergeCell ref="M17:N17"/>
    <mergeCell ref="B2:Q2"/>
    <mergeCell ref="B4:Q4"/>
    <mergeCell ref="B5:B6"/>
    <mergeCell ref="C5:H5"/>
    <mergeCell ref="I5:I6"/>
    <mergeCell ref="J5:M5"/>
    <mergeCell ref="N5:N6"/>
    <mergeCell ref="O5:Q5"/>
  </mergeCells>
  <pageMargins left="0.7" right="0.7" top="0.75" bottom="0.75" header="0.511811023622047" footer="0.511811023622047"/>
  <pageSetup paperSize="9" orientation="portrait" horizontalDpi="300" verticalDpi="300"/>
  <ignoredErrors>
    <ignoredError sqref="E18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P24"/>
  <sheetViews>
    <sheetView zoomScale="79" zoomScaleNormal="79" workbookViewId="0">
      <selection activeCell="C22" sqref="C22"/>
    </sheetView>
  </sheetViews>
  <sheetFormatPr defaultColWidth="8.54296875" defaultRowHeight="14.5" x14ac:dyDescent="0.35"/>
  <cols>
    <col min="2" max="2" width="15.6328125" style="13" customWidth="1"/>
    <col min="3" max="9" width="9.26953125" style="13" customWidth="1"/>
    <col min="10" max="13" width="10.6328125" style="13" customWidth="1"/>
    <col min="14" max="14" width="5" style="13" customWidth="1"/>
    <col min="15" max="15" width="23.36328125" style="13" customWidth="1"/>
    <col min="16" max="16" width="8.81640625" style="13" customWidth="1"/>
  </cols>
  <sheetData>
    <row r="2" spans="2:16" ht="14.25" customHeight="1" x14ac:dyDescent="0.35">
      <c r="B2" s="244" t="s">
        <v>322</v>
      </c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</row>
    <row r="3" spans="2:16" ht="15" customHeight="1" x14ac:dyDescent="0.35"/>
    <row r="4" spans="2:16" ht="14.25" customHeight="1" x14ac:dyDescent="0.35">
      <c r="B4" s="245" t="s">
        <v>323</v>
      </c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O4" s="177" t="s">
        <v>324</v>
      </c>
      <c r="P4" s="178">
        <f>MEDIAN(Assumptions!D4:G4)</f>
        <v>0.14105518364050654</v>
      </c>
    </row>
    <row r="5" spans="2:16" ht="14.25" customHeight="1" x14ac:dyDescent="0.35">
      <c r="B5" s="97" t="s">
        <v>325</v>
      </c>
      <c r="C5" s="97" t="s">
        <v>326</v>
      </c>
      <c r="D5" s="97" t="s">
        <v>327</v>
      </c>
      <c r="E5" s="97" t="s">
        <v>328</v>
      </c>
      <c r="F5" s="97" t="s">
        <v>329</v>
      </c>
      <c r="G5" s="97" t="s">
        <v>330</v>
      </c>
      <c r="H5" s="97" t="s">
        <v>331</v>
      </c>
      <c r="I5" s="97" t="s">
        <v>332</v>
      </c>
      <c r="J5" s="97" t="s">
        <v>333</v>
      </c>
      <c r="K5" s="97" t="s">
        <v>334</v>
      </c>
      <c r="L5" s="97" t="s">
        <v>335</v>
      </c>
      <c r="M5" s="97" t="s">
        <v>336</v>
      </c>
      <c r="O5" s="179" t="s">
        <v>337</v>
      </c>
      <c r="P5" s="180">
        <v>6.7000000000000004E-2</v>
      </c>
    </row>
    <row r="6" spans="2:16" ht="15" customHeight="1" x14ac:dyDescent="0.35">
      <c r="B6" s="53" t="s">
        <v>338</v>
      </c>
      <c r="C6" s="181">
        <f>Assumptions!G3</f>
        <v>16788</v>
      </c>
      <c r="D6" s="181">
        <f t="shared" ref="D6:M6" si="0">C6*(1+D7)</f>
        <v>19156.034422956822</v>
      </c>
      <c r="E6" s="181">
        <f t="shared" si="0"/>
        <v>21700.469748864645</v>
      </c>
      <c r="F6" s="181">
        <f t="shared" si="0"/>
        <v>24404.315211634355</v>
      </c>
      <c r="G6" s="181">
        <f t="shared" si="0"/>
        <v>27244.24836055945</v>
      </c>
      <c r="H6" s="181">
        <f t="shared" si="0"/>
        <v>30190.489564877378</v>
      </c>
      <c r="I6" s="181">
        <f t="shared" si="0"/>
        <v>33206.924476356959</v>
      </c>
      <c r="J6" s="181">
        <f t="shared" si="0"/>
        <v>36251.503379683883</v>
      </c>
      <c r="K6" s="181">
        <f t="shared" si="0"/>
        <v>39276.93449279535</v>
      </c>
      <c r="L6" s="181">
        <f t="shared" si="0"/>
        <v>42231.67361455709</v>
      </c>
      <c r="M6" s="181">
        <f t="shared" si="0"/>
        <v>45061.19574673241</v>
      </c>
      <c r="O6" s="182"/>
      <c r="P6" s="183">
        <f>P4-P5</f>
        <v>7.4055183640506533E-2</v>
      </c>
    </row>
    <row r="7" spans="2:16" ht="15" customHeight="1" x14ac:dyDescent="0.35">
      <c r="B7" s="53" t="s">
        <v>67</v>
      </c>
      <c r="C7" s="184"/>
      <c r="D7" s="185">
        <f>P4</f>
        <v>0.14105518364050654</v>
      </c>
      <c r="E7" s="185">
        <f t="shared" ref="E7:M7" si="1">D7-$P$7</f>
        <v>0.13282682990267247</v>
      </c>
      <c r="F7" s="185">
        <f t="shared" si="1"/>
        <v>0.12459847616483841</v>
      </c>
      <c r="G7" s="185">
        <f t="shared" si="1"/>
        <v>0.11637012242700434</v>
      </c>
      <c r="H7" s="185">
        <f t="shared" si="1"/>
        <v>0.10814176868917028</v>
      </c>
      <c r="I7" s="185">
        <f t="shared" si="1"/>
        <v>9.991341495133621E-2</v>
      </c>
      <c r="J7" s="185">
        <f t="shared" si="1"/>
        <v>9.1685061213502145E-2</v>
      </c>
      <c r="K7" s="185">
        <f t="shared" si="1"/>
        <v>8.3456707475668079E-2</v>
      </c>
      <c r="L7" s="185">
        <f t="shared" si="1"/>
        <v>7.5228353737834014E-2</v>
      </c>
      <c r="M7" s="185">
        <f t="shared" si="1"/>
        <v>6.6999999999999948E-2</v>
      </c>
      <c r="O7" s="81" t="s">
        <v>339</v>
      </c>
      <c r="P7" s="186">
        <f>P6/9</f>
        <v>8.2283537378340585E-3</v>
      </c>
    </row>
    <row r="8" spans="2:16" ht="14.25" customHeight="1" x14ac:dyDescent="0.35">
      <c r="C8" s="187"/>
      <c r="D8" s="188"/>
      <c r="E8" s="188"/>
      <c r="F8" s="188"/>
      <c r="G8" s="188"/>
      <c r="H8" s="188"/>
      <c r="I8" s="188"/>
      <c r="J8" s="188"/>
      <c r="K8" s="188"/>
      <c r="L8" s="188"/>
      <c r="M8" s="188"/>
      <c r="O8" s="13">
        <f>P6/9</f>
        <v>8.2283537378340585E-3</v>
      </c>
    </row>
    <row r="9" spans="2:16" ht="15" customHeight="1" x14ac:dyDescent="0.35">
      <c r="C9" s="187"/>
      <c r="D9" s="189"/>
      <c r="E9" s="189"/>
      <c r="F9" s="189"/>
      <c r="G9" s="189"/>
      <c r="H9" s="189"/>
      <c r="I9" s="189"/>
      <c r="J9" s="189"/>
      <c r="K9" s="189"/>
      <c r="L9" s="189"/>
      <c r="M9" s="189"/>
    </row>
    <row r="10" spans="2:16" ht="14.25" customHeight="1" x14ac:dyDescent="0.35">
      <c r="B10" s="245" t="s">
        <v>340</v>
      </c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O10" s="190" t="s">
        <v>181</v>
      </c>
      <c r="P10" s="191">
        <f>Assumptions!C20</f>
        <v>0.19695048225655995</v>
      </c>
    </row>
    <row r="11" spans="2:16" ht="14.25" customHeight="1" x14ac:dyDescent="0.35">
      <c r="B11" s="97" t="s">
        <v>325</v>
      </c>
      <c r="C11" s="97" t="s">
        <v>326</v>
      </c>
      <c r="D11" s="97" t="s">
        <v>327</v>
      </c>
      <c r="E11" s="97" t="s">
        <v>328</v>
      </c>
      <c r="F11" s="97" t="s">
        <v>329</v>
      </c>
      <c r="G11" s="97" t="s">
        <v>330</v>
      </c>
      <c r="H11" s="97" t="s">
        <v>331</v>
      </c>
      <c r="I11" s="97" t="s">
        <v>332</v>
      </c>
      <c r="J11" s="97" t="s">
        <v>333</v>
      </c>
      <c r="K11" s="97" t="s">
        <v>334</v>
      </c>
      <c r="L11" s="97" t="s">
        <v>335</v>
      </c>
      <c r="M11" s="97" t="s">
        <v>336</v>
      </c>
      <c r="O11" s="192" t="s">
        <v>337</v>
      </c>
      <c r="P11" s="193">
        <v>6.7000000000000004E-2</v>
      </c>
    </row>
    <row r="12" spans="2:16" ht="15" customHeight="1" x14ac:dyDescent="0.35">
      <c r="B12" s="53" t="s">
        <v>338</v>
      </c>
      <c r="C12" s="181">
        <f>C6</f>
        <v>16788</v>
      </c>
      <c r="D12" s="181">
        <f t="shared" ref="D12:M12" si="2">C12*(1+D13)</f>
        <v>20094.404696123129</v>
      </c>
      <c r="E12" s="181">
        <f t="shared" si="2"/>
        <v>23761.86543824754</v>
      </c>
      <c r="F12" s="181">
        <f t="shared" si="2"/>
        <v>27755.583879400157</v>
      </c>
      <c r="G12" s="181">
        <f t="shared" si="2"/>
        <v>32019.775672946937</v>
      </c>
      <c r="H12" s="181">
        <f t="shared" si="2"/>
        <v>36476.759137726782</v>
      </c>
      <c r="I12" s="181">
        <f t="shared" si="2"/>
        <v>41027.445307111804</v>
      </c>
      <c r="J12" s="181">
        <f t="shared" si="2"/>
        <v>45553.462910492897</v>
      </c>
      <c r="K12" s="181">
        <f t="shared" si="2"/>
        <v>49921.032586312554</v>
      </c>
      <c r="L12" s="181">
        <f t="shared" si="2"/>
        <v>53986.548687299583</v>
      </c>
      <c r="M12" s="181">
        <f t="shared" si="2"/>
        <v>57603.647449348653</v>
      </c>
      <c r="O12" s="182"/>
      <c r="P12" s="194">
        <f>P10-P11</f>
        <v>0.12995048225655995</v>
      </c>
    </row>
    <row r="13" spans="2:16" ht="15" customHeight="1" x14ac:dyDescent="0.35">
      <c r="B13" s="53" t="s">
        <v>67</v>
      </c>
      <c r="C13" s="184"/>
      <c r="D13" s="195">
        <f>Assumptions!C20</f>
        <v>0.19695048225655995</v>
      </c>
      <c r="E13" s="196">
        <f t="shared" ref="E13:M13" si="3">D13-$P$13</f>
        <v>0.18251153978360884</v>
      </c>
      <c r="F13" s="196">
        <f t="shared" si="3"/>
        <v>0.16807259731065774</v>
      </c>
      <c r="G13" s="196">
        <f t="shared" si="3"/>
        <v>0.15363365483770663</v>
      </c>
      <c r="H13" s="196">
        <f t="shared" si="3"/>
        <v>0.13919471236475553</v>
      </c>
      <c r="I13" s="196">
        <f t="shared" si="3"/>
        <v>0.12475576989180442</v>
      </c>
      <c r="J13" s="196">
        <f t="shared" si="3"/>
        <v>0.11031682741885332</v>
      </c>
      <c r="K13" s="196">
        <f t="shared" si="3"/>
        <v>9.5877884945902214E-2</v>
      </c>
      <c r="L13" s="196">
        <f t="shared" si="3"/>
        <v>8.1438942472951109E-2</v>
      </c>
      <c r="M13" s="196">
        <f t="shared" si="3"/>
        <v>6.7000000000000004E-2</v>
      </c>
      <c r="N13" s="189"/>
      <c r="O13" s="81" t="s">
        <v>339</v>
      </c>
      <c r="P13" s="197">
        <f>P12/9</f>
        <v>1.4438942472951105E-2</v>
      </c>
    </row>
    <row r="14" spans="2:16" ht="15" customHeight="1" x14ac:dyDescent="0.35">
      <c r="B14" s="198"/>
      <c r="C14" s="199"/>
      <c r="D14" s="82"/>
      <c r="E14" s="199"/>
      <c r="F14" s="199"/>
      <c r="G14" s="199"/>
      <c r="H14" s="199"/>
      <c r="I14" s="199"/>
      <c r="J14" s="199"/>
      <c r="K14" s="199"/>
      <c r="L14" s="199"/>
      <c r="M14" s="200"/>
      <c r="O14" s="13">
        <f>P12/9</f>
        <v>1.4438942472951105E-2</v>
      </c>
    </row>
    <row r="15" spans="2:16" ht="15" customHeight="1" x14ac:dyDescent="0.35"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O15" s="92"/>
      <c r="P15" s="201"/>
    </row>
    <row r="16" spans="2:16" ht="14.25" customHeight="1" x14ac:dyDescent="0.35">
      <c r="B16" s="246" t="s">
        <v>341</v>
      </c>
      <c r="C16" s="246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O16" s="76" t="s">
        <v>202</v>
      </c>
      <c r="P16" s="202">
        <f>Assumptions!C46</f>
        <v>1.4469380710728395E-2</v>
      </c>
    </row>
    <row r="17" spans="2:16" ht="14.25" customHeight="1" x14ac:dyDescent="0.35">
      <c r="B17" s="97" t="s">
        <v>325</v>
      </c>
      <c r="C17" s="97" t="s">
        <v>326</v>
      </c>
      <c r="D17" s="97" t="s">
        <v>327</v>
      </c>
      <c r="E17" s="97" t="s">
        <v>328</v>
      </c>
      <c r="F17" s="97" t="s">
        <v>329</v>
      </c>
      <c r="G17" s="97" t="s">
        <v>330</v>
      </c>
      <c r="H17" s="97" t="s">
        <v>331</v>
      </c>
      <c r="I17" s="97" t="s">
        <v>332</v>
      </c>
      <c r="J17" s="97" t="s">
        <v>333</v>
      </c>
      <c r="K17" s="97" t="s">
        <v>334</v>
      </c>
      <c r="L17" s="97" t="s">
        <v>335</v>
      </c>
      <c r="M17" s="97" t="s">
        <v>336</v>
      </c>
      <c r="O17" s="203" t="s">
        <v>337</v>
      </c>
      <c r="P17" s="193">
        <v>6.7000000000000004E-2</v>
      </c>
    </row>
    <row r="18" spans="2:16" ht="15" customHeight="1" x14ac:dyDescent="0.35">
      <c r="B18" s="53" t="s">
        <v>338</v>
      </c>
      <c r="C18" s="181">
        <f>C12</f>
        <v>16788</v>
      </c>
      <c r="D18" s="181">
        <f t="shared" ref="D18:M18" si="4">C18*(1+D19)</f>
        <v>17030.911963371709</v>
      </c>
      <c r="E18" s="181">
        <f t="shared" si="4"/>
        <v>17376.743640475852</v>
      </c>
      <c r="F18" s="181">
        <f t="shared" si="4"/>
        <v>17831.021271870428</v>
      </c>
      <c r="G18" s="181">
        <f t="shared" si="4"/>
        <v>18401.249970438061</v>
      </c>
      <c r="H18" s="181">
        <f t="shared" si="4"/>
        <v>19097.117575877521</v>
      </c>
      <c r="I18" s="181">
        <f t="shared" si="4"/>
        <v>19930.765158838702</v>
      </c>
      <c r="J18" s="181">
        <f t="shared" si="4"/>
        <v>20917.134612246617</v>
      </c>
      <c r="K18" s="181">
        <f t="shared" si="4"/>
        <v>22074.407067947501</v>
      </c>
      <c r="L18" s="181">
        <f t="shared" si="4"/>
        <v>23424.549866641901</v>
      </c>
      <c r="M18" s="181">
        <f t="shared" si="4"/>
        <v>24993.994707706908</v>
      </c>
      <c r="O18" s="182"/>
      <c r="P18" s="194">
        <f>P16-P17</f>
        <v>-5.2530619289271607E-2</v>
      </c>
    </row>
    <row r="19" spans="2:16" ht="15" customHeight="1" x14ac:dyDescent="0.35">
      <c r="B19" s="53" t="s">
        <v>67</v>
      </c>
      <c r="C19" s="184"/>
      <c r="D19" s="196">
        <f>Assumptions!C46</f>
        <v>1.4469380710728395E-2</v>
      </c>
      <c r="E19" s="196">
        <f t="shared" ref="E19:M19" si="5">D19-$P$19</f>
        <v>2.0306116187314129E-2</v>
      </c>
      <c r="F19" s="196">
        <f t="shared" si="5"/>
        <v>2.6142851663899864E-2</v>
      </c>
      <c r="G19" s="196">
        <f t="shared" si="5"/>
        <v>3.1979587140485599E-2</v>
      </c>
      <c r="H19" s="196">
        <f t="shared" si="5"/>
        <v>3.7816322617071331E-2</v>
      </c>
      <c r="I19" s="196">
        <f t="shared" si="5"/>
        <v>4.3653058093657063E-2</v>
      </c>
      <c r="J19" s="196">
        <f t="shared" si="5"/>
        <v>4.9489793570242795E-2</v>
      </c>
      <c r="K19" s="196">
        <f t="shared" si="5"/>
        <v>5.5326529046828526E-2</v>
      </c>
      <c r="L19" s="196">
        <f t="shared" si="5"/>
        <v>6.1163264523414258E-2</v>
      </c>
      <c r="M19" s="196">
        <f t="shared" si="5"/>
        <v>6.699999999999999E-2</v>
      </c>
      <c r="O19" s="204" t="s">
        <v>339</v>
      </c>
      <c r="P19" s="205">
        <f>P18/9</f>
        <v>-5.8367354765857344E-3</v>
      </c>
    </row>
    <row r="20" spans="2:16" ht="14.25" customHeight="1" x14ac:dyDescent="0.35"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O20" s="13">
        <f>P18/9</f>
        <v>-5.8367354765857344E-3</v>
      </c>
    </row>
    <row r="21" spans="2:16" ht="14.25" customHeight="1" x14ac:dyDescent="0.35">
      <c r="B21" s="206" t="s">
        <v>342</v>
      </c>
      <c r="C21" s="207">
        <v>3</v>
      </c>
      <c r="D21" s="187"/>
      <c r="E21" s="187"/>
      <c r="F21" s="187"/>
      <c r="G21" s="187"/>
      <c r="H21" s="187"/>
      <c r="I21" s="187"/>
      <c r="J21" s="187"/>
      <c r="K21" s="187"/>
      <c r="L21" s="187"/>
      <c r="M21" s="187"/>
    </row>
    <row r="22" spans="2:16" ht="14.25" customHeight="1" x14ac:dyDescent="0.35">
      <c r="B22" s="97" t="s">
        <v>325</v>
      </c>
      <c r="C22" s="97" t="s">
        <v>326</v>
      </c>
      <c r="D22" s="97" t="s">
        <v>327</v>
      </c>
      <c r="E22" s="97" t="s">
        <v>328</v>
      </c>
      <c r="F22" s="97" t="s">
        <v>329</v>
      </c>
      <c r="G22" s="97" t="s">
        <v>330</v>
      </c>
      <c r="H22" s="97" t="s">
        <v>331</v>
      </c>
      <c r="I22" s="97" t="s">
        <v>332</v>
      </c>
      <c r="J22" s="97" t="s">
        <v>333</v>
      </c>
      <c r="K22" s="97" t="s">
        <v>334</v>
      </c>
      <c r="L22" s="97" t="s">
        <v>335</v>
      </c>
      <c r="M22" s="97" t="s">
        <v>336</v>
      </c>
    </row>
    <row r="23" spans="2:16" ht="14.25" customHeight="1" x14ac:dyDescent="0.35">
      <c r="B23" s="53" t="s">
        <v>338</v>
      </c>
      <c r="C23" s="181">
        <f>C6</f>
        <v>16788</v>
      </c>
      <c r="D23" s="184">
        <f t="shared" ref="D23:M23" si="6">C23*(1+D24)</f>
        <v>17030.911963371709</v>
      </c>
      <c r="E23" s="181">
        <f t="shared" si="6"/>
        <v>17376.743640475852</v>
      </c>
      <c r="F23" s="181">
        <f t="shared" si="6"/>
        <v>17831.021271870428</v>
      </c>
      <c r="G23" s="181">
        <f t="shared" si="6"/>
        <v>18401.249970438061</v>
      </c>
      <c r="H23" s="181">
        <f t="shared" si="6"/>
        <v>19097.117575877521</v>
      </c>
      <c r="I23" s="181">
        <f t="shared" si="6"/>
        <v>19930.765158838702</v>
      </c>
      <c r="J23" s="181">
        <f t="shared" si="6"/>
        <v>20917.134612246617</v>
      </c>
      <c r="K23" s="181">
        <f t="shared" si="6"/>
        <v>22074.407067947501</v>
      </c>
      <c r="L23" s="181">
        <f t="shared" si="6"/>
        <v>23424.549866641901</v>
      </c>
      <c r="M23" s="181">
        <f t="shared" si="6"/>
        <v>24993.994707706908</v>
      </c>
    </row>
    <row r="24" spans="2:16" ht="14.25" customHeight="1" x14ac:dyDescent="0.35">
      <c r="B24" s="53" t="s">
        <v>67</v>
      </c>
      <c r="C24" s="184"/>
      <c r="D24" s="196">
        <f t="shared" ref="D24:M24" si="7">CHOOSE($C$21,D7,D13,D19)</f>
        <v>1.4469380710728395E-2</v>
      </c>
      <c r="E24" s="196">
        <f t="shared" si="7"/>
        <v>2.0306116187314129E-2</v>
      </c>
      <c r="F24" s="196">
        <f t="shared" si="7"/>
        <v>2.6142851663899864E-2</v>
      </c>
      <c r="G24" s="196">
        <f t="shared" si="7"/>
        <v>3.1979587140485599E-2</v>
      </c>
      <c r="H24" s="196">
        <f t="shared" si="7"/>
        <v>3.7816322617071331E-2</v>
      </c>
      <c r="I24" s="196">
        <f t="shared" si="7"/>
        <v>4.3653058093657063E-2</v>
      </c>
      <c r="J24" s="196">
        <f t="shared" si="7"/>
        <v>4.9489793570242795E-2</v>
      </c>
      <c r="K24" s="196">
        <f t="shared" si="7"/>
        <v>5.5326529046828526E-2</v>
      </c>
      <c r="L24" s="196">
        <f t="shared" si="7"/>
        <v>6.1163264523414258E-2</v>
      </c>
      <c r="M24" s="196">
        <f t="shared" si="7"/>
        <v>6.699999999999999E-2</v>
      </c>
    </row>
  </sheetData>
  <mergeCells count="4">
    <mergeCell ref="B2:P2"/>
    <mergeCell ref="B4:M4"/>
    <mergeCell ref="B10:M10"/>
    <mergeCell ref="B16:M1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Q32"/>
  <sheetViews>
    <sheetView tabSelected="1" zoomScale="81" zoomScaleNormal="81" workbookViewId="0">
      <selection activeCell="P10" sqref="P10"/>
    </sheetView>
  </sheetViews>
  <sheetFormatPr defaultColWidth="8.54296875" defaultRowHeight="14.5" x14ac:dyDescent="0.35"/>
  <cols>
    <col min="1" max="1" width="5.08984375" customWidth="1"/>
    <col min="2" max="2" width="27.08984375" customWidth="1"/>
    <col min="3" max="14" width="11.1796875" customWidth="1"/>
    <col min="15" max="15" width="5.36328125" customWidth="1"/>
    <col min="16" max="16" width="22" customWidth="1"/>
    <col min="17" max="17" width="8.81640625" customWidth="1"/>
  </cols>
  <sheetData>
    <row r="1" spans="2:17" ht="14.25" customHeight="1" x14ac:dyDescent="0.35">
      <c r="B1" s="244" t="s">
        <v>343</v>
      </c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13"/>
      <c r="P1" s="13"/>
      <c r="Q1" s="13"/>
    </row>
    <row r="2" spans="2:17" ht="14.25" customHeight="1" x14ac:dyDescent="0.35">
      <c r="B2" s="13"/>
      <c r="C2" s="13"/>
      <c r="D2" s="13">
        <v>1</v>
      </c>
      <c r="E2" s="13">
        <v>2</v>
      </c>
      <c r="F2" s="13">
        <v>3</v>
      </c>
      <c r="G2" s="13">
        <v>4</v>
      </c>
      <c r="H2" s="13">
        <v>5</v>
      </c>
      <c r="I2" s="13">
        <v>6</v>
      </c>
      <c r="J2" s="13">
        <v>7</v>
      </c>
      <c r="K2" s="13">
        <v>8</v>
      </c>
      <c r="L2" s="13">
        <v>9</v>
      </c>
      <c r="M2" s="13">
        <v>10</v>
      </c>
      <c r="N2" s="13"/>
      <c r="O2" s="13"/>
      <c r="P2" s="13"/>
      <c r="Q2" s="13"/>
    </row>
    <row r="3" spans="2:17" ht="14.25" customHeight="1" x14ac:dyDescent="0.35">
      <c r="B3" s="208" t="s">
        <v>344</v>
      </c>
      <c r="C3" s="208" t="s">
        <v>326</v>
      </c>
      <c r="D3" s="208" t="s">
        <v>327</v>
      </c>
      <c r="E3" s="208" t="s">
        <v>328</v>
      </c>
      <c r="F3" s="208" t="s">
        <v>329</v>
      </c>
      <c r="G3" s="208" t="s">
        <v>330</v>
      </c>
      <c r="H3" s="208" t="s">
        <v>331</v>
      </c>
      <c r="I3" s="208" t="s">
        <v>332</v>
      </c>
      <c r="J3" s="208" t="s">
        <v>333</v>
      </c>
      <c r="K3" s="208" t="s">
        <v>334</v>
      </c>
      <c r="L3" s="208" t="s">
        <v>335</v>
      </c>
      <c r="M3" s="208" t="s">
        <v>336</v>
      </c>
      <c r="N3" s="208" t="s">
        <v>345</v>
      </c>
      <c r="O3" s="140"/>
      <c r="P3" s="173" t="s">
        <v>346</v>
      </c>
      <c r="Q3" s="43">
        <v>0.05</v>
      </c>
    </row>
    <row r="4" spans="2:17" ht="14.25" customHeight="1" x14ac:dyDescent="0.35">
      <c r="B4" s="53" t="s">
        <v>347</v>
      </c>
      <c r="C4" s="209">
        <f>'Growth scenerio'!C23</f>
        <v>16788</v>
      </c>
      <c r="D4" s="209">
        <f>'Growth scenerio'!D23</f>
        <v>17030.911963371709</v>
      </c>
      <c r="E4" s="209">
        <f>'Growth scenerio'!E23</f>
        <v>17376.743640475852</v>
      </c>
      <c r="F4" s="209">
        <f>'Growth scenerio'!F23</f>
        <v>17831.021271870428</v>
      </c>
      <c r="G4" s="209">
        <f>'Growth scenerio'!G23</f>
        <v>18401.249970438061</v>
      </c>
      <c r="H4" s="209">
        <f>'Growth scenerio'!H23</f>
        <v>19097.117575877521</v>
      </c>
      <c r="I4" s="209">
        <f>'Growth scenerio'!I23</f>
        <v>19930.765158838702</v>
      </c>
      <c r="J4" s="209">
        <f>'Growth scenerio'!J23</f>
        <v>20917.134612246617</v>
      </c>
      <c r="K4" s="209">
        <f>'Growth scenerio'!K23</f>
        <v>22074.407067947501</v>
      </c>
      <c r="L4" s="209">
        <f>'Growth scenerio'!L23</f>
        <v>23424.549866641901</v>
      </c>
      <c r="M4" s="209">
        <f>'Growth scenerio'!M23</f>
        <v>24993.994707706908</v>
      </c>
      <c r="N4" s="209">
        <f>M4*(1+Q3)</f>
        <v>26243.694443092256</v>
      </c>
      <c r="O4" s="210"/>
      <c r="P4" s="173" t="s">
        <v>348</v>
      </c>
      <c r="Q4" s="43">
        <f>WACC!E31</f>
        <v>0.15967184102221982</v>
      </c>
    </row>
    <row r="5" spans="2:17" ht="14.25" customHeight="1" x14ac:dyDescent="0.35">
      <c r="B5" s="53" t="s">
        <v>208</v>
      </c>
      <c r="C5" s="53"/>
      <c r="D5" s="43">
        <f>'Growth scenerio'!D24</f>
        <v>1.4469380710728395E-2</v>
      </c>
      <c r="E5" s="43">
        <f>'Growth scenerio'!E24</f>
        <v>2.0306116187314129E-2</v>
      </c>
      <c r="F5" s="43">
        <f>'Growth scenerio'!F24</f>
        <v>2.6142851663899864E-2</v>
      </c>
      <c r="G5" s="43">
        <f>'Growth scenerio'!G24</f>
        <v>3.1979587140485599E-2</v>
      </c>
      <c r="H5" s="43">
        <f>'Growth scenerio'!H24</f>
        <v>3.7816322617071331E-2</v>
      </c>
      <c r="I5" s="43">
        <f>'Growth scenerio'!I24</f>
        <v>4.3653058093657063E-2</v>
      </c>
      <c r="J5" s="43">
        <f>'Growth scenerio'!J24</f>
        <v>4.9489793570242795E-2</v>
      </c>
      <c r="K5" s="43">
        <f>'Growth scenerio'!K24</f>
        <v>5.5326529046828526E-2</v>
      </c>
      <c r="L5" s="43">
        <f>'Growth scenerio'!L24</f>
        <v>6.1163264523414258E-2</v>
      </c>
      <c r="M5" s="43">
        <f>'Growth scenerio'!M24</f>
        <v>6.699999999999999E-2</v>
      </c>
      <c r="N5" s="43">
        <f>Q3</f>
        <v>0.05</v>
      </c>
      <c r="O5" s="92"/>
      <c r="P5" s="173" t="s">
        <v>349</v>
      </c>
      <c r="Q5" s="43">
        <f>Q3/AVERAGE(Assumptions!$C$40:$G$40)</f>
        <v>0.39935739563540074</v>
      </c>
    </row>
    <row r="6" spans="2:17" ht="14.25" customHeight="1" x14ac:dyDescent="0.35">
      <c r="B6" s="53" t="s">
        <v>173</v>
      </c>
      <c r="C6" s="53"/>
      <c r="D6" s="211">
        <f t="shared" ref="D6:N6" si="0">D7*D4</f>
        <v>6878.102401218739</v>
      </c>
      <c r="E6" s="211">
        <f t="shared" si="0"/>
        <v>7017.7699477261303</v>
      </c>
      <c r="F6" s="211">
        <f t="shared" si="0"/>
        <v>7201.2344664809098</v>
      </c>
      <c r="G6" s="211">
        <f t="shared" si="0"/>
        <v>7431.526971620804</v>
      </c>
      <c r="H6" s="211">
        <f t="shared" si="0"/>
        <v>7712.5599931170836</v>
      </c>
      <c r="I6" s="211">
        <f t="shared" si="0"/>
        <v>8049.2368225474393</v>
      </c>
      <c r="J6" s="211">
        <f t="shared" si="0"/>
        <v>8447.5918912933084</v>
      </c>
      <c r="K6" s="211">
        <f t="shared" si="0"/>
        <v>8914.9678294427013</v>
      </c>
      <c r="L6" s="53">
        <f t="shared" si="0"/>
        <v>9460.2363650126335</v>
      </c>
      <c r="M6" s="211">
        <f t="shared" si="0"/>
        <v>10094.07220146848</v>
      </c>
      <c r="N6" s="172">
        <f t="shared" si="0"/>
        <v>10598.775811541906</v>
      </c>
      <c r="O6" s="212"/>
      <c r="P6" s="213"/>
      <c r="Q6" s="13"/>
    </row>
    <row r="7" spans="2:17" ht="14.25" customHeight="1" x14ac:dyDescent="0.35">
      <c r="B7" s="53" t="s">
        <v>350</v>
      </c>
      <c r="C7" s="53"/>
      <c r="D7" s="43">
        <f>Assumptions!$G$24</f>
        <v>0.40385989992852039</v>
      </c>
      <c r="E7" s="43">
        <f>Assumptions!$G$24</f>
        <v>0.40385989992852039</v>
      </c>
      <c r="F7" s="43">
        <f>Assumptions!$G$24</f>
        <v>0.40385989992852039</v>
      </c>
      <c r="G7" s="43">
        <f>Assumptions!$G$24</f>
        <v>0.40385989992852039</v>
      </c>
      <c r="H7" s="43">
        <f>Assumptions!$G$24</f>
        <v>0.40385989992852039</v>
      </c>
      <c r="I7" s="43">
        <f>Assumptions!$G$24</f>
        <v>0.40385989992852039</v>
      </c>
      <c r="J7" s="43">
        <f>Assumptions!$G$24</f>
        <v>0.40385989992852039</v>
      </c>
      <c r="K7" s="43">
        <f>Assumptions!$G$24</f>
        <v>0.40385989992852039</v>
      </c>
      <c r="L7" s="43">
        <f>Assumptions!$G$24</f>
        <v>0.40385989992852039</v>
      </c>
      <c r="M7" s="43">
        <f>Assumptions!$G$24</f>
        <v>0.40385989992852039</v>
      </c>
      <c r="N7" s="43">
        <f>M7</f>
        <v>0.40385989992852039</v>
      </c>
      <c r="O7" s="92"/>
      <c r="P7" s="247"/>
      <c r="Q7" s="247"/>
    </row>
    <row r="8" spans="2:17" ht="14.25" customHeight="1" x14ac:dyDescent="0.35">
      <c r="B8" s="53" t="s">
        <v>351</v>
      </c>
      <c r="C8" s="53"/>
      <c r="D8" s="172">
        <f>Assumptions!$C$30*D6</f>
        <v>1719.5256003046848</v>
      </c>
      <c r="E8" s="172">
        <f>Assumptions!$C$30*E6</f>
        <v>1754.4424869315326</v>
      </c>
      <c r="F8" s="172">
        <f>Assumptions!$C$30*F6</f>
        <v>1800.3086166202274</v>
      </c>
      <c r="G8" s="172">
        <f>Assumptions!$C$30*G6</f>
        <v>1857.881742905201</v>
      </c>
      <c r="H8" s="172">
        <f>Assumptions!$C$30*H6</f>
        <v>1928.1399982792709</v>
      </c>
      <c r="I8" s="172">
        <f>Assumptions!$C$30*I6</f>
        <v>2012.3092056368598</v>
      </c>
      <c r="J8" s="172">
        <f>Assumptions!$C$30*J6</f>
        <v>2111.8979728233271</v>
      </c>
      <c r="K8" s="172">
        <f>Assumptions!$C$30*K6</f>
        <v>2228.7419573606753</v>
      </c>
      <c r="L8" s="172">
        <f>Assumptions!$C$30*L6</f>
        <v>2365.0590912531584</v>
      </c>
      <c r="M8" s="172">
        <f>Assumptions!$C$30*M6</f>
        <v>2523.5180503671199</v>
      </c>
      <c r="N8" s="172">
        <f>25%*N6</f>
        <v>2649.6939528854764</v>
      </c>
      <c r="O8" s="212"/>
      <c r="P8" s="13"/>
      <c r="Q8" s="13"/>
    </row>
    <row r="9" spans="2:17" ht="14.25" customHeight="1" x14ac:dyDescent="0.35">
      <c r="B9" s="93" t="s">
        <v>352</v>
      </c>
      <c r="C9" s="93"/>
      <c r="D9" s="214">
        <f t="shared" ref="D9:N9" si="1">D6-D8</f>
        <v>5158.5768009140538</v>
      </c>
      <c r="E9" s="214">
        <f t="shared" si="1"/>
        <v>5263.3274607945978</v>
      </c>
      <c r="F9" s="214">
        <f t="shared" si="1"/>
        <v>5400.9258498606823</v>
      </c>
      <c r="G9" s="214">
        <f t="shared" si="1"/>
        <v>5573.6452287156026</v>
      </c>
      <c r="H9" s="214">
        <f t="shared" si="1"/>
        <v>5784.4199948378127</v>
      </c>
      <c r="I9" s="214">
        <f t="shared" si="1"/>
        <v>6036.9276169105797</v>
      </c>
      <c r="J9" s="214">
        <f t="shared" si="1"/>
        <v>6335.6939184699813</v>
      </c>
      <c r="K9" s="214">
        <f t="shared" si="1"/>
        <v>6686.2258720820264</v>
      </c>
      <c r="L9" s="214">
        <f t="shared" si="1"/>
        <v>7095.1772737594747</v>
      </c>
      <c r="M9" s="214">
        <f t="shared" si="1"/>
        <v>7570.5541511013598</v>
      </c>
      <c r="N9" s="215">
        <f t="shared" si="1"/>
        <v>7949.0818586564292</v>
      </c>
      <c r="O9" s="216"/>
      <c r="P9" s="140"/>
      <c r="Q9" s="140"/>
    </row>
    <row r="10" spans="2:17" ht="14.25" customHeight="1" x14ac:dyDescent="0.35">
      <c r="B10" s="53" t="s">
        <v>230</v>
      </c>
      <c r="C10" s="53"/>
      <c r="D10" s="172">
        <f>'Fixed Asset Schedule'!$C$12*D4</f>
        <v>27.917696991219206</v>
      </c>
      <c r="E10" s="172">
        <f>'Fixed Asset Schedule'!$C$12*E4</f>
        <v>28.48459699000513</v>
      </c>
      <c r="F10" s="172">
        <f>'Fixed Asset Schedule'!$C$12*F4</f>
        <v>29.229265583820805</v>
      </c>
      <c r="G10" s="172">
        <f>'Fixed Asset Schedule'!$C$12*G4</f>
        <v>30.164005429610999</v>
      </c>
      <c r="H10" s="172">
        <f>'Fixed Asset Schedule'!$C$12*H4</f>
        <v>31.304697190360258</v>
      </c>
      <c r="I10" s="172">
        <f>'Fixed Asset Schedule'!$C$12*I4</f>
        <v>32.671242955415401</v>
      </c>
      <c r="J10" s="172">
        <f>'Fixed Asset Schedule'!$C$12*J4</f>
        <v>34.288136024962157</v>
      </c>
      <c r="K10" s="172">
        <f>'Fixed Asset Schedule'!$C$12*K4</f>
        <v>36.185179578708834</v>
      </c>
      <c r="L10" s="172">
        <f>'Fixed Asset Schedule'!$C$12*L4</f>
        <v>38.398383289108651</v>
      </c>
      <c r="M10" s="172">
        <f>'Fixed Asset Schedule'!$C$12*M4</f>
        <v>40.971074969478934</v>
      </c>
      <c r="N10" s="53"/>
      <c r="O10" s="13"/>
      <c r="P10" s="13"/>
      <c r="Q10" s="13"/>
    </row>
    <row r="11" spans="2:17" ht="14.25" customHeight="1" x14ac:dyDescent="0.35">
      <c r="B11" s="53" t="s">
        <v>353</v>
      </c>
      <c r="C11" s="89">
        <f>'Changes in WC'!G6</f>
        <v>1357</v>
      </c>
      <c r="D11" s="209">
        <f>'Changes in WC'!$C$10*DCF!D4</f>
        <v>124.7318730967792</v>
      </c>
      <c r="E11" s="209">
        <f>'Changes in WC'!$C$10*DCF!E4</f>
        <v>127.26469300414371</v>
      </c>
      <c r="F11" s="209">
        <f>'Changes in WC'!$C$10*DCF!F4</f>
        <v>130.59175499540279</v>
      </c>
      <c r="G11" s="209">
        <f>'Changes in WC'!$C$10*DCF!G4</f>
        <v>134.76802540410722</v>
      </c>
      <c r="H11" s="209">
        <f>'Changes in WC'!$C$10*DCF!H4</f>
        <v>139.8644565312546</v>
      </c>
      <c r="I11" s="209">
        <f>'Changes in WC'!$C$10*DCF!I4</f>
        <v>145.96996777745125</v>
      </c>
      <c r="J11" s="209">
        <f>'Changes in WC'!$C$10*DCF!J4</f>
        <v>153.19399135021229</v>
      </c>
      <c r="K11" s="209">
        <f>'Changes in WC'!$C$10*DCF!K4</f>
        <v>161.66968316244942</v>
      </c>
      <c r="L11" s="209">
        <f>'Changes in WC'!$C$10*DCF!L4</f>
        <v>171.55792875913087</v>
      </c>
      <c r="M11" s="209">
        <f>'Changes in WC'!$C$10*DCF!M4</f>
        <v>183.05230998599265</v>
      </c>
      <c r="N11" s="53"/>
      <c r="O11" s="13"/>
      <c r="P11" s="13"/>
      <c r="Q11" s="13"/>
    </row>
    <row r="12" spans="2:17" ht="14.25" customHeight="1" x14ac:dyDescent="0.35">
      <c r="B12" s="53" t="s">
        <v>231</v>
      </c>
      <c r="C12" s="53"/>
      <c r="D12" s="209">
        <f t="shared" ref="D12:M12" si="2">D11-C11</f>
        <v>-1232.2681269032207</v>
      </c>
      <c r="E12" s="209">
        <f t="shared" si="2"/>
        <v>2.5328199073645123</v>
      </c>
      <c r="F12" s="209">
        <f t="shared" si="2"/>
        <v>3.327061991259086</v>
      </c>
      <c r="G12" s="209">
        <f t="shared" si="2"/>
        <v>4.1762704087044256</v>
      </c>
      <c r="H12" s="209">
        <f t="shared" si="2"/>
        <v>5.0964311271473832</v>
      </c>
      <c r="I12" s="209">
        <f t="shared" si="2"/>
        <v>6.1055112461966417</v>
      </c>
      <c r="J12" s="209">
        <f t="shared" si="2"/>
        <v>7.2240235727610411</v>
      </c>
      <c r="K12" s="209">
        <f t="shared" si="2"/>
        <v>8.4756918122371303</v>
      </c>
      <c r="L12" s="209">
        <f t="shared" si="2"/>
        <v>9.8882455966814575</v>
      </c>
      <c r="M12" s="209">
        <f t="shared" si="2"/>
        <v>11.494381226861776</v>
      </c>
      <c r="N12" s="53"/>
      <c r="O12" s="13"/>
      <c r="P12" s="13"/>
      <c r="Q12" s="13"/>
    </row>
    <row r="13" spans="2:17" ht="14.25" customHeight="1" x14ac:dyDescent="0.35">
      <c r="B13" s="53" t="s">
        <v>354</v>
      </c>
      <c r="C13" s="53"/>
      <c r="D13" s="172">
        <f t="shared" ref="D13:M13" si="3">D10+D12</f>
        <v>-1204.3504299120016</v>
      </c>
      <c r="E13" s="172">
        <f t="shared" si="3"/>
        <v>31.017416897369642</v>
      </c>
      <c r="F13" s="172">
        <f t="shared" si="3"/>
        <v>32.556327575079891</v>
      </c>
      <c r="G13" s="172">
        <f t="shared" si="3"/>
        <v>34.340275838315421</v>
      </c>
      <c r="H13" s="172">
        <f t="shared" si="3"/>
        <v>36.401128317507641</v>
      </c>
      <c r="I13" s="172">
        <f t="shared" si="3"/>
        <v>38.776754201612043</v>
      </c>
      <c r="J13" s="172">
        <f t="shared" si="3"/>
        <v>41.512159597723198</v>
      </c>
      <c r="K13" s="172">
        <f t="shared" si="3"/>
        <v>44.660871390945964</v>
      </c>
      <c r="L13" s="172">
        <f t="shared" si="3"/>
        <v>48.286628885790108</v>
      </c>
      <c r="M13" s="172">
        <f t="shared" si="3"/>
        <v>52.46545619634071</v>
      </c>
      <c r="N13" s="172">
        <f>N9*N15</f>
        <v>3174.5246287656423</v>
      </c>
      <c r="O13" s="212"/>
      <c r="P13" s="13"/>
      <c r="Q13" s="13"/>
    </row>
    <row r="14" spans="2:17" ht="14.25" customHeight="1" x14ac:dyDescent="0.35">
      <c r="B14" s="93" t="s">
        <v>355</v>
      </c>
      <c r="C14" s="53"/>
      <c r="D14" s="214">
        <f t="shared" ref="D14:N14" si="4">D9-D13</f>
        <v>6362.9272308260552</v>
      </c>
      <c r="E14" s="214">
        <f t="shared" si="4"/>
        <v>5232.3100438972278</v>
      </c>
      <c r="F14" s="214">
        <f t="shared" si="4"/>
        <v>5368.3695222856022</v>
      </c>
      <c r="G14" s="214">
        <f t="shared" si="4"/>
        <v>5539.3049528772872</v>
      </c>
      <c r="H14" s="214">
        <f t="shared" si="4"/>
        <v>5748.018866520305</v>
      </c>
      <c r="I14" s="214">
        <f t="shared" si="4"/>
        <v>5998.1508627089679</v>
      </c>
      <c r="J14" s="214">
        <f t="shared" si="4"/>
        <v>6294.1817588722579</v>
      </c>
      <c r="K14" s="214">
        <f t="shared" si="4"/>
        <v>6641.5650006910801</v>
      </c>
      <c r="L14" s="214">
        <f t="shared" si="4"/>
        <v>7046.8906448736843</v>
      </c>
      <c r="M14" s="214">
        <f t="shared" si="4"/>
        <v>7518.0886949050191</v>
      </c>
      <c r="N14" s="172">
        <f t="shared" si="4"/>
        <v>4774.5572298907864</v>
      </c>
      <c r="O14" s="212"/>
      <c r="P14" s="13"/>
      <c r="Q14" s="13"/>
    </row>
    <row r="15" spans="2:17" ht="14.25" customHeight="1" x14ac:dyDescent="0.35">
      <c r="B15" s="53" t="s">
        <v>356</v>
      </c>
      <c r="C15" s="53"/>
      <c r="D15" s="217">
        <f t="shared" ref="D15:M15" si="5">D13/D9</f>
        <v>-0.23346563914655713</v>
      </c>
      <c r="E15" s="217">
        <f t="shared" si="5"/>
        <v>5.8931193486272239E-3</v>
      </c>
      <c r="F15" s="217">
        <f t="shared" si="5"/>
        <v>6.0279160425651254E-3</v>
      </c>
      <c r="G15" s="217">
        <f t="shared" si="5"/>
        <v>6.1611879531537454E-3</v>
      </c>
      <c r="H15" s="217">
        <f t="shared" si="5"/>
        <v>6.2929608067866932E-3</v>
      </c>
      <c r="I15" s="217">
        <f t="shared" si="5"/>
        <v>6.4232597543477246E-3</v>
      </c>
      <c r="J15" s="217">
        <f t="shared" si="5"/>
        <v>6.5521093872142177E-3</v>
      </c>
      <c r="K15" s="217">
        <f t="shared" si="5"/>
        <v>6.6795337527296248E-3</v>
      </c>
      <c r="L15" s="217">
        <f t="shared" si="5"/>
        <v>6.8055563691652192E-3</v>
      </c>
      <c r="M15" s="217">
        <f t="shared" si="5"/>
        <v>6.9302002401908803E-3</v>
      </c>
      <c r="N15" s="43">
        <f>Q5</f>
        <v>0.39935739563540074</v>
      </c>
      <c r="O15" s="92"/>
      <c r="P15" s="13"/>
      <c r="Q15" s="13"/>
    </row>
    <row r="16" spans="2:17" ht="14.25" customHeight="1" x14ac:dyDescent="0.35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2:17" ht="14.25" customHeight="1" x14ac:dyDescent="0.35">
      <c r="B17" s="241" t="s">
        <v>357</v>
      </c>
      <c r="C17" s="241"/>
      <c r="D17">
        <f>N14/(Q4-Q3)</f>
        <v>43534.941926646861</v>
      </c>
      <c r="E17" s="13"/>
      <c r="F17" s="13"/>
      <c r="G17" s="13"/>
      <c r="H17" s="13"/>
      <c r="I17" s="13"/>
      <c r="J17" s="13"/>
      <c r="K17" s="13"/>
      <c r="L17" s="13"/>
      <c r="N17" s="13"/>
      <c r="O17" s="13"/>
      <c r="P17" s="13"/>
      <c r="Q17" s="13"/>
    </row>
    <row r="18" spans="2:17" ht="14.25" customHeight="1" x14ac:dyDescent="0.35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2:17" ht="14.25" customHeight="1" x14ac:dyDescent="0.35">
      <c r="B19" s="241" t="s">
        <v>358</v>
      </c>
      <c r="C19" s="241"/>
      <c r="D19" s="172">
        <f t="shared" ref="D19:M19" si="6">1/(1+$Q$4)^D2</f>
        <v>0.86231291010612687</v>
      </c>
      <c r="E19" s="172">
        <f t="shared" si="6"/>
        <v>0.74358355493569717</v>
      </c>
      <c r="F19" s="172">
        <f t="shared" si="6"/>
        <v>0.6412016991636601</v>
      </c>
      <c r="G19" s="172">
        <f t="shared" si="6"/>
        <v>0.55291650317080887</v>
      </c>
      <c r="H19" s="172">
        <f t="shared" si="6"/>
        <v>0.47678703889492374</v>
      </c>
      <c r="I19" s="172">
        <f t="shared" si="6"/>
        <v>0.41113961901036478</v>
      </c>
      <c r="J19" s="172">
        <f t="shared" si="6"/>
        <v>0.35453100132875193</v>
      </c>
      <c r="K19" s="172">
        <f t="shared" si="6"/>
        <v>0.30571665947863513</v>
      </c>
      <c r="L19" s="172">
        <f t="shared" si="6"/>
        <v>0.26362342230294566</v>
      </c>
      <c r="M19" s="172">
        <f t="shared" si="6"/>
        <v>0.22732588045818952</v>
      </c>
      <c r="N19" s="13"/>
      <c r="O19" s="13"/>
      <c r="P19" s="13"/>
      <c r="Q19" s="13"/>
    </row>
    <row r="20" spans="2:17" ht="14.25" customHeight="1" x14ac:dyDescent="0.35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2:17" ht="14.25" customHeight="1" x14ac:dyDescent="0.35">
      <c r="B21" s="248" t="s">
        <v>359</v>
      </c>
      <c r="C21" s="248"/>
      <c r="D21" s="53">
        <f>SUMPRODUCT(D14:M14,D19:M19)</f>
        <v>28917.834327052704</v>
      </c>
      <c r="E21" s="13"/>
      <c r="M21" s="13"/>
      <c r="N21" s="13"/>
      <c r="O21" s="13"/>
      <c r="P21" s="13"/>
      <c r="Q21" s="13"/>
    </row>
    <row r="22" spans="2:17" ht="14.25" customHeight="1" x14ac:dyDescent="0.35">
      <c r="B22" s="241" t="s">
        <v>360</v>
      </c>
      <c r="C22" s="241"/>
      <c r="D22" s="209">
        <f>D17*M19</f>
        <v>9896.619004171147</v>
      </c>
      <c r="E22" s="13"/>
      <c r="M22" s="13"/>
      <c r="N22" s="13"/>
      <c r="O22" s="13"/>
      <c r="P22" s="13"/>
      <c r="Q22" s="13"/>
    </row>
    <row r="23" spans="2:17" ht="14.25" customHeight="1" x14ac:dyDescent="0.35">
      <c r="B23" s="13"/>
      <c r="C23" s="13"/>
      <c r="D23" s="210"/>
      <c r="E23" s="13"/>
    </row>
    <row r="24" spans="2:17" ht="14.25" customHeight="1" x14ac:dyDescent="0.35">
      <c r="B24" s="249" t="s">
        <v>361</v>
      </c>
      <c r="C24" s="249"/>
      <c r="D24" s="214">
        <f>D21+D22</f>
        <v>38814.453331223849</v>
      </c>
      <c r="E24" s="13"/>
    </row>
    <row r="25" spans="2:17" ht="14.25" customHeight="1" x14ac:dyDescent="0.35">
      <c r="B25" s="241" t="s">
        <v>362</v>
      </c>
      <c r="C25" s="241"/>
      <c r="D25" s="94">
        <f>'Consolidated FS'!V37</f>
        <v>5427</v>
      </c>
      <c r="E25" s="13"/>
    </row>
    <row r="26" spans="2:17" ht="14.25" customHeight="1" x14ac:dyDescent="0.35">
      <c r="B26" s="241" t="s">
        <v>363</v>
      </c>
      <c r="C26" s="241"/>
      <c r="D26" s="89">
        <f>'Consolidated FS'!V6</f>
        <v>182</v>
      </c>
      <c r="E26" s="13"/>
    </row>
    <row r="27" spans="2:17" ht="14.25" customHeight="1" x14ac:dyDescent="0.35">
      <c r="B27" s="250" t="s">
        <v>364</v>
      </c>
      <c r="C27" s="250"/>
      <c r="D27" s="218">
        <v>0</v>
      </c>
      <c r="E27" s="13"/>
    </row>
    <row r="28" spans="2:17" ht="15" customHeight="1" x14ac:dyDescent="0.35">
      <c r="B28" s="251" t="s">
        <v>365</v>
      </c>
      <c r="C28" s="251"/>
      <c r="D28" s="219">
        <f>D24+D25-D26-D27</f>
        <v>44059.453331223849</v>
      </c>
      <c r="E28" s="13"/>
    </row>
    <row r="29" spans="2:17" ht="15" customHeight="1" x14ac:dyDescent="0.35">
      <c r="B29" s="13"/>
      <c r="C29" s="13"/>
      <c r="D29" s="13"/>
      <c r="E29" s="210"/>
    </row>
    <row r="30" spans="2:17" ht="14.25" customHeight="1" x14ac:dyDescent="0.35">
      <c r="B30" s="241" t="s">
        <v>366</v>
      </c>
      <c r="C30" s="241"/>
      <c r="D30" s="53">
        <f>'Raw FS Valuation'!M4</f>
        <v>183.66</v>
      </c>
      <c r="E30" s="210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2:17" ht="15" customHeight="1" x14ac:dyDescent="0.35">
      <c r="B31" s="252" t="s">
        <v>367</v>
      </c>
      <c r="C31" s="252"/>
      <c r="D31" s="220">
        <f>D28/D30</f>
        <v>239.89683834925324</v>
      </c>
      <c r="E31" s="13"/>
      <c r="F31" s="221" t="s">
        <v>368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2:17" ht="15" customHeight="1" x14ac:dyDescent="0.35"/>
  </sheetData>
  <mergeCells count="13">
    <mergeCell ref="B28:C28"/>
    <mergeCell ref="B30:C30"/>
    <mergeCell ref="B31:C31"/>
    <mergeCell ref="B22:C22"/>
    <mergeCell ref="B24:C24"/>
    <mergeCell ref="B25:C25"/>
    <mergeCell ref="B26:C26"/>
    <mergeCell ref="B27:C27"/>
    <mergeCell ref="B1:N1"/>
    <mergeCell ref="P7:Q7"/>
    <mergeCell ref="B17:C17"/>
    <mergeCell ref="B19:C19"/>
    <mergeCell ref="B21:C2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About</vt:lpstr>
      <vt:lpstr>Promoters</vt:lpstr>
      <vt:lpstr>Consolidated FS</vt:lpstr>
      <vt:lpstr>Beta</vt:lpstr>
      <vt:lpstr>Assumptions</vt:lpstr>
      <vt:lpstr>Ratios</vt:lpstr>
      <vt:lpstr>Fixed Asset Schedule</vt:lpstr>
      <vt:lpstr>FCFF</vt:lpstr>
      <vt:lpstr>Changes in WC</vt:lpstr>
      <vt:lpstr>WACC</vt:lpstr>
      <vt:lpstr>Raw FS Valuation</vt:lpstr>
      <vt:lpstr>Relative Valuation</vt:lpstr>
      <vt:lpstr>Growth scenerio</vt:lpstr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kiran .</dc:creator>
  <dc:description/>
  <cp:lastModifiedBy>kiran .</cp:lastModifiedBy>
  <cp:revision>0</cp:revision>
  <dcterms:created xsi:type="dcterms:W3CDTF">2026-06-15T05:34:53Z</dcterms:created>
  <dcterms:modified xsi:type="dcterms:W3CDTF">2026-06-24T11:14:11Z</dcterms:modified>
  <dc:language>en-US</dc:language>
</cp:coreProperties>
</file>