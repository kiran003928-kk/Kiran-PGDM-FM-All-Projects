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CSA\"/>
    </mc:Choice>
  </mc:AlternateContent>
  <xr:revisionPtr revIDLastSave="0" documentId="13_ncr:1_{568B4B9A-41B5-45FD-9943-15DA074A1EE0}" xr6:coauthVersionLast="47" xr6:coauthVersionMax="47" xr10:uidLastSave="{00000000-0000-0000-0000-000000000000}"/>
  <bookViews>
    <workbookView xWindow="-110" yWindow="-110" windowWidth="19420" windowHeight="11500" tabRatio="500" firstSheet="9" activeTab="11" xr2:uid="{00000000-000D-0000-FFFF-FFFF00000000}"/>
  </bookViews>
  <sheets>
    <sheet name="About" sheetId="1" r:id="rId1"/>
    <sheet name="Promoters" sheetId="2" r:id="rId2"/>
    <sheet name="Consolidated FS" sheetId="3" r:id="rId3"/>
    <sheet name="Beta" sheetId="4" r:id="rId4"/>
    <sheet name="WACC" sheetId="5" r:id="rId5"/>
    <sheet name="Assumptions" sheetId="6" r:id="rId6"/>
    <sheet name="Ratios" sheetId="7" r:id="rId7"/>
    <sheet name="FCFF" sheetId="8" r:id="rId8"/>
    <sheet name="Fixed Asset Schedule" sheetId="9" r:id="rId9"/>
    <sheet name="Changes in WC" sheetId="10" r:id="rId10"/>
    <sheet name="Raw FSValuation" sheetId="11" r:id="rId11"/>
    <sheet name="Relative Valuation" sheetId="12" r:id="rId12"/>
    <sheet name="Growth Scenerio" sheetId="13" r:id="rId13"/>
    <sheet name="DCF"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6" i="12" l="1"/>
  <c r="K4" i="4" l="1"/>
  <c r="P12" i="13"/>
  <c r="O16" i="12"/>
  <c r="F19" i="13"/>
  <c r="G19" i="13"/>
  <c r="H19" i="13"/>
  <c r="I19" i="13"/>
  <c r="J19" i="13" s="1"/>
  <c r="K19" i="13" s="1"/>
  <c r="L19" i="13" s="1"/>
  <c r="M19" i="13" s="1"/>
  <c r="E19" i="13"/>
  <c r="F13" i="13"/>
  <c r="G13" i="13"/>
  <c r="H13" i="13"/>
  <c r="I13" i="13"/>
  <c r="J13" i="13" s="1"/>
  <c r="K13" i="13" s="1"/>
  <c r="L13" i="13" s="1"/>
  <c r="M13" i="13" s="1"/>
  <c r="E13" i="13"/>
  <c r="F7" i="13"/>
  <c r="G7" i="13"/>
  <c r="H7" i="13"/>
  <c r="I7" i="13"/>
  <c r="J7" i="13" s="1"/>
  <c r="K7" i="13" s="1"/>
  <c r="L7" i="13" s="1"/>
  <c r="M7" i="13" s="1"/>
  <c r="E7" i="13"/>
  <c r="D7" i="13"/>
  <c r="P7" i="13"/>
  <c r="D30" i="14"/>
  <c r="C46" i="6"/>
  <c r="P4" i="13"/>
  <c r="E5" i="5"/>
  <c r="D27" i="14"/>
  <c r="D26" i="14"/>
  <c r="D25" i="14"/>
  <c r="N5" i="14"/>
  <c r="L13" i="12"/>
  <c r="J13" i="12"/>
  <c r="G13" i="12"/>
  <c r="F13" i="12"/>
  <c r="D13" i="12"/>
  <c r="C13" i="12"/>
  <c r="L12" i="12"/>
  <c r="M12" i="12" s="1"/>
  <c r="Q12" i="12" s="1"/>
  <c r="J12" i="12"/>
  <c r="G12" i="12"/>
  <c r="F12" i="12"/>
  <c r="D12" i="12"/>
  <c r="C12" i="12"/>
  <c r="L11" i="12"/>
  <c r="J11" i="12"/>
  <c r="G11" i="12"/>
  <c r="F11" i="12"/>
  <c r="D11" i="12"/>
  <c r="C11" i="12"/>
  <c r="E11" i="12" s="1"/>
  <c r="H11" i="12" s="1"/>
  <c r="O11" i="12" s="1"/>
  <c r="L10" i="12"/>
  <c r="J10" i="12"/>
  <c r="G10" i="12"/>
  <c r="F10" i="12"/>
  <c r="D10" i="12"/>
  <c r="C10" i="12"/>
  <c r="L9" i="12"/>
  <c r="J9" i="12"/>
  <c r="G9" i="12"/>
  <c r="F9" i="12"/>
  <c r="D9" i="12"/>
  <c r="C9" i="12"/>
  <c r="L8" i="12"/>
  <c r="J8" i="12"/>
  <c r="G8" i="12"/>
  <c r="F8" i="12"/>
  <c r="D8" i="12"/>
  <c r="C8" i="12"/>
  <c r="E8" i="12" s="1"/>
  <c r="H8" i="12" s="1"/>
  <c r="O8" i="12" s="1"/>
  <c r="L7" i="12"/>
  <c r="M7" i="12" s="1"/>
  <c r="Q7" i="12" s="1"/>
  <c r="J7" i="12"/>
  <c r="O7" i="12" s="1"/>
  <c r="G7" i="12"/>
  <c r="F7" i="12"/>
  <c r="D7" i="12"/>
  <c r="C7" i="12"/>
  <c r="E7" i="12" s="1"/>
  <c r="H7" i="12" s="1"/>
  <c r="K7" i="12" s="1"/>
  <c r="P7" i="12" s="1"/>
  <c r="D7" i="10"/>
  <c r="D7" i="8" s="1"/>
  <c r="E6" i="10"/>
  <c r="G5" i="10"/>
  <c r="F5" i="10"/>
  <c r="E5" i="10"/>
  <c r="D5" i="10"/>
  <c r="C5" i="10"/>
  <c r="G4" i="10"/>
  <c r="F4" i="10"/>
  <c r="E4" i="10"/>
  <c r="D4" i="10"/>
  <c r="C4" i="10"/>
  <c r="C6" i="10" s="1"/>
  <c r="G3" i="10"/>
  <c r="F3" i="10"/>
  <c r="E3" i="10"/>
  <c r="D3" i="10"/>
  <c r="D6" i="10" s="1"/>
  <c r="E7" i="10" s="1"/>
  <c r="C3" i="10"/>
  <c r="D10" i="9"/>
  <c r="F9" i="9"/>
  <c r="F10" i="9" s="1"/>
  <c r="G7" i="9"/>
  <c r="F7" i="9"/>
  <c r="G3" i="9" s="1"/>
  <c r="E7" i="9"/>
  <c r="F3" i="9" s="1"/>
  <c r="D7" i="9"/>
  <c r="E3" i="9" s="1"/>
  <c r="C7" i="9"/>
  <c r="F6" i="9"/>
  <c r="E6" i="9"/>
  <c r="D6" i="9"/>
  <c r="F5" i="9"/>
  <c r="E5" i="9"/>
  <c r="D5" i="9"/>
  <c r="D4" i="9" s="1"/>
  <c r="D9" i="9" s="1"/>
  <c r="D6" i="8" s="1"/>
  <c r="F4" i="9"/>
  <c r="E4" i="9"/>
  <c r="E9" i="9" s="1"/>
  <c r="E10" i="9" s="1"/>
  <c r="D3" i="9"/>
  <c r="C8" i="8"/>
  <c r="G22" i="7"/>
  <c r="F22" i="7"/>
  <c r="I22" i="7" s="1"/>
  <c r="E22" i="7"/>
  <c r="D22" i="7"/>
  <c r="G21" i="7"/>
  <c r="F21" i="7"/>
  <c r="E21" i="7"/>
  <c r="D21" i="7"/>
  <c r="G5" i="7"/>
  <c r="F37" i="6"/>
  <c r="C37" i="6"/>
  <c r="G36" i="6"/>
  <c r="F36" i="6"/>
  <c r="E36" i="6"/>
  <c r="E37" i="6" s="1"/>
  <c r="D36" i="6"/>
  <c r="D37" i="6" s="1"/>
  <c r="C36" i="6"/>
  <c r="G35" i="6"/>
  <c r="C6" i="5" s="1"/>
  <c r="F35" i="6"/>
  <c r="E35" i="6"/>
  <c r="D35" i="6"/>
  <c r="C35" i="6"/>
  <c r="G34" i="6"/>
  <c r="F34" i="6"/>
  <c r="E34" i="6"/>
  <c r="D34" i="6"/>
  <c r="C34" i="6"/>
  <c r="G16" i="6"/>
  <c r="F16" i="6"/>
  <c r="E16" i="6"/>
  <c r="D16" i="6"/>
  <c r="C16" i="6"/>
  <c r="G15" i="6"/>
  <c r="F15" i="6"/>
  <c r="E15" i="6"/>
  <c r="D15" i="6"/>
  <c r="C15" i="6"/>
  <c r="G13" i="6"/>
  <c r="F13" i="6"/>
  <c r="E13" i="6"/>
  <c r="D13" i="6"/>
  <c r="C13" i="6"/>
  <c r="G12" i="6"/>
  <c r="F12" i="6"/>
  <c r="E12" i="6"/>
  <c r="D12" i="6"/>
  <c r="C12" i="6"/>
  <c r="G10" i="6"/>
  <c r="G6" i="9" s="1"/>
  <c r="F10" i="6"/>
  <c r="E10" i="6"/>
  <c r="D10" i="6"/>
  <c r="C10" i="6"/>
  <c r="C6" i="9" s="1"/>
  <c r="C5" i="9" s="1"/>
  <c r="E8" i="6"/>
  <c r="E9" i="6" s="1"/>
  <c r="G7" i="6"/>
  <c r="G8" i="6" s="1"/>
  <c r="G9" i="6" s="1"/>
  <c r="F7" i="6"/>
  <c r="E7" i="6"/>
  <c r="D7" i="6"/>
  <c r="C7" i="6"/>
  <c r="G6" i="6"/>
  <c r="F6" i="6"/>
  <c r="E6" i="6"/>
  <c r="D6" i="6"/>
  <c r="C6" i="6"/>
  <c r="G5" i="6"/>
  <c r="F5" i="6"/>
  <c r="F8" i="6" s="1"/>
  <c r="F9" i="6" s="1"/>
  <c r="E5" i="6"/>
  <c r="D5" i="6"/>
  <c r="C5" i="6"/>
  <c r="G4" i="6"/>
  <c r="F4" i="6"/>
  <c r="G3" i="6"/>
  <c r="F3" i="6"/>
  <c r="F5" i="7" s="1"/>
  <c r="E3" i="6"/>
  <c r="E5" i="7" s="1"/>
  <c r="D3" i="6"/>
  <c r="C3" i="6"/>
  <c r="C21" i="5"/>
  <c r="C20" i="5"/>
  <c r="C14" i="5"/>
  <c r="D7" i="5"/>
  <c r="E6" i="5"/>
  <c r="D29" i="5" s="1"/>
  <c r="G1484" i="4"/>
  <c r="C1484" i="4"/>
  <c r="G1483" i="4"/>
  <c r="C1483" i="4"/>
  <c r="G1482" i="4"/>
  <c r="C1482" i="4"/>
  <c r="G1481" i="4"/>
  <c r="C1481" i="4"/>
  <c r="G1480" i="4"/>
  <c r="C1480" i="4"/>
  <c r="G1479" i="4"/>
  <c r="C1479" i="4"/>
  <c r="G1478" i="4"/>
  <c r="C1478" i="4"/>
  <c r="G1477" i="4"/>
  <c r="C1477" i="4"/>
  <c r="G1476" i="4"/>
  <c r="C1476" i="4"/>
  <c r="G1475" i="4"/>
  <c r="C1475" i="4"/>
  <c r="G1474" i="4"/>
  <c r="C1474" i="4"/>
  <c r="G1473" i="4"/>
  <c r="C1473" i="4"/>
  <c r="G1472" i="4"/>
  <c r="C1472" i="4"/>
  <c r="G1471" i="4"/>
  <c r="C1471" i="4"/>
  <c r="G1470" i="4"/>
  <c r="C1470" i="4"/>
  <c r="G1469" i="4"/>
  <c r="C1469" i="4"/>
  <c r="G1468" i="4"/>
  <c r="C1468" i="4"/>
  <c r="G1467" i="4"/>
  <c r="C1467" i="4"/>
  <c r="G1466" i="4"/>
  <c r="C1466" i="4"/>
  <c r="G1465" i="4"/>
  <c r="C1465" i="4"/>
  <c r="G1464" i="4"/>
  <c r="C1464" i="4"/>
  <c r="G1463" i="4"/>
  <c r="C1463" i="4"/>
  <c r="G1462" i="4"/>
  <c r="C1462" i="4"/>
  <c r="G1461" i="4"/>
  <c r="C1461" i="4"/>
  <c r="G1460" i="4"/>
  <c r="C1460" i="4"/>
  <c r="G1459" i="4"/>
  <c r="C1459" i="4"/>
  <c r="G1458" i="4"/>
  <c r="C1458" i="4"/>
  <c r="G1457" i="4"/>
  <c r="C1457" i="4"/>
  <c r="G1456" i="4"/>
  <c r="C1456" i="4"/>
  <c r="G1455" i="4"/>
  <c r="C1455" i="4"/>
  <c r="G1454" i="4"/>
  <c r="C1454" i="4"/>
  <c r="G1453" i="4"/>
  <c r="C1453" i="4"/>
  <c r="G1452" i="4"/>
  <c r="C1452" i="4"/>
  <c r="G1451" i="4"/>
  <c r="C1451" i="4"/>
  <c r="G1450" i="4"/>
  <c r="C1450" i="4"/>
  <c r="G1449" i="4"/>
  <c r="C1449" i="4"/>
  <c r="G1448" i="4"/>
  <c r="C1448" i="4"/>
  <c r="G1447" i="4"/>
  <c r="C1447" i="4"/>
  <c r="G1446" i="4"/>
  <c r="C1446" i="4"/>
  <c r="G1445" i="4"/>
  <c r="C1445" i="4"/>
  <c r="G1444" i="4"/>
  <c r="C1444" i="4"/>
  <c r="G1443" i="4"/>
  <c r="C1443" i="4"/>
  <c r="G1442" i="4"/>
  <c r="C1442" i="4"/>
  <c r="G1441" i="4"/>
  <c r="C1441" i="4"/>
  <c r="G1440" i="4"/>
  <c r="C1440" i="4"/>
  <c r="G1439" i="4"/>
  <c r="C1439" i="4"/>
  <c r="G1438" i="4"/>
  <c r="C1438" i="4"/>
  <c r="G1437" i="4"/>
  <c r="C1437" i="4"/>
  <c r="G1436" i="4"/>
  <c r="C1436" i="4"/>
  <c r="G1435" i="4"/>
  <c r="C1435" i="4"/>
  <c r="G1434" i="4"/>
  <c r="C1434" i="4"/>
  <c r="G1433" i="4"/>
  <c r="C1433" i="4"/>
  <c r="G1432" i="4"/>
  <c r="C1432" i="4"/>
  <c r="G1431" i="4"/>
  <c r="C1431" i="4"/>
  <c r="G1430" i="4"/>
  <c r="C1430" i="4"/>
  <c r="G1429" i="4"/>
  <c r="C1429" i="4"/>
  <c r="G1428" i="4"/>
  <c r="C1428" i="4"/>
  <c r="G1427" i="4"/>
  <c r="C1427" i="4"/>
  <c r="G1426" i="4"/>
  <c r="C1426" i="4"/>
  <c r="G1425" i="4"/>
  <c r="C1425" i="4"/>
  <c r="G1424" i="4"/>
  <c r="C1424" i="4"/>
  <c r="G1423" i="4"/>
  <c r="C1423" i="4"/>
  <c r="G1422" i="4"/>
  <c r="C1422" i="4"/>
  <c r="G1421" i="4"/>
  <c r="C1421" i="4"/>
  <c r="G1420" i="4"/>
  <c r="C1420" i="4"/>
  <c r="G1419" i="4"/>
  <c r="C1419" i="4"/>
  <c r="G1418" i="4"/>
  <c r="C1418" i="4"/>
  <c r="G1417" i="4"/>
  <c r="C1417" i="4"/>
  <c r="G1416" i="4"/>
  <c r="C1416" i="4"/>
  <c r="G1415" i="4"/>
  <c r="C1415" i="4"/>
  <c r="G1414" i="4"/>
  <c r="C1414" i="4"/>
  <c r="G1413" i="4"/>
  <c r="C1413" i="4"/>
  <c r="G1412" i="4"/>
  <c r="C1412" i="4"/>
  <c r="G1411" i="4"/>
  <c r="C1411" i="4"/>
  <c r="G1410" i="4"/>
  <c r="C1410" i="4"/>
  <c r="G1409" i="4"/>
  <c r="C1409" i="4"/>
  <c r="G1408" i="4"/>
  <c r="C1408" i="4"/>
  <c r="G1407" i="4"/>
  <c r="C1407" i="4"/>
  <c r="G1406" i="4"/>
  <c r="C1406" i="4"/>
  <c r="G1405" i="4"/>
  <c r="C1405" i="4"/>
  <c r="G1404" i="4"/>
  <c r="C1404" i="4"/>
  <c r="G1403" i="4"/>
  <c r="C1403" i="4"/>
  <c r="G1402" i="4"/>
  <c r="C1402" i="4"/>
  <c r="G1401" i="4"/>
  <c r="C1401" i="4"/>
  <c r="G1400" i="4"/>
  <c r="C1400" i="4"/>
  <c r="G1399" i="4"/>
  <c r="C1399" i="4"/>
  <c r="G1398" i="4"/>
  <c r="C1398" i="4"/>
  <c r="G1397" i="4"/>
  <c r="C1397" i="4"/>
  <c r="G1396" i="4"/>
  <c r="C1396" i="4"/>
  <c r="G1395" i="4"/>
  <c r="C1395" i="4"/>
  <c r="G1394" i="4"/>
  <c r="C1394" i="4"/>
  <c r="G1393" i="4"/>
  <c r="C1393" i="4"/>
  <c r="G1392" i="4"/>
  <c r="C1392" i="4"/>
  <c r="G1391" i="4"/>
  <c r="C1391" i="4"/>
  <c r="G1390" i="4"/>
  <c r="C1390" i="4"/>
  <c r="G1389" i="4"/>
  <c r="C1389" i="4"/>
  <c r="G1388" i="4"/>
  <c r="C1388" i="4"/>
  <c r="G1387" i="4"/>
  <c r="C1387" i="4"/>
  <c r="G1386" i="4"/>
  <c r="C1386" i="4"/>
  <c r="G1385" i="4"/>
  <c r="C1385" i="4"/>
  <c r="G1384" i="4"/>
  <c r="C1384" i="4"/>
  <c r="G1383" i="4"/>
  <c r="C1383" i="4"/>
  <c r="G1382" i="4"/>
  <c r="C1382" i="4"/>
  <c r="G1381" i="4"/>
  <c r="C1381" i="4"/>
  <c r="G1380" i="4"/>
  <c r="C1380" i="4"/>
  <c r="G1379" i="4"/>
  <c r="C1379" i="4"/>
  <c r="G1378" i="4"/>
  <c r="C1378" i="4"/>
  <c r="G1377" i="4"/>
  <c r="C1377" i="4"/>
  <c r="G1376" i="4"/>
  <c r="C1376" i="4"/>
  <c r="G1375" i="4"/>
  <c r="C1375" i="4"/>
  <c r="G1374" i="4"/>
  <c r="C1374" i="4"/>
  <c r="G1373" i="4"/>
  <c r="C1373" i="4"/>
  <c r="G1372" i="4"/>
  <c r="C1372" i="4"/>
  <c r="G1371" i="4"/>
  <c r="C1371" i="4"/>
  <c r="G1370" i="4"/>
  <c r="C1370" i="4"/>
  <c r="G1369" i="4"/>
  <c r="C1369" i="4"/>
  <c r="G1368" i="4"/>
  <c r="C1368" i="4"/>
  <c r="G1367" i="4"/>
  <c r="C1367" i="4"/>
  <c r="G1366" i="4"/>
  <c r="C1366" i="4"/>
  <c r="G1365" i="4"/>
  <c r="C1365" i="4"/>
  <c r="G1364" i="4"/>
  <c r="C1364" i="4"/>
  <c r="G1363" i="4"/>
  <c r="C1363" i="4"/>
  <c r="G1362" i="4"/>
  <c r="C1362" i="4"/>
  <c r="G1361" i="4"/>
  <c r="C1361" i="4"/>
  <c r="G1360" i="4"/>
  <c r="C1360" i="4"/>
  <c r="G1359" i="4"/>
  <c r="C1359" i="4"/>
  <c r="G1358" i="4"/>
  <c r="C1358" i="4"/>
  <c r="G1357" i="4"/>
  <c r="C1357" i="4"/>
  <c r="G1356" i="4"/>
  <c r="C1356" i="4"/>
  <c r="G1355" i="4"/>
  <c r="C1355" i="4"/>
  <c r="G1354" i="4"/>
  <c r="C1354" i="4"/>
  <c r="G1353" i="4"/>
  <c r="C1353" i="4"/>
  <c r="G1352" i="4"/>
  <c r="C1352" i="4"/>
  <c r="G1351" i="4"/>
  <c r="C1351" i="4"/>
  <c r="G1350" i="4"/>
  <c r="C1350" i="4"/>
  <c r="G1349" i="4"/>
  <c r="C1349" i="4"/>
  <c r="G1348" i="4"/>
  <c r="C1348" i="4"/>
  <c r="G1347" i="4"/>
  <c r="C1347" i="4"/>
  <c r="G1346" i="4"/>
  <c r="C1346" i="4"/>
  <c r="G1345" i="4"/>
  <c r="C1345" i="4"/>
  <c r="G1344" i="4"/>
  <c r="C1344" i="4"/>
  <c r="G1343" i="4"/>
  <c r="C1343" i="4"/>
  <c r="G1342" i="4"/>
  <c r="C1342" i="4"/>
  <c r="G1341" i="4"/>
  <c r="C1341" i="4"/>
  <c r="G1340" i="4"/>
  <c r="C1340" i="4"/>
  <c r="G1339" i="4"/>
  <c r="C1339" i="4"/>
  <c r="G1338" i="4"/>
  <c r="C1338" i="4"/>
  <c r="G1337" i="4"/>
  <c r="C1337" i="4"/>
  <c r="G1336" i="4"/>
  <c r="C1336" i="4"/>
  <c r="G1335" i="4"/>
  <c r="C1335" i="4"/>
  <c r="G1334" i="4"/>
  <c r="C1334" i="4"/>
  <c r="G1333" i="4"/>
  <c r="C1333" i="4"/>
  <c r="G1332" i="4"/>
  <c r="C1332" i="4"/>
  <c r="G1331" i="4"/>
  <c r="C1331" i="4"/>
  <c r="G1330" i="4"/>
  <c r="C1330" i="4"/>
  <c r="G1329" i="4"/>
  <c r="C1329" i="4"/>
  <c r="G1328" i="4"/>
  <c r="C1328" i="4"/>
  <c r="G1327" i="4"/>
  <c r="C1327" i="4"/>
  <c r="G1326" i="4"/>
  <c r="C1326" i="4"/>
  <c r="G1325" i="4"/>
  <c r="C1325" i="4"/>
  <c r="G1324" i="4"/>
  <c r="C1324" i="4"/>
  <c r="G1323" i="4"/>
  <c r="C1323" i="4"/>
  <c r="G1322" i="4"/>
  <c r="C1322" i="4"/>
  <c r="G1321" i="4"/>
  <c r="C1321" i="4"/>
  <c r="G1320" i="4"/>
  <c r="C1320" i="4"/>
  <c r="G1319" i="4"/>
  <c r="C1319" i="4"/>
  <c r="G1318" i="4"/>
  <c r="C1318" i="4"/>
  <c r="G1317" i="4"/>
  <c r="C1317" i="4"/>
  <c r="G1316" i="4"/>
  <c r="C1316" i="4"/>
  <c r="G1315" i="4"/>
  <c r="C1315" i="4"/>
  <c r="G1314" i="4"/>
  <c r="C1314" i="4"/>
  <c r="G1313" i="4"/>
  <c r="C1313" i="4"/>
  <c r="G1312" i="4"/>
  <c r="C1312" i="4"/>
  <c r="G1311" i="4"/>
  <c r="C1311" i="4"/>
  <c r="G1310" i="4"/>
  <c r="C1310" i="4"/>
  <c r="G1309" i="4"/>
  <c r="C1309" i="4"/>
  <c r="G1308" i="4"/>
  <c r="C1308" i="4"/>
  <c r="G1307" i="4"/>
  <c r="C1307" i="4"/>
  <c r="G1306" i="4"/>
  <c r="C1306" i="4"/>
  <c r="G1305" i="4"/>
  <c r="C1305" i="4"/>
  <c r="G1304" i="4"/>
  <c r="C1304" i="4"/>
  <c r="G1303" i="4"/>
  <c r="C1303" i="4"/>
  <c r="G1302" i="4"/>
  <c r="C1302" i="4"/>
  <c r="G1301" i="4"/>
  <c r="C1301" i="4"/>
  <c r="G1300" i="4"/>
  <c r="C1300" i="4"/>
  <c r="G1299" i="4"/>
  <c r="C1299" i="4"/>
  <c r="G1298" i="4"/>
  <c r="C1298" i="4"/>
  <c r="G1297" i="4"/>
  <c r="C1297" i="4"/>
  <c r="G1296" i="4"/>
  <c r="C1296" i="4"/>
  <c r="G1295" i="4"/>
  <c r="C1295" i="4"/>
  <c r="G1294" i="4"/>
  <c r="C1294" i="4"/>
  <c r="G1293" i="4"/>
  <c r="C1293" i="4"/>
  <c r="G1292" i="4"/>
  <c r="C1292" i="4"/>
  <c r="G1291" i="4"/>
  <c r="C1291" i="4"/>
  <c r="G1290" i="4"/>
  <c r="C1290" i="4"/>
  <c r="G1289" i="4"/>
  <c r="C1289" i="4"/>
  <c r="G1288" i="4"/>
  <c r="C1288" i="4"/>
  <c r="G1287" i="4"/>
  <c r="C1287" i="4"/>
  <c r="G1286" i="4"/>
  <c r="C1286" i="4"/>
  <c r="G1285" i="4"/>
  <c r="C1285" i="4"/>
  <c r="G1284" i="4"/>
  <c r="C1284" i="4"/>
  <c r="G1283" i="4"/>
  <c r="C1283" i="4"/>
  <c r="G1282" i="4"/>
  <c r="C1282" i="4"/>
  <c r="G1281" i="4"/>
  <c r="C1281" i="4"/>
  <c r="G1280" i="4"/>
  <c r="C1280" i="4"/>
  <c r="G1279" i="4"/>
  <c r="C1279" i="4"/>
  <c r="G1278" i="4"/>
  <c r="C1278" i="4"/>
  <c r="G1277" i="4"/>
  <c r="C1277" i="4"/>
  <c r="G1276" i="4"/>
  <c r="C1276" i="4"/>
  <c r="G1275" i="4"/>
  <c r="C1275" i="4"/>
  <c r="G1274" i="4"/>
  <c r="C1274" i="4"/>
  <c r="G1273" i="4"/>
  <c r="C1273" i="4"/>
  <c r="G1272" i="4"/>
  <c r="C1272" i="4"/>
  <c r="G1271" i="4"/>
  <c r="C1271" i="4"/>
  <c r="G1270" i="4"/>
  <c r="C1270" i="4"/>
  <c r="G1269" i="4"/>
  <c r="C1269" i="4"/>
  <c r="G1268" i="4"/>
  <c r="C1268" i="4"/>
  <c r="G1267" i="4"/>
  <c r="C1267" i="4"/>
  <c r="G1266" i="4"/>
  <c r="C1266" i="4"/>
  <c r="G1265" i="4"/>
  <c r="C1265" i="4"/>
  <c r="G1264" i="4"/>
  <c r="C1264" i="4"/>
  <c r="G1263" i="4"/>
  <c r="C1263" i="4"/>
  <c r="G1262" i="4"/>
  <c r="C1262" i="4"/>
  <c r="G1261" i="4"/>
  <c r="C1261" i="4"/>
  <c r="G1260" i="4"/>
  <c r="C1260" i="4"/>
  <c r="G1259" i="4"/>
  <c r="C1259" i="4"/>
  <c r="G1258" i="4"/>
  <c r="C1258" i="4"/>
  <c r="G1257" i="4"/>
  <c r="C1257" i="4"/>
  <c r="G1256" i="4"/>
  <c r="C1256" i="4"/>
  <c r="G1255" i="4"/>
  <c r="C1255" i="4"/>
  <c r="G1254" i="4"/>
  <c r="C1254" i="4"/>
  <c r="G1253" i="4"/>
  <c r="C1253" i="4"/>
  <c r="G1252" i="4"/>
  <c r="C1252" i="4"/>
  <c r="G1251" i="4"/>
  <c r="C1251" i="4"/>
  <c r="G1250" i="4"/>
  <c r="C1250" i="4"/>
  <c r="G1249" i="4"/>
  <c r="C1249" i="4"/>
  <c r="G1248" i="4"/>
  <c r="C1248" i="4"/>
  <c r="G1247" i="4"/>
  <c r="C1247" i="4"/>
  <c r="G1246" i="4"/>
  <c r="C1246" i="4"/>
  <c r="G1245" i="4"/>
  <c r="C1245" i="4"/>
  <c r="G1244" i="4"/>
  <c r="C1244" i="4"/>
  <c r="G1243" i="4"/>
  <c r="C1243" i="4"/>
  <c r="G1242" i="4"/>
  <c r="C1242" i="4"/>
  <c r="G1241" i="4"/>
  <c r="C1241" i="4"/>
  <c r="G1240" i="4"/>
  <c r="C1240" i="4"/>
  <c r="G1239" i="4"/>
  <c r="C1239" i="4"/>
  <c r="G1238" i="4"/>
  <c r="C1238" i="4"/>
  <c r="G1237" i="4"/>
  <c r="C1237" i="4"/>
  <c r="G1236" i="4"/>
  <c r="C1236" i="4"/>
  <c r="G1235" i="4"/>
  <c r="C1235" i="4"/>
  <c r="G1234" i="4"/>
  <c r="C1234" i="4"/>
  <c r="G1233" i="4"/>
  <c r="C1233" i="4"/>
  <c r="G1232" i="4"/>
  <c r="C1232" i="4"/>
  <c r="G1231" i="4"/>
  <c r="C1231" i="4"/>
  <c r="G1230" i="4"/>
  <c r="C1230" i="4"/>
  <c r="G1229" i="4"/>
  <c r="C1229" i="4"/>
  <c r="G1228" i="4"/>
  <c r="C1228" i="4"/>
  <c r="G1227" i="4"/>
  <c r="C1227" i="4"/>
  <c r="G1226" i="4"/>
  <c r="C1226" i="4"/>
  <c r="G1225" i="4"/>
  <c r="C1225" i="4"/>
  <c r="G1224" i="4"/>
  <c r="C1224" i="4"/>
  <c r="G1223" i="4"/>
  <c r="C1223" i="4"/>
  <c r="G1222" i="4"/>
  <c r="C1222" i="4"/>
  <c r="G1221" i="4"/>
  <c r="C1221" i="4"/>
  <c r="G1220" i="4"/>
  <c r="C1220" i="4"/>
  <c r="G1219" i="4"/>
  <c r="C1219" i="4"/>
  <c r="G1218" i="4"/>
  <c r="C1218" i="4"/>
  <c r="G1217" i="4"/>
  <c r="C1217" i="4"/>
  <c r="G1216" i="4"/>
  <c r="C1216" i="4"/>
  <c r="G1215" i="4"/>
  <c r="C1215" i="4"/>
  <c r="G1214" i="4"/>
  <c r="C1214" i="4"/>
  <c r="G1213" i="4"/>
  <c r="C1213" i="4"/>
  <c r="G1212" i="4"/>
  <c r="C1212" i="4"/>
  <c r="G1211" i="4"/>
  <c r="C1211" i="4"/>
  <c r="G1210" i="4"/>
  <c r="C1210" i="4"/>
  <c r="G1209" i="4"/>
  <c r="C1209" i="4"/>
  <c r="G1208" i="4"/>
  <c r="C1208" i="4"/>
  <c r="G1207" i="4"/>
  <c r="C1207" i="4"/>
  <c r="G1206" i="4"/>
  <c r="C1206" i="4"/>
  <c r="G1205" i="4"/>
  <c r="C1205" i="4"/>
  <c r="G1204" i="4"/>
  <c r="C1204" i="4"/>
  <c r="G1203" i="4"/>
  <c r="C1203" i="4"/>
  <c r="G1202" i="4"/>
  <c r="C1202" i="4"/>
  <c r="G1201" i="4"/>
  <c r="C1201" i="4"/>
  <c r="G1200" i="4"/>
  <c r="C1200" i="4"/>
  <c r="G1199" i="4"/>
  <c r="C1199" i="4"/>
  <c r="G1198" i="4"/>
  <c r="C1198" i="4"/>
  <c r="G1197" i="4"/>
  <c r="C1197" i="4"/>
  <c r="G1196" i="4"/>
  <c r="C1196" i="4"/>
  <c r="G1195" i="4"/>
  <c r="C1195" i="4"/>
  <c r="G1194" i="4"/>
  <c r="C1194" i="4"/>
  <c r="G1193" i="4"/>
  <c r="C1193" i="4"/>
  <c r="G1192" i="4"/>
  <c r="C1192" i="4"/>
  <c r="G1191" i="4"/>
  <c r="C1191" i="4"/>
  <c r="G1190" i="4"/>
  <c r="C1190" i="4"/>
  <c r="G1189" i="4"/>
  <c r="C1189" i="4"/>
  <c r="G1188" i="4"/>
  <c r="C1188" i="4"/>
  <c r="G1187" i="4"/>
  <c r="C1187" i="4"/>
  <c r="G1186" i="4"/>
  <c r="C1186" i="4"/>
  <c r="G1185" i="4"/>
  <c r="C1185" i="4"/>
  <c r="G1184" i="4"/>
  <c r="C1184" i="4"/>
  <c r="G1183" i="4"/>
  <c r="C1183" i="4"/>
  <c r="G1182" i="4"/>
  <c r="C1182" i="4"/>
  <c r="G1181" i="4"/>
  <c r="C1181" i="4"/>
  <c r="G1180" i="4"/>
  <c r="C1180" i="4"/>
  <c r="G1179" i="4"/>
  <c r="C1179" i="4"/>
  <c r="G1178" i="4"/>
  <c r="C1178" i="4"/>
  <c r="G1177" i="4"/>
  <c r="C1177" i="4"/>
  <c r="G1176" i="4"/>
  <c r="C1176" i="4"/>
  <c r="G1175" i="4"/>
  <c r="C1175" i="4"/>
  <c r="G1174" i="4"/>
  <c r="C1174" i="4"/>
  <c r="G1173" i="4"/>
  <c r="C1173" i="4"/>
  <c r="G1172" i="4"/>
  <c r="C1172" i="4"/>
  <c r="G1171" i="4"/>
  <c r="C1171" i="4"/>
  <c r="G1170" i="4"/>
  <c r="C1170" i="4"/>
  <c r="G1169" i="4"/>
  <c r="C1169" i="4"/>
  <c r="G1168" i="4"/>
  <c r="C1168" i="4"/>
  <c r="G1167" i="4"/>
  <c r="C1167" i="4"/>
  <c r="G1166" i="4"/>
  <c r="C1166" i="4"/>
  <c r="G1165" i="4"/>
  <c r="C1165" i="4"/>
  <c r="G1164" i="4"/>
  <c r="C1164" i="4"/>
  <c r="G1163" i="4"/>
  <c r="C1163" i="4"/>
  <c r="G1162" i="4"/>
  <c r="C1162" i="4"/>
  <c r="G1161" i="4"/>
  <c r="C1161" i="4"/>
  <c r="G1160" i="4"/>
  <c r="C1160" i="4"/>
  <c r="G1159" i="4"/>
  <c r="C1159" i="4"/>
  <c r="G1158" i="4"/>
  <c r="C1158" i="4"/>
  <c r="G1157" i="4"/>
  <c r="C1157" i="4"/>
  <c r="G1156" i="4"/>
  <c r="C1156" i="4"/>
  <c r="G1155" i="4"/>
  <c r="C1155" i="4"/>
  <c r="G1154" i="4"/>
  <c r="C1154" i="4"/>
  <c r="G1153" i="4"/>
  <c r="C1153" i="4"/>
  <c r="G1152" i="4"/>
  <c r="C1152" i="4"/>
  <c r="G1151" i="4"/>
  <c r="C1151" i="4"/>
  <c r="G1150" i="4"/>
  <c r="C1150" i="4"/>
  <c r="G1149" i="4"/>
  <c r="C1149" i="4"/>
  <c r="G1148" i="4"/>
  <c r="C1148" i="4"/>
  <c r="G1147" i="4"/>
  <c r="C1147" i="4"/>
  <c r="G1146" i="4"/>
  <c r="C1146" i="4"/>
  <c r="G1145" i="4"/>
  <c r="C1145" i="4"/>
  <c r="G1144" i="4"/>
  <c r="C1144" i="4"/>
  <c r="G1143" i="4"/>
  <c r="C1143" i="4"/>
  <c r="G1142" i="4"/>
  <c r="C1142" i="4"/>
  <c r="G1141" i="4"/>
  <c r="C1141" i="4"/>
  <c r="G1140" i="4"/>
  <c r="C1140" i="4"/>
  <c r="G1139" i="4"/>
  <c r="C1139" i="4"/>
  <c r="G1138" i="4"/>
  <c r="C1138" i="4"/>
  <c r="G1137" i="4"/>
  <c r="C1137" i="4"/>
  <c r="G1136" i="4"/>
  <c r="C1136" i="4"/>
  <c r="G1135" i="4"/>
  <c r="C1135" i="4"/>
  <c r="G1134" i="4"/>
  <c r="C1134" i="4"/>
  <c r="G1133" i="4"/>
  <c r="C1133" i="4"/>
  <c r="G1132" i="4"/>
  <c r="C1132" i="4"/>
  <c r="G1131" i="4"/>
  <c r="C1131" i="4"/>
  <c r="G1130" i="4"/>
  <c r="C1130" i="4"/>
  <c r="G1129" i="4"/>
  <c r="C1129" i="4"/>
  <c r="G1128" i="4"/>
  <c r="C1128" i="4"/>
  <c r="G1127" i="4"/>
  <c r="C1127" i="4"/>
  <c r="G1126" i="4"/>
  <c r="C1126" i="4"/>
  <c r="G1125" i="4"/>
  <c r="C1125" i="4"/>
  <c r="G1124" i="4"/>
  <c r="C1124" i="4"/>
  <c r="G1123" i="4"/>
  <c r="C1123" i="4"/>
  <c r="G1122" i="4"/>
  <c r="C1122" i="4"/>
  <c r="G1121" i="4"/>
  <c r="C1121" i="4"/>
  <c r="G1120" i="4"/>
  <c r="C1120" i="4"/>
  <c r="G1119" i="4"/>
  <c r="C1119" i="4"/>
  <c r="G1118" i="4"/>
  <c r="C1118" i="4"/>
  <c r="G1117" i="4"/>
  <c r="C1117" i="4"/>
  <c r="G1116" i="4"/>
  <c r="C1116" i="4"/>
  <c r="G1115" i="4"/>
  <c r="C1115" i="4"/>
  <c r="G1114" i="4"/>
  <c r="C1114" i="4"/>
  <c r="G1113" i="4"/>
  <c r="C1113" i="4"/>
  <c r="G1112" i="4"/>
  <c r="C1112" i="4"/>
  <c r="G1111" i="4"/>
  <c r="C1111" i="4"/>
  <c r="G1110" i="4"/>
  <c r="C1110" i="4"/>
  <c r="G1109" i="4"/>
  <c r="C1109" i="4"/>
  <c r="G1108" i="4"/>
  <c r="C1108" i="4"/>
  <c r="G1107" i="4"/>
  <c r="C1107" i="4"/>
  <c r="G1106" i="4"/>
  <c r="C1106" i="4"/>
  <c r="G1105" i="4"/>
  <c r="C1105" i="4"/>
  <c r="G1104" i="4"/>
  <c r="C1104" i="4"/>
  <c r="G1103" i="4"/>
  <c r="C1103" i="4"/>
  <c r="G1102" i="4"/>
  <c r="C1102" i="4"/>
  <c r="G1101" i="4"/>
  <c r="C1101" i="4"/>
  <c r="G1100" i="4"/>
  <c r="C1100" i="4"/>
  <c r="G1099" i="4"/>
  <c r="C1099" i="4"/>
  <c r="G1098" i="4"/>
  <c r="C1098" i="4"/>
  <c r="G1097" i="4"/>
  <c r="C1097" i="4"/>
  <c r="G1096" i="4"/>
  <c r="C1096" i="4"/>
  <c r="G1095" i="4"/>
  <c r="C1095" i="4"/>
  <c r="G1094" i="4"/>
  <c r="C1094" i="4"/>
  <c r="G1093" i="4"/>
  <c r="C1093" i="4"/>
  <c r="G1092" i="4"/>
  <c r="C1092" i="4"/>
  <c r="G1091" i="4"/>
  <c r="C1091" i="4"/>
  <c r="G1090" i="4"/>
  <c r="C1090" i="4"/>
  <c r="G1089" i="4"/>
  <c r="C1089" i="4"/>
  <c r="G1088" i="4"/>
  <c r="C1088" i="4"/>
  <c r="G1087" i="4"/>
  <c r="C1087" i="4"/>
  <c r="G1086" i="4"/>
  <c r="C1086" i="4"/>
  <c r="G1085" i="4"/>
  <c r="C1085" i="4"/>
  <c r="G1084" i="4"/>
  <c r="C1084" i="4"/>
  <c r="G1083" i="4"/>
  <c r="C1083" i="4"/>
  <c r="G1082" i="4"/>
  <c r="C1082" i="4"/>
  <c r="G1081" i="4"/>
  <c r="C1081" i="4"/>
  <c r="G1080" i="4"/>
  <c r="C1080" i="4"/>
  <c r="G1079" i="4"/>
  <c r="C1079" i="4"/>
  <c r="G1078" i="4"/>
  <c r="C1078" i="4"/>
  <c r="G1077" i="4"/>
  <c r="C1077" i="4"/>
  <c r="G1076" i="4"/>
  <c r="C1076" i="4"/>
  <c r="G1075" i="4"/>
  <c r="C1075" i="4"/>
  <c r="G1074" i="4"/>
  <c r="C1074" i="4"/>
  <c r="G1073" i="4"/>
  <c r="C1073" i="4"/>
  <c r="G1072" i="4"/>
  <c r="C1072" i="4"/>
  <c r="G1071" i="4"/>
  <c r="C1071" i="4"/>
  <c r="G1070" i="4"/>
  <c r="C1070" i="4"/>
  <c r="G1069" i="4"/>
  <c r="C1069" i="4"/>
  <c r="G1068" i="4"/>
  <c r="C1068" i="4"/>
  <c r="G1067" i="4"/>
  <c r="C1067" i="4"/>
  <c r="G1066" i="4"/>
  <c r="C1066" i="4"/>
  <c r="G1065" i="4"/>
  <c r="C1065" i="4"/>
  <c r="G1064" i="4"/>
  <c r="C1064" i="4"/>
  <c r="G1063" i="4"/>
  <c r="C1063" i="4"/>
  <c r="G1062" i="4"/>
  <c r="C1062" i="4"/>
  <c r="G1061" i="4"/>
  <c r="C1061" i="4"/>
  <c r="G1060" i="4"/>
  <c r="C1060" i="4"/>
  <c r="G1059" i="4"/>
  <c r="C1059" i="4"/>
  <c r="G1058" i="4"/>
  <c r="C1058" i="4"/>
  <c r="G1057" i="4"/>
  <c r="C1057" i="4"/>
  <c r="G1056" i="4"/>
  <c r="C1056" i="4"/>
  <c r="G1055" i="4"/>
  <c r="C1055" i="4"/>
  <c r="G1054" i="4"/>
  <c r="C1054" i="4"/>
  <c r="G1053" i="4"/>
  <c r="C1053" i="4"/>
  <c r="G1052" i="4"/>
  <c r="C1052" i="4"/>
  <c r="G1051" i="4"/>
  <c r="C1051" i="4"/>
  <c r="G1050" i="4"/>
  <c r="C1050" i="4"/>
  <c r="G1049" i="4"/>
  <c r="C1049" i="4"/>
  <c r="G1048" i="4"/>
  <c r="C1048" i="4"/>
  <c r="G1047" i="4"/>
  <c r="C1047" i="4"/>
  <c r="G1046" i="4"/>
  <c r="C1046" i="4"/>
  <c r="G1045" i="4"/>
  <c r="C1045" i="4"/>
  <c r="G1044" i="4"/>
  <c r="C1044" i="4"/>
  <c r="G1043" i="4"/>
  <c r="C1043" i="4"/>
  <c r="G1042" i="4"/>
  <c r="C1042" i="4"/>
  <c r="G1041" i="4"/>
  <c r="C1041" i="4"/>
  <c r="G1040" i="4"/>
  <c r="C1040" i="4"/>
  <c r="G1039" i="4"/>
  <c r="C1039" i="4"/>
  <c r="G1038" i="4"/>
  <c r="C1038" i="4"/>
  <c r="G1037" i="4"/>
  <c r="C1037" i="4"/>
  <c r="G1036" i="4"/>
  <c r="C1036" i="4"/>
  <c r="G1035" i="4"/>
  <c r="C1035" i="4"/>
  <c r="G1034" i="4"/>
  <c r="C1034" i="4"/>
  <c r="G1033" i="4"/>
  <c r="C1033" i="4"/>
  <c r="G1032" i="4"/>
  <c r="C1032" i="4"/>
  <c r="G1031" i="4"/>
  <c r="C1031" i="4"/>
  <c r="G1030" i="4"/>
  <c r="C1030" i="4"/>
  <c r="G1029" i="4"/>
  <c r="C1029" i="4"/>
  <c r="G1028" i="4"/>
  <c r="C1028" i="4"/>
  <c r="G1027" i="4"/>
  <c r="C1027" i="4"/>
  <c r="G1026" i="4"/>
  <c r="C1026" i="4"/>
  <c r="G1025" i="4"/>
  <c r="C1025" i="4"/>
  <c r="G1024" i="4"/>
  <c r="C1024" i="4"/>
  <c r="G1023" i="4"/>
  <c r="C1023" i="4"/>
  <c r="G1022" i="4"/>
  <c r="C1022" i="4"/>
  <c r="G1021" i="4"/>
  <c r="C1021" i="4"/>
  <c r="G1020" i="4"/>
  <c r="C1020" i="4"/>
  <c r="G1019" i="4"/>
  <c r="C1019" i="4"/>
  <c r="G1018" i="4"/>
  <c r="C1018" i="4"/>
  <c r="G1017" i="4"/>
  <c r="C1017" i="4"/>
  <c r="G1016" i="4"/>
  <c r="C1016" i="4"/>
  <c r="G1015" i="4"/>
  <c r="C1015" i="4"/>
  <c r="G1014" i="4"/>
  <c r="C1014" i="4"/>
  <c r="G1013" i="4"/>
  <c r="C1013" i="4"/>
  <c r="G1012" i="4"/>
  <c r="C1012" i="4"/>
  <c r="G1011" i="4"/>
  <c r="C1011" i="4"/>
  <c r="G1010" i="4"/>
  <c r="C1010" i="4"/>
  <c r="G1009" i="4"/>
  <c r="C1009" i="4"/>
  <c r="G1008" i="4"/>
  <c r="C1008" i="4"/>
  <c r="G1007" i="4"/>
  <c r="C1007" i="4"/>
  <c r="G1006" i="4"/>
  <c r="C1006" i="4"/>
  <c r="G1005" i="4"/>
  <c r="C1005" i="4"/>
  <c r="G1004" i="4"/>
  <c r="C1004" i="4"/>
  <c r="G1003" i="4"/>
  <c r="C1003" i="4"/>
  <c r="G1002" i="4"/>
  <c r="C1002" i="4"/>
  <c r="G1001" i="4"/>
  <c r="C1001" i="4"/>
  <c r="G1000" i="4"/>
  <c r="C1000" i="4"/>
  <c r="G999" i="4"/>
  <c r="C999" i="4"/>
  <c r="G998" i="4"/>
  <c r="C998" i="4"/>
  <c r="G997" i="4"/>
  <c r="C997" i="4"/>
  <c r="G996" i="4"/>
  <c r="C996" i="4"/>
  <c r="G995" i="4"/>
  <c r="C995" i="4"/>
  <c r="G994" i="4"/>
  <c r="C994" i="4"/>
  <c r="G993" i="4"/>
  <c r="C993" i="4"/>
  <c r="G992" i="4"/>
  <c r="C992" i="4"/>
  <c r="G991" i="4"/>
  <c r="C991" i="4"/>
  <c r="G990" i="4"/>
  <c r="C990" i="4"/>
  <c r="G989" i="4"/>
  <c r="C989" i="4"/>
  <c r="G988" i="4"/>
  <c r="C988" i="4"/>
  <c r="G987" i="4"/>
  <c r="C987" i="4"/>
  <c r="G986" i="4"/>
  <c r="C986" i="4"/>
  <c r="G985" i="4"/>
  <c r="C985" i="4"/>
  <c r="G984" i="4"/>
  <c r="C984" i="4"/>
  <c r="G983" i="4"/>
  <c r="C983" i="4"/>
  <c r="G982" i="4"/>
  <c r="C982" i="4"/>
  <c r="G981" i="4"/>
  <c r="C981" i="4"/>
  <c r="G980" i="4"/>
  <c r="C980" i="4"/>
  <c r="G979" i="4"/>
  <c r="C979" i="4"/>
  <c r="G978" i="4"/>
  <c r="C978" i="4"/>
  <c r="G977" i="4"/>
  <c r="C977" i="4"/>
  <c r="G976" i="4"/>
  <c r="C976" i="4"/>
  <c r="G975" i="4"/>
  <c r="C975" i="4"/>
  <c r="G974" i="4"/>
  <c r="C974" i="4"/>
  <c r="G973" i="4"/>
  <c r="C973" i="4"/>
  <c r="G972" i="4"/>
  <c r="C972" i="4"/>
  <c r="G971" i="4"/>
  <c r="C971" i="4"/>
  <c r="G970" i="4"/>
  <c r="C970" i="4"/>
  <c r="G969" i="4"/>
  <c r="C969" i="4"/>
  <c r="G968" i="4"/>
  <c r="C968" i="4"/>
  <c r="G967" i="4"/>
  <c r="C967" i="4"/>
  <c r="G966" i="4"/>
  <c r="C966" i="4"/>
  <c r="G965" i="4"/>
  <c r="C965" i="4"/>
  <c r="G964" i="4"/>
  <c r="C964" i="4"/>
  <c r="G963" i="4"/>
  <c r="C963" i="4"/>
  <c r="G962" i="4"/>
  <c r="C962" i="4"/>
  <c r="G961" i="4"/>
  <c r="C961" i="4"/>
  <c r="G960" i="4"/>
  <c r="C960" i="4"/>
  <c r="G959" i="4"/>
  <c r="C959" i="4"/>
  <c r="G958" i="4"/>
  <c r="C958" i="4"/>
  <c r="G957" i="4"/>
  <c r="C957" i="4"/>
  <c r="G956" i="4"/>
  <c r="C956" i="4"/>
  <c r="G955" i="4"/>
  <c r="C955" i="4"/>
  <c r="G954" i="4"/>
  <c r="C954" i="4"/>
  <c r="G953" i="4"/>
  <c r="C953" i="4"/>
  <c r="G952" i="4"/>
  <c r="C952" i="4"/>
  <c r="G951" i="4"/>
  <c r="C951" i="4"/>
  <c r="G950" i="4"/>
  <c r="C950" i="4"/>
  <c r="G949" i="4"/>
  <c r="C949" i="4"/>
  <c r="G948" i="4"/>
  <c r="C948" i="4"/>
  <c r="G947" i="4"/>
  <c r="C947" i="4"/>
  <c r="G946" i="4"/>
  <c r="C946" i="4"/>
  <c r="G945" i="4"/>
  <c r="C945" i="4"/>
  <c r="G944" i="4"/>
  <c r="C944" i="4"/>
  <c r="G943" i="4"/>
  <c r="C943" i="4"/>
  <c r="G942" i="4"/>
  <c r="C942" i="4"/>
  <c r="G941" i="4"/>
  <c r="C941" i="4"/>
  <c r="G940" i="4"/>
  <c r="C940" i="4"/>
  <c r="G939" i="4"/>
  <c r="C939" i="4"/>
  <c r="G938" i="4"/>
  <c r="C938" i="4"/>
  <c r="G937" i="4"/>
  <c r="C937" i="4"/>
  <c r="G936" i="4"/>
  <c r="C936" i="4"/>
  <c r="G935" i="4"/>
  <c r="C935" i="4"/>
  <c r="G934" i="4"/>
  <c r="C934" i="4"/>
  <c r="G933" i="4"/>
  <c r="C933" i="4"/>
  <c r="G932" i="4"/>
  <c r="C932" i="4"/>
  <c r="G931" i="4"/>
  <c r="C931" i="4"/>
  <c r="G930" i="4"/>
  <c r="C930" i="4"/>
  <c r="G929" i="4"/>
  <c r="C929" i="4"/>
  <c r="G928" i="4"/>
  <c r="C928" i="4"/>
  <c r="G927" i="4"/>
  <c r="C927" i="4"/>
  <c r="G926" i="4"/>
  <c r="C926" i="4"/>
  <c r="G925" i="4"/>
  <c r="C925" i="4"/>
  <c r="G924" i="4"/>
  <c r="C924" i="4"/>
  <c r="G923" i="4"/>
  <c r="C923" i="4"/>
  <c r="G922" i="4"/>
  <c r="C922" i="4"/>
  <c r="G921" i="4"/>
  <c r="C921" i="4"/>
  <c r="G920" i="4"/>
  <c r="C920" i="4"/>
  <c r="G919" i="4"/>
  <c r="C919" i="4"/>
  <c r="G918" i="4"/>
  <c r="C918" i="4"/>
  <c r="G917" i="4"/>
  <c r="C917" i="4"/>
  <c r="G916" i="4"/>
  <c r="C916" i="4"/>
  <c r="G915" i="4"/>
  <c r="C915" i="4"/>
  <c r="G914" i="4"/>
  <c r="C914" i="4"/>
  <c r="G913" i="4"/>
  <c r="C913" i="4"/>
  <c r="G912" i="4"/>
  <c r="C912" i="4"/>
  <c r="G911" i="4"/>
  <c r="C911" i="4"/>
  <c r="G910" i="4"/>
  <c r="C910" i="4"/>
  <c r="G909" i="4"/>
  <c r="C909" i="4"/>
  <c r="G908" i="4"/>
  <c r="C908" i="4"/>
  <c r="G907" i="4"/>
  <c r="C907" i="4"/>
  <c r="G906" i="4"/>
  <c r="C906" i="4"/>
  <c r="G905" i="4"/>
  <c r="C905" i="4"/>
  <c r="G904" i="4"/>
  <c r="C904" i="4"/>
  <c r="G903" i="4"/>
  <c r="C903" i="4"/>
  <c r="G902" i="4"/>
  <c r="C902" i="4"/>
  <c r="G901" i="4"/>
  <c r="C901" i="4"/>
  <c r="G900" i="4"/>
  <c r="C900" i="4"/>
  <c r="G899" i="4"/>
  <c r="C899" i="4"/>
  <c r="G898" i="4"/>
  <c r="C898" i="4"/>
  <c r="G897" i="4"/>
  <c r="C897" i="4"/>
  <c r="G896" i="4"/>
  <c r="C896" i="4"/>
  <c r="G895" i="4"/>
  <c r="C895" i="4"/>
  <c r="G894" i="4"/>
  <c r="C894" i="4"/>
  <c r="G893" i="4"/>
  <c r="C893" i="4"/>
  <c r="G892" i="4"/>
  <c r="C892" i="4"/>
  <c r="G891" i="4"/>
  <c r="C891" i="4"/>
  <c r="G890" i="4"/>
  <c r="C890" i="4"/>
  <c r="G889" i="4"/>
  <c r="C889" i="4"/>
  <c r="G888" i="4"/>
  <c r="C888" i="4"/>
  <c r="G887" i="4"/>
  <c r="C887" i="4"/>
  <c r="G886" i="4"/>
  <c r="C886" i="4"/>
  <c r="G885" i="4"/>
  <c r="C885" i="4"/>
  <c r="G884" i="4"/>
  <c r="C884" i="4"/>
  <c r="G883" i="4"/>
  <c r="C883" i="4"/>
  <c r="G882" i="4"/>
  <c r="C882" i="4"/>
  <c r="G881" i="4"/>
  <c r="C881" i="4"/>
  <c r="G880" i="4"/>
  <c r="C880" i="4"/>
  <c r="G879" i="4"/>
  <c r="C879" i="4"/>
  <c r="G878" i="4"/>
  <c r="C878" i="4"/>
  <c r="G877" i="4"/>
  <c r="C877" i="4"/>
  <c r="G876" i="4"/>
  <c r="C876" i="4"/>
  <c r="G875" i="4"/>
  <c r="C875" i="4"/>
  <c r="G874" i="4"/>
  <c r="C874" i="4"/>
  <c r="G873" i="4"/>
  <c r="C873" i="4"/>
  <c r="G872" i="4"/>
  <c r="C872" i="4"/>
  <c r="G871" i="4"/>
  <c r="C871" i="4"/>
  <c r="G870" i="4"/>
  <c r="C870" i="4"/>
  <c r="G869" i="4"/>
  <c r="C869" i="4"/>
  <c r="G868" i="4"/>
  <c r="C868" i="4"/>
  <c r="G867" i="4"/>
  <c r="C867" i="4"/>
  <c r="G866" i="4"/>
  <c r="C866" i="4"/>
  <c r="G865" i="4"/>
  <c r="C865" i="4"/>
  <c r="G864" i="4"/>
  <c r="C864" i="4"/>
  <c r="G863" i="4"/>
  <c r="C863" i="4"/>
  <c r="G862" i="4"/>
  <c r="C862" i="4"/>
  <c r="G861" i="4"/>
  <c r="C861" i="4"/>
  <c r="G860" i="4"/>
  <c r="C860" i="4"/>
  <c r="G859" i="4"/>
  <c r="C859" i="4"/>
  <c r="G858" i="4"/>
  <c r="C858" i="4"/>
  <c r="G857" i="4"/>
  <c r="C857" i="4"/>
  <c r="G856" i="4"/>
  <c r="C856" i="4"/>
  <c r="G855" i="4"/>
  <c r="C855" i="4"/>
  <c r="G854" i="4"/>
  <c r="C854" i="4"/>
  <c r="G853" i="4"/>
  <c r="C853" i="4"/>
  <c r="G852" i="4"/>
  <c r="C852" i="4"/>
  <c r="G851" i="4"/>
  <c r="C851" i="4"/>
  <c r="G850" i="4"/>
  <c r="C850" i="4"/>
  <c r="G849" i="4"/>
  <c r="C849" i="4"/>
  <c r="G848" i="4"/>
  <c r="C848" i="4"/>
  <c r="G847" i="4"/>
  <c r="C847" i="4"/>
  <c r="G846" i="4"/>
  <c r="C846" i="4"/>
  <c r="G845" i="4"/>
  <c r="C845" i="4"/>
  <c r="G844" i="4"/>
  <c r="C844" i="4"/>
  <c r="G843" i="4"/>
  <c r="C843" i="4"/>
  <c r="G842" i="4"/>
  <c r="C842" i="4"/>
  <c r="G841" i="4"/>
  <c r="C841" i="4"/>
  <c r="G840" i="4"/>
  <c r="C840" i="4"/>
  <c r="G839" i="4"/>
  <c r="C839" i="4"/>
  <c r="G838" i="4"/>
  <c r="C838" i="4"/>
  <c r="G837" i="4"/>
  <c r="C837" i="4"/>
  <c r="G836" i="4"/>
  <c r="C836" i="4"/>
  <c r="G835" i="4"/>
  <c r="C835" i="4"/>
  <c r="G834" i="4"/>
  <c r="C834" i="4"/>
  <c r="G833" i="4"/>
  <c r="C833" i="4"/>
  <c r="G832" i="4"/>
  <c r="C832" i="4"/>
  <c r="G831" i="4"/>
  <c r="C831" i="4"/>
  <c r="G830" i="4"/>
  <c r="C830" i="4"/>
  <c r="G829" i="4"/>
  <c r="C829" i="4"/>
  <c r="G828" i="4"/>
  <c r="C828" i="4"/>
  <c r="G827" i="4"/>
  <c r="C827" i="4"/>
  <c r="G826" i="4"/>
  <c r="C826" i="4"/>
  <c r="G825" i="4"/>
  <c r="C825" i="4"/>
  <c r="G824" i="4"/>
  <c r="C824" i="4"/>
  <c r="G823" i="4"/>
  <c r="C823" i="4"/>
  <c r="G822" i="4"/>
  <c r="C822" i="4"/>
  <c r="G821" i="4"/>
  <c r="C821" i="4"/>
  <c r="G820" i="4"/>
  <c r="C820" i="4"/>
  <c r="G819" i="4"/>
  <c r="C819" i="4"/>
  <c r="G818" i="4"/>
  <c r="C818" i="4"/>
  <c r="G817" i="4"/>
  <c r="C817" i="4"/>
  <c r="G816" i="4"/>
  <c r="C816" i="4"/>
  <c r="G815" i="4"/>
  <c r="C815" i="4"/>
  <c r="G814" i="4"/>
  <c r="C814" i="4"/>
  <c r="G813" i="4"/>
  <c r="C813" i="4"/>
  <c r="G812" i="4"/>
  <c r="C812" i="4"/>
  <c r="G811" i="4"/>
  <c r="C811" i="4"/>
  <c r="G810" i="4"/>
  <c r="C810" i="4"/>
  <c r="G809" i="4"/>
  <c r="C809" i="4"/>
  <c r="G808" i="4"/>
  <c r="C808" i="4"/>
  <c r="G807" i="4"/>
  <c r="C807" i="4"/>
  <c r="G806" i="4"/>
  <c r="C806" i="4"/>
  <c r="G805" i="4"/>
  <c r="C805" i="4"/>
  <c r="G804" i="4"/>
  <c r="C804" i="4"/>
  <c r="G803" i="4"/>
  <c r="C803" i="4"/>
  <c r="G802" i="4"/>
  <c r="C802" i="4"/>
  <c r="G801" i="4"/>
  <c r="C801" i="4"/>
  <c r="G800" i="4"/>
  <c r="C800" i="4"/>
  <c r="G799" i="4"/>
  <c r="C799" i="4"/>
  <c r="G798" i="4"/>
  <c r="C798" i="4"/>
  <c r="G797" i="4"/>
  <c r="C797" i="4"/>
  <c r="G796" i="4"/>
  <c r="C796" i="4"/>
  <c r="G795" i="4"/>
  <c r="C795" i="4"/>
  <c r="G794" i="4"/>
  <c r="C794" i="4"/>
  <c r="G793" i="4"/>
  <c r="C793" i="4"/>
  <c r="G792" i="4"/>
  <c r="C792" i="4"/>
  <c r="G791" i="4"/>
  <c r="C791" i="4"/>
  <c r="G790" i="4"/>
  <c r="C790" i="4"/>
  <c r="G789" i="4"/>
  <c r="C789" i="4"/>
  <c r="G788" i="4"/>
  <c r="C788" i="4"/>
  <c r="G787" i="4"/>
  <c r="C787" i="4"/>
  <c r="G786" i="4"/>
  <c r="C786" i="4"/>
  <c r="G785" i="4"/>
  <c r="C785" i="4"/>
  <c r="G784" i="4"/>
  <c r="C784" i="4"/>
  <c r="G783" i="4"/>
  <c r="C783" i="4"/>
  <c r="G782" i="4"/>
  <c r="C782" i="4"/>
  <c r="G781" i="4"/>
  <c r="C781" i="4"/>
  <c r="G780" i="4"/>
  <c r="C780" i="4"/>
  <c r="G779" i="4"/>
  <c r="C779" i="4"/>
  <c r="G778" i="4"/>
  <c r="C778" i="4"/>
  <c r="G777" i="4"/>
  <c r="C777" i="4"/>
  <c r="G776" i="4"/>
  <c r="C776" i="4"/>
  <c r="G775" i="4"/>
  <c r="C775" i="4"/>
  <c r="G774" i="4"/>
  <c r="C774" i="4"/>
  <c r="G773" i="4"/>
  <c r="C773" i="4"/>
  <c r="G772" i="4"/>
  <c r="C772" i="4"/>
  <c r="G771" i="4"/>
  <c r="C771" i="4"/>
  <c r="G770" i="4"/>
  <c r="C770" i="4"/>
  <c r="G769" i="4"/>
  <c r="C769" i="4"/>
  <c r="G768" i="4"/>
  <c r="C768" i="4"/>
  <c r="G767" i="4"/>
  <c r="C767" i="4"/>
  <c r="G766" i="4"/>
  <c r="C766" i="4"/>
  <c r="G765" i="4"/>
  <c r="C765" i="4"/>
  <c r="G764" i="4"/>
  <c r="C764" i="4"/>
  <c r="G763" i="4"/>
  <c r="C763" i="4"/>
  <c r="G762" i="4"/>
  <c r="C762" i="4"/>
  <c r="G761" i="4"/>
  <c r="C761" i="4"/>
  <c r="G760" i="4"/>
  <c r="C760" i="4"/>
  <c r="G759" i="4"/>
  <c r="C759" i="4"/>
  <c r="G758" i="4"/>
  <c r="C758" i="4"/>
  <c r="G757" i="4"/>
  <c r="C757" i="4"/>
  <c r="G756" i="4"/>
  <c r="C756" i="4"/>
  <c r="G755" i="4"/>
  <c r="C755" i="4"/>
  <c r="G754" i="4"/>
  <c r="C754" i="4"/>
  <c r="G753" i="4"/>
  <c r="C753" i="4"/>
  <c r="G752" i="4"/>
  <c r="C752" i="4"/>
  <c r="G751" i="4"/>
  <c r="C751" i="4"/>
  <c r="G750" i="4"/>
  <c r="C750" i="4"/>
  <c r="G749" i="4"/>
  <c r="C749" i="4"/>
  <c r="G748" i="4"/>
  <c r="C748" i="4"/>
  <c r="G747" i="4"/>
  <c r="C747" i="4"/>
  <c r="G746" i="4"/>
  <c r="C746" i="4"/>
  <c r="G745" i="4"/>
  <c r="C745" i="4"/>
  <c r="G744" i="4"/>
  <c r="C744" i="4"/>
  <c r="G743" i="4"/>
  <c r="C743" i="4"/>
  <c r="G742" i="4"/>
  <c r="C742" i="4"/>
  <c r="G741" i="4"/>
  <c r="C741" i="4"/>
  <c r="G740" i="4"/>
  <c r="C740" i="4"/>
  <c r="G739" i="4"/>
  <c r="C739" i="4"/>
  <c r="G738" i="4"/>
  <c r="C738" i="4"/>
  <c r="G737" i="4"/>
  <c r="C737" i="4"/>
  <c r="G736" i="4"/>
  <c r="C736" i="4"/>
  <c r="G735" i="4"/>
  <c r="C735" i="4"/>
  <c r="G734" i="4"/>
  <c r="C734" i="4"/>
  <c r="G733" i="4"/>
  <c r="C733" i="4"/>
  <c r="G732" i="4"/>
  <c r="C732" i="4"/>
  <c r="G731" i="4"/>
  <c r="C731" i="4"/>
  <c r="G730" i="4"/>
  <c r="C730" i="4"/>
  <c r="G729" i="4"/>
  <c r="C729" i="4"/>
  <c r="G728" i="4"/>
  <c r="C728" i="4"/>
  <c r="G727" i="4"/>
  <c r="C727" i="4"/>
  <c r="G726" i="4"/>
  <c r="C726" i="4"/>
  <c r="G725" i="4"/>
  <c r="C725" i="4"/>
  <c r="G724" i="4"/>
  <c r="C724" i="4"/>
  <c r="G723" i="4"/>
  <c r="C723" i="4"/>
  <c r="G722" i="4"/>
  <c r="C722" i="4"/>
  <c r="G721" i="4"/>
  <c r="C721" i="4"/>
  <c r="G720" i="4"/>
  <c r="C720" i="4"/>
  <c r="G719" i="4"/>
  <c r="C719" i="4"/>
  <c r="G718" i="4"/>
  <c r="C718" i="4"/>
  <c r="G717" i="4"/>
  <c r="C717" i="4"/>
  <c r="G716" i="4"/>
  <c r="C716" i="4"/>
  <c r="G715" i="4"/>
  <c r="C715" i="4"/>
  <c r="G714" i="4"/>
  <c r="C714" i="4"/>
  <c r="G713" i="4"/>
  <c r="C713" i="4"/>
  <c r="G712" i="4"/>
  <c r="C712" i="4"/>
  <c r="G711" i="4"/>
  <c r="C711" i="4"/>
  <c r="G710" i="4"/>
  <c r="C710" i="4"/>
  <c r="G709" i="4"/>
  <c r="C709" i="4"/>
  <c r="G708" i="4"/>
  <c r="C708" i="4"/>
  <c r="G707" i="4"/>
  <c r="C707" i="4"/>
  <c r="G706" i="4"/>
  <c r="C706" i="4"/>
  <c r="G705" i="4"/>
  <c r="C705" i="4"/>
  <c r="G704" i="4"/>
  <c r="C704" i="4"/>
  <c r="G703" i="4"/>
  <c r="C703" i="4"/>
  <c r="G702" i="4"/>
  <c r="C702" i="4"/>
  <c r="G701" i="4"/>
  <c r="C701" i="4"/>
  <c r="G700" i="4"/>
  <c r="C700" i="4"/>
  <c r="G699" i="4"/>
  <c r="C699" i="4"/>
  <c r="G698" i="4"/>
  <c r="C698" i="4"/>
  <c r="G697" i="4"/>
  <c r="C697" i="4"/>
  <c r="G696" i="4"/>
  <c r="C696" i="4"/>
  <c r="G695" i="4"/>
  <c r="C695" i="4"/>
  <c r="G694" i="4"/>
  <c r="C694" i="4"/>
  <c r="G693" i="4"/>
  <c r="C693" i="4"/>
  <c r="G692" i="4"/>
  <c r="C692" i="4"/>
  <c r="G691" i="4"/>
  <c r="C691" i="4"/>
  <c r="G690" i="4"/>
  <c r="C690" i="4"/>
  <c r="G689" i="4"/>
  <c r="C689" i="4"/>
  <c r="G688" i="4"/>
  <c r="C688" i="4"/>
  <c r="G687" i="4"/>
  <c r="C687" i="4"/>
  <c r="G686" i="4"/>
  <c r="C686" i="4"/>
  <c r="G685" i="4"/>
  <c r="C685" i="4"/>
  <c r="G684" i="4"/>
  <c r="C684" i="4"/>
  <c r="G683" i="4"/>
  <c r="C683" i="4"/>
  <c r="G682" i="4"/>
  <c r="C682" i="4"/>
  <c r="G681" i="4"/>
  <c r="C681" i="4"/>
  <c r="G680" i="4"/>
  <c r="C680" i="4"/>
  <c r="G679" i="4"/>
  <c r="C679" i="4"/>
  <c r="G678" i="4"/>
  <c r="C678" i="4"/>
  <c r="G677" i="4"/>
  <c r="C677" i="4"/>
  <c r="G676" i="4"/>
  <c r="C676" i="4"/>
  <c r="G675" i="4"/>
  <c r="C675" i="4"/>
  <c r="G674" i="4"/>
  <c r="C674" i="4"/>
  <c r="G673" i="4"/>
  <c r="C673" i="4"/>
  <c r="G672" i="4"/>
  <c r="C672" i="4"/>
  <c r="G671" i="4"/>
  <c r="C671" i="4"/>
  <c r="G670" i="4"/>
  <c r="C670" i="4"/>
  <c r="G669" i="4"/>
  <c r="C669" i="4"/>
  <c r="G668" i="4"/>
  <c r="C668" i="4"/>
  <c r="G667" i="4"/>
  <c r="C667" i="4"/>
  <c r="G666" i="4"/>
  <c r="C666" i="4"/>
  <c r="G665" i="4"/>
  <c r="C665" i="4"/>
  <c r="G664" i="4"/>
  <c r="C664" i="4"/>
  <c r="G663" i="4"/>
  <c r="C663" i="4"/>
  <c r="G662" i="4"/>
  <c r="C662" i="4"/>
  <c r="G661" i="4"/>
  <c r="C661" i="4"/>
  <c r="G660" i="4"/>
  <c r="C660" i="4"/>
  <c r="G659" i="4"/>
  <c r="C659" i="4"/>
  <c r="G658" i="4"/>
  <c r="C658" i="4"/>
  <c r="G657" i="4"/>
  <c r="C657" i="4"/>
  <c r="G656" i="4"/>
  <c r="C656" i="4"/>
  <c r="G655" i="4"/>
  <c r="C655" i="4"/>
  <c r="G654" i="4"/>
  <c r="C654" i="4"/>
  <c r="G653" i="4"/>
  <c r="C653" i="4"/>
  <c r="G652" i="4"/>
  <c r="C652" i="4"/>
  <c r="G651" i="4"/>
  <c r="C651" i="4"/>
  <c r="G650" i="4"/>
  <c r="C650" i="4"/>
  <c r="G649" i="4"/>
  <c r="C649" i="4"/>
  <c r="G648" i="4"/>
  <c r="C648" i="4"/>
  <c r="G647" i="4"/>
  <c r="C647" i="4"/>
  <c r="G646" i="4"/>
  <c r="C646" i="4"/>
  <c r="G645" i="4"/>
  <c r="C645" i="4"/>
  <c r="G644" i="4"/>
  <c r="C644" i="4"/>
  <c r="G643" i="4"/>
  <c r="C643" i="4"/>
  <c r="G642" i="4"/>
  <c r="C642" i="4"/>
  <c r="G641" i="4"/>
  <c r="C641" i="4"/>
  <c r="G640" i="4"/>
  <c r="C640" i="4"/>
  <c r="G639" i="4"/>
  <c r="C639" i="4"/>
  <c r="G638" i="4"/>
  <c r="C638" i="4"/>
  <c r="G637" i="4"/>
  <c r="C637" i="4"/>
  <c r="G636" i="4"/>
  <c r="C636" i="4"/>
  <c r="G635" i="4"/>
  <c r="C635" i="4"/>
  <c r="G634" i="4"/>
  <c r="C634" i="4"/>
  <c r="G633" i="4"/>
  <c r="C633" i="4"/>
  <c r="G632" i="4"/>
  <c r="C632" i="4"/>
  <c r="G631" i="4"/>
  <c r="C631" i="4"/>
  <c r="G630" i="4"/>
  <c r="C630" i="4"/>
  <c r="G629" i="4"/>
  <c r="C629" i="4"/>
  <c r="G628" i="4"/>
  <c r="C628" i="4"/>
  <c r="G627" i="4"/>
  <c r="C627" i="4"/>
  <c r="G626" i="4"/>
  <c r="C626" i="4"/>
  <c r="G625" i="4"/>
  <c r="C625" i="4"/>
  <c r="G624" i="4"/>
  <c r="C624" i="4"/>
  <c r="G623" i="4"/>
  <c r="C623" i="4"/>
  <c r="G622" i="4"/>
  <c r="C622" i="4"/>
  <c r="G621" i="4"/>
  <c r="C621" i="4"/>
  <c r="G620" i="4"/>
  <c r="C620" i="4"/>
  <c r="G619" i="4"/>
  <c r="C619" i="4"/>
  <c r="G618" i="4"/>
  <c r="C618" i="4"/>
  <c r="G617" i="4"/>
  <c r="C617" i="4"/>
  <c r="G616" i="4"/>
  <c r="C616" i="4"/>
  <c r="G615" i="4"/>
  <c r="C615" i="4"/>
  <c r="G614" i="4"/>
  <c r="C614" i="4"/>
  <c r="G613" i="4"/>
  <c r="C613" i="4"/>
  <c r="G612" i="4"/>
  <c r="C612" i="4"/>
  <c r="G611" i="4"/>
  <c r="C611" i="4"/>
  <c r="G610" i="4"/>
  <c r="C610" i="4"/>
  <c r="G609" i="4"/>
  <c r="C609" i="4"/>
  <c r="G608" i="4"/>
  <c r="C608" i="4"/>
  <c r="G607" i="4"/>
  <c r="C607" i="4"/>
  <c r="G606" i="4"/>
  <c r="C606" i="4"/>
  <c r="G605" i="4"/>
  <c r="C605" i="4"/>
  <c r="G604" i="4"/>
  <c r="C604" i="4"/>
  <c r="G603" i="4"/>
  <c r="C603" i="4"/>
  <c r="G602" i="4"/>
  <c r="C602" i="4"/>
  <c r="G601" i="4"/>
  <c r="C601" i="4"/>
  <c r="G600" i="4"/>
  <c r="C600" i="4"/>
  <c r="G599" i="4"/>
  <c r="C599" i="4"/>
  <c r="G598" i="4"/>
  <c r="C598" i="4"/>
  <c r="G597" i="4"/>
  <c r="C597" i="4"/>
  <c r="G596" i="4"/>
  <c r="C596" i="4"/>
  <c r="G595" i="4"/>
  <c r="C595" i="4"/>
  <c r="G594" i="4"/>
  <c r="C594" i="4"/>
  <c r="G593" i="4"/>
  <c r="C593" i="4"/>
  <c r="G592" i="4"/>
  <c r="C592" i="4"/>
  <c r="G591" i="4"/>
  <c r="C591" i="4"/>
  <c r="G590" i="4"/>
  <c r="C590" i="4"/>
  <c r="G589" i="4"/>
  <c r="C589" i="4"/>
  <c r="G588" i="4"/>
  <c r="C588" i="4"/>
  <c r="G587" i="4"/>
  <c r="C587" i="4"/>
  <c r="G586" i="4"/>
  <c r="C586" i="4"/>
  <c r="G585" i="4"/>
  <c r="C585" i="4"/>
  <c r="G584" i="4"/>
  <c r="C584" i="4"/>
  <c r="G583" i="4"/>
  <c r="C583" i="4"/>
  <c r="G582" i="4"/>
  <c r="C582" i="4"/>
  <c r="G581" i="4"/>
  <c r="C581" i="4"/>
  <c r="G580" i="4"/>
  <c r="C580" i="4"/>
  <c r="G579" i="4"/>
  <c r="C579" i="4"/>
  <c r="G578" i="4"/>
  <c r="C578" i="4"/>
  <c r="G577" i="4"/>
  <c r="C577" i="4"/>
  <c r="G576" i="4"/>
  <c r="C576" i="4"/>
  <c r="G575" i="4"/>
  <c r="C575" i="4"/>
  <c r="G574" i="4"/>
  <c r="C574" i="4"/>
  <c r="G573" i="4"/>
  <c r="C573" i="4"/>
  <c r="G572" i="4"/>
  <c r="C572" i="4"/>
  <c r="G571" i="4"/>
  <c r="C571" i="4"/>
  <c r="G570" i="4"/>
  <c r="C570" i="4"/>
  <c r="G569" i="4"/>
  <c r="C569" i="4"/>
  <c r="G568" i="4"/>
  <c r="C568" i="4"/>
  <c r="G567" i="4"/>
  <c r="C567" i="4"/>
  <c r="G566" i="4"/>
  <c r="C566" i="4"/>
  <c r="G565" i="4"/>
  <c r="C565" i="4"/>
  <c r="G564" i="4"/>
  <c r="C564" i="4"/>
  <c r="G563" i="4"/>
  <c r="C563" i="4"/>
  <c r="G562" i="4"/>
  <c r="C562" i="4"/>
  <c r="G561" i="4"/>
  <c r="C561" i="4"/>
  <c r="G560" i="4"/>
  <c r="C560" i="4"/>
  <c r="G559" i="4"/>
  <c r="C559" i="4"/>
  <c r="G558" i="4"/>
  <c r="C558" i="4"/>
  <c r="G557" i="4"/>
  <c r="C557" i="4"/>
  <c r="G556" i="4"/>
  <c r="C556" i="4"/>
  <c r="G555" i="4"/>
  <c r="C555" i="4"/>
  <c r="G554" i="4"/>
  <c r="C554" i="4"/>
  <c r="G553" i="4"/>
  <c r="C553" i="4"/>
  <c r="G552" i="4"/>
  <c r="C552" i="4"/>
  <c r="G551" i="4"/>
  <c r="C551" i="4"/>
  <c r="G550" i="4"/>
  <c r="C550" i="4"/>
  <c r="G549" i="4"/>
  <c r="C549" i="4"/>
  <c r="G548" i="4"/>
  <c r="C548" i="4"/>
  <c r="G547" i="4"/>
  <c r="C547" i="4"/>
  <c r="G546" i="4"/>
  <c r="C546" i="4"/>
  <c r="G545" i="4"/>
  <c r="C545" i="4"/>
  <c r="G544" i="4"/>
  <c r="C544" i="4"/>
  <c r="G543" i="4"/>
  <c r="C543" i="4"/>
  <c r="G542" i="4"/>
  <c r="C542" i="4"/>
  <c r="G541" i="4"/>
  <c r="C541" i="4"/>
  <c r="G540" i="4"/>
  <c r="C540" i="4"/>
  <c r="G539" i="4"/>
  <c r="C539" i="4"/>
  <c r="G538" i="4"/>
  <c r="C538" i="4"/>
  <c r="G537" i="4"/>
  <c r="C537" i="4"/>
  <c r="G536" i="4"/>
  <c r="C536" i="4"/>
  <c r="G535" i="4"/>
  <c r="C535" i="4"/>
  <c r="G534" i="4"/>
  <c r="C534" i="4"/>
  <c r="G533" i="4"/>
  <c r="C533" i="4"/>
  <c r="G532" i="4"/>
  <c r="C532" i="4"/>
  <c r="G531" i="4"/>
  <c r="C531" i="4"/>
  <c r="G530" i="4"/>
  <c r="C530" i="4"/>
  <c r="G529" i="4"/>
  <c r="C529" i="4"/>
  <c r="G528" i="4"/>
  <c r="C528" i="4"/>
  <c r="G527" i="4"/>
  <c r="C527" i="4"/>
  <c r="G526" i="4"/>
  <c r="C526" i="4"/>
  <c r="G525" i="4"/>
  <c r="C525" i="4"/>
  <c r="G524" i="4"/>
  <c r="C524" i="4"/>
  <c r="G523" i="4"/>
  <c r="C523" i="4"/>
  <c r="G522" i="4"/>
  <c r="C522" i="4"/>
  <c r="G521" i="4"/>
  <c r="C521" i="4"/>
  <c r="G520" i="4"/>
  <c r="C520" i="4"/>
  <c r="G519" i="4"/>
  <c r="C519" i="4"/>
  <c r="G518" i="4"/>
  <c r="C518" i="4"/>
  <c r="G517" i="4"/>
  <c r="C517" i="4"/>
  <c r="G516" i="4"/>
  <c r="C516" i="4"/>
  <c r="G515" i="4"/>
  <c r="C515" i="4"/>
  <c r="G514" i="4"/>
  <c r="C514" i="4"/>
  <c r="G513" i="4"/>
  <c r="C513" i="4"/>
  <c r="G512" i="4"/>
  <c r="C512" i="4"/>
  <c r="G511" i="4"/>
  <c r="C511" i="4"/>
  <c r="G510" i="4"/>
  <c r="C510" i="4"/>
  <c r="G509" i="4"/>
  <c r="C509" i="4"/>
  <c r="G508" i="4"/>
  <c r="C508" i="4"/>
  <c r="G507" i="4"/>
  <c r="C507" i="4"/>
  <c r="G506" i="4"/>
  <c r="C506" i="4"/>
  <c r="G505" i="4"/>
  <c r="C505" i="4"/>
  <c r="G504" i="4"/>
  <c r="C504" i="4"/>
  <c r="G503" i="4"/>
  <c r="C503" i="4"/>
  <c r="G502" i="4"/>
  <c r="C502" i="4"/>
  <c r="G501" i="4"/>
  <c r="C501" i="4"/>
  <c r="G500" i="4"/>
  <c r="C500" i="4"/>
  <c r="G499" i="4"/>
  <c r="C499" i="4"/>
  <c r="G498" i="4"/>
  <c r="C498" i="4"/>
  <c r="G497" i="4"/>
  <c r="C497" i="4"/>
  <c r="G496" i="4"/>
  <c r="C496" i="4"/>
  <c r="G495" i="4"/>
  <c r="C495" i="4"/>
  <c r="G494" i="4"/>
  <c r="C494" i="4"/>
  <c r="G493" i="4"/>
  <c r="C493" i="4"/>
  <c r="G492" i="4"/>
  <c r="C492" i="4"/>
  <c r="G491" i="4"/>
  <c r="C491" i="4"/>
  <c r="G490" i="4"/>
  <c r="C490" i="4"/>
  <c r="G489" i="4"/>
  <c r="C489" i="4"/>
  <c r="G488" i="4"/>
  <c r="C488" i="4"/>
  <c r="G487" i="4"/>
  <c r="C487" i="4"/>
  <c r="G486" i="4"/>
  <c r="C486" i="4"/>
  <c r="G485" i="4"/>
  <c r="C485" i="4"/>
  <c r="G484" i="4"/>
  <c r="C484" i="4"/>
  <c r="G483" i="4"/>
  <c r="C483" i="4"/>
  <c r="G482" i="4"/>
  <c r="C482" i="4"/>
  <c r="G481" i="4"/>
  <c r="C481" i="4"/>
  <c r="G480" i="4"/>
  <c r="C480" i="4"/>
  <c r="G479" i="4"/>
  <c r="C479" i="4"/>
  <c r="G478" i="4"/>
  <c r="C478" i="4"/>
  <c r="G477" i="4"/>
  <c r="C477" i="4"/>
  <c r="G476" i="4"/>
  <c r="C476" i="4"/>
  <c r="G475" i="4"/>
  <c r="C475" i="4"/>
  <c r="G474" i="4"/>
  <c r="C474" i="4"/>
  <c r="G473" i="4"/>
  <c r="C473" i="4"/>
  <c r="G472" i="4"/>
  <c r="C472" i="4"/>
  <c r="G471" i="4"/>
  <c r="C471" i="4"/>
  <c r="G470" i="4"/>
  <c r="C470" i="4"/>
  <c r="G469" i="4"/>
  <c r="C469" i="4"/>
  <c r="G468" i="4"/>
  <c r="C468" i="4"/>
  <c r="G467" i="4"/>
  <c r="C467" i="4"/>
  <c r="G466" i="4"/>
  <c r="C466" i="4"/>
  <c r="G465" i="4"/>
  <c r="C465" i="4"/>
  <c r="G464" i="4"/>
  <c r="C464" i="4"/>
  <c r="G463" i="4"/>
  <c r="C463" i="4"/>
  <c r="G462" i="4"/>
  <c r="C462" i="4"/>
  <c r="G461" i="4"/>
  <c r="C461" i="4"/>
  <c r="G460" i="4"/>
  <c r="C460" i="4"/>
  <c r="G459" i="4"/>
  <c r="C459" i="4"/>
  <c r="G458" i="4"/>
  <c r="C458" i="4"/>
  <c r="G457" i="4"/>
  <c r="C457" i="4"/>
  <c r="G456" i="4"/>
  <c r="C456" i="4"/>
  <c r="G455" i="4"/>
  <c r="C455" i="4"/>
  <c r="G454" i="4"/>
  <c r="C454" i="4"/>
  <c r="G453" i="4"/>
  <c r="C453" i="4"/>
  <c r="G452" i="4"/>
  <c r="C452" i="4"/>
  <c r="G451" i="4"/>
  <c r="C451" i="4"/>
  <c r="G450" i="4"/>
  <c r="C450" i="4"/>
  <c r="G449" i="4"/>
  <c r="C449" i="4"/>
  <c r="G448" i="4"/>
  <c r="C448" i="4"/>
  <c r="G447" i="4"/>
  <c r="C447" i="4"/>
  <c r="G446" i="4"/>
  <c r="C446" i="4"/>
  <c r="G445" i="4"/>
  <c r="C445" i="4"/>
  <c r="G444" i="4"/>
  <c r="C444" i="4"/>
  <c r="G443" i="4"/>
  <c r="C443" i="4"/>
  <c r="G442" i="4"/>
  <c r="C442" i="4"/>
  <c r="G441" i="4"/>
  <c r="C441" i="4"/>
  <c r="G440" i="4"/>
  <c r="C440" i="4"/>
  <c r="G439" i="4"/>
  <c r="C439" i="4"/>
  <c r="G438" i="4"/>
  <c r="C438" i="4"/>
  <c r="G437" i="4"/>
  <c r="C437" i="4"/>
  <c r="G436" i="4"/>
  <c r="C436" i="4"/>
  <c r="G435" i="4"/>
  <c r="C435" i="4"/>
  <c r="G434" i="4"/>
  <c r="C434" i="4"/>
  <c r="G433" i="4"/>
  <c r="C433" i="4"/>
  <c r="G432" i="4"/>
  <c r="C432" i="4"/>
  <c r="G431" i="4"/>
  <c r="C431" i="4"/>
  <c r="G430" i="4"/>
  <c r="C430" i="4"/>
  <c r="G429" i="4"/>
  <c r="C429" i="4"/>
  <c r="G428" i="4"/>
  <c r="C428" i="4"/>
  <c r="G427" i="4"/>
  <c r="C427" i="4"/>
  <c r="G426" i="4"/>
  <c r="C426" i="4"/>
  <c r="G425" i="4"/>
  <c r="C425" i="4"/>
  <c r="G424" i="4"/>
  <c r="C424" i="4"/>
  <c r="G423" i="4"/>
  <c r="C423" i="4"/>
  <c r="G422" i="4"/>
  <c r="C422" i="4"/>
  <c r="G421" i="4"/>
  <c r="C421" i="4"/>
  <c r="G420" i="4"/>
  <c r="C420" i="4"/>
  <c r="G419" i="4"/>
  <c r="C419" i="4"/>
  <c r="G418" i="4"/>
  <c r="C418" i="4"/>
  <c r="G417" i="4"/>
  <c r="C417" i="4"/>
  <c r="G416" i="4"/>
  <c r="C416" i="4"/>
  <c r="G415" i="4"/>
  <c r="C415" i="4"/>
  <c r="G414" i="4"/>
  <c r="C414" i="4"/>
  <c r="G413" i="4"/>
  <c r="C413" i="4"/>
  <c r="G412" i="4"/>
  <c r="C412" i="4"/>
  <c r="G411" i="4"/>
  <c r="C411" i="4"/>
  <c r="G410" i="4"/>
  <c r="C410" i="4"/>
  <c r="G409" i="4"/>
  <c r="C409" i="4"/>
  <c r="G408" i="4"/>
  <c r="C408" i="4"/>
  <c r="G407" i="4"/>
  <c r="C407" i="4"/>
  <c r="G406" i="4"/>
  <c r="C406" i="4"/>
  <c r="G405" i="4"/>
  <c r="C405" i="4"/>
  <c r="G404" i="4"/>
  <c r="C404" i="4"/>
  <c r="G403" i="4"/>
  <c r="C403" i="4"/>
  <c r="G402" i="4"/>
  <c r="C402" i="4"/>
  <c r="G401" i="4"/>
  <c r="C401" i="4"/>
  <c r="G400" i="4"/>
  <c r="C400" i="4"/>
  <c r="G399" i="4"/>
  <c r="C399" i="4"/>
  <c r="G398" i="4"/>
  <c r="C398" i="4"/>
  <c r="G397" i="4"/>
  <c r="C397" i="4"/>
  <c r="G396" i="4"/>
  <c r="C396" i="4"/>
  <c r="G395" i="4"/>
  <c r="C395" i="4"/>
  <c r="G394" i="4"/>
  <c r="C394" i="4"/>
  <c r="G393" i="4"/>
  <c r="C393" i="4"/>
  <c r="G392" i="4"/>
  <c r="C392" i="4"/>
  <c r="G391" i="4"/>
  <c r="C391" i="4"/>
  <c r="G390" i="4"/>
  <c r="C390" i="4"/>
  <c r="G389" i="4"/>
  <c r="C389" i="4"/>
  <c r="G388" i="4"/>
  <c r="C388" i="4"/>
  <c r="G387" i="4"/>
  <c r="C387" i="4"/>
  <c r="G386" i="4"/>
  <c r="C386" i="4"/>
  <c r="G385" i="4"/>
  <c r="C385" i="4"/>
  <c r="G384" i="4"/>
  <c r="C384" i="4"/>
  <c r="G383" i="4"/>
  <c r="C383" i="4"/>
  <c r="G382" i="4"/>
  <c r="C382" i="4"/>
  <c r="G381" i="4"/>
  <c r="C381" i="4"/>
  <c r="G380" i="4"/>
  <c r="C380" i="4"/>
  <c r="G379" i="4"/>
  <c r="C379" i="4"/>
  <c r="G378" i="4"/>
  <c r="C378" i="4"/>
  <c r="G377" i="4"/>
  <c r="C377" i="4"/>
  <c r="G376" i="4"/>
  <c r="C376" i="4"/>
  <c r="G375" i="4"/>
  <c r="C375" i="4"/>
  <c r="G374" i="4"/>
  <c r="C374" i="4"/>
  <c r="G373" i="4"/>
  <c r="C373" i="4"/>
  <c r="G372" i="4"/>
  <c r="C372" i="4"/>
  <c r="G371" i="4"/>
  <c r="C371" i="4"/>
  <c r="G370" i="4"/>
  <c r="C370" i="4"/>
  <c r="G369" i="4"/>
  <c r="C369" i="4"/>
  <c r="G368" i="4"/>
  <c r="C368" i="4"/>
  <c r="G367" i="4"/>
  <c r="C367" i="4"/>
  <c r="G366" i="4"/>
  <c r="C366" i="4"/>
  <c r="G365" i="4"/>
  <c r="C365" i="4"/>
  <c r="G364" i="4"/>
  <c r="C364" i="4"/>
  <c r="G363" i="4"/>
  <c r="C363" i="4"/>
  <c r="G362" i="4"/>
  <c r="C362" i="4"/>
  <c r="G361" i="4"/>
  <c r="C361" i="4"/>
  <c r="G360" i="4"/>
  <c r="C360" i="4"/>
  <c r="G359" i="4"/>
  <c r="C359" i="4"/>
  <c r="G358" i="4"/>
  <c r="C358" i="4"/>
  <c r="G357" i="4"/>
  <c r="C357" i="4"/>
  <c r="G356" i="4"/>
  <c r="C356" i="4"/>
  <c r="G355" i="4"/>
  <c r="C355" i="4"/>
  <c r="G354" i="4"/>
  <c r="C354" i="4"/>
  <c r="G353" i="4"/>
  <c r="C353" i="4"/>
  <c r="G352" i="4"/>
  <c r="C352" i="4"/>
  <c r="G351" i="4"/>
  <c r="C351" i="4"/>
  <c r="G350" i="4"/>
  <c r="C350" i="4"/>
  <c r="G349" i="4"/>
  <c r="C349" i="4"/>
  <c r="G348" i="4"/>
  <c r="C348" i="4"/>
  <c r="G347" i="4"/>
  <c r="C347" i="4"/>
  <c r="G346" i="4"/>
  <c r="C346" i="4"/>
  <c r="G345" i="4"/>
  <c r="C345" i="4"/>
  <c r="G344" i="4"/>
  <c r="C344" i="4"/>
  <c r="G343" i="4"/>
  <c r="C343" i="4"/>
  <c r="G342" i="4"/>
  <c r="C342" i="4"/>
  <c r="G341" i="4"/>
  <c r="C341" i="4"/>
  <c r="G340" i="4"/>
  <c r="C340" i="4"/>
  <c r="G339" i="4"/>
  <c r="C339" i="4"/>
  <c r="G338" i="4"/>
  <c r="C338" i="4"/>
  <c r="G337" i="4"/>
  <c r="C337" i="4"/>
  <c r="G336" i="4"/>
  <c r="C336" i="4"/>
  <c r="G335" i="4"/>
  <c r="C335" i="4"/>
  <c r="G334" i="4"/>
  <c r="C334" i="4"/>
  <c r="G333" i="4"/>
  <c r="C333" i="4"/>
  <c r="G332" i="4"/>
  <c r="C332" i="4"/>
  <c r="G331" i="4"/>
  <c r="C331" i="4"/>
  <c r="G330" i="4"/>
  <c r="C330" i="4"/>
  <c r="G329" i="4"/>
  <c r="C329" i="4"/>
  <c r="G328" i="4"/>
  <c r="C328" i="4"/>
  <c r="G327" i="4"/>
  <c r="C327" i="4"/>
  <c r="G326" i="4"/>
  <c r="C326" i="4"/>
  <c r="G325" i="4"/>
  <c r="C325" i="4"/>
  <c r="G324" i="4"/>
  <c r="C324" i="4"/>
  <c r="G323" i="4"/>
  <c r="C323" i="4"/>
  <c r="G322" i="4"/>
  <c r="C322" i="4"/>
  <c r="G321" i="4"/>
  <c r="C321" i="4"/>
  <c r="G320" i="4"/>
  <c r="C320" i="4"/>
  <c r="G319" i="4"/>
  <c r="C319" i="4"/>
  <c r="G318" i="4"/>
  <c r="C318" i="4"/>
  <c r="G317" i="4"/>
  <c r="C317" i="4"/>
  <c r="G316" i="4"/>
  <c r="C316" i="4"/>
  <c r="G315" i="4"/>
  <c r="C315" i="4"/>
  <c r="G314" i="4"/>
  <c r="C314" i="4"/>
  <c r="G313" i="4"/>
  <c r="C313" i="4"/>
  <c r="G312" i="4"/>
  <c r="C312" i="4"/>
  <c r="G311" i="4"/>
  <c r="C311" i="4"/>
  <c r="G310" i="4"/>
  <c r="C310" i="4"/>
  <c r="G309" i="4"/>
  <c r="C309" i="4"/>
  <c r="G308" i="4"/>
  <c r="C308" i="4"/>
  <c r="G307" i="4"/>
  <c r="C307" i="4"/>
  <c r="G306" i="4"/>
  <c r="C306" i="4"/>
  <c r="G305" i="4"/>
  <c r="C305" i="4"/>
  <c r="G304" i="4"/>
  <c r="C304" i="4"/>
  <c r="G303" i="4"/>
  <c r="C303" i="4"/>
  <c r="G302" i="4"/>
  <c r="C302" i="4"/>
  <c r="G301" i="4"/>
  <c r="C301" i="4"/>
  <c r="G300" i="4"/>
  <c r="C300" i="4"/>
  <c r="G299" i="4"/>
  <c r="C299" i="4"/>
  <c r="G298" i="4"/>
  <c r="C298" i="4"/>
  <c r="G297" i="4"/>
  <c r="C297" i="4"/>
  <c r="G296" i="4"/>
  <c r="C296" i="4"/>
  <c r="G295" i="4"/>
  <c r="C295" i="4"/>
  <c r="G294" i="4"/>
  <c r="C294" i="4"/>
  <c r="G293" i="4"/>
  <c r="C293" i="4"/>
  <c r="G292" i="4"/>
  <c r="C292" i="4"/>
  <c r="G291" i="4"/>
  <c r="C291" i="4"/>
  <c r="G290" i="4"/>
  <c r="C290" i="4"/>
  <c r="G289" i="4"/>
  <c r="C289" i="4"/>
  <c r="G288" i="4"/>
  <c r="C288" i="4"/>
  <c r="G287" i="4"/>
  <c r="C287" i="4"/>
  <c r="G286" i="4"/>
  <c r="C286" i="4"/>
  <c r="G285" i="4"/>
  <c r="C285" i="4"/>
  <c r="G284" i="4"/>
  <c r="C284" i="4"/>
  <c r="G283" i="4"/>
  <c r="C283" i="4"/>
  <c r="G282" i="4"/>
  <c r="C282" i="4"/>
  <c r="G281" i="4"/>
  <c r="C281" i="4"/>
  <c r="G280" i="4"/>
  <c r="C280" i="4"/>
  <c r="G279" i="4"/>
  <c r="C279" i="4"/>
  <c r="G278" i="4"/>
  <c r="C278" i="4"/>
  <c r="G277" i="4"/>
  <c r="C277" i="4"/>
  <c r="G276" i="4"/>
  <c r="C276" i="4"/>
  <c r="G275" i="4"/>
  <c r="C275" i="4"/>
  <c r="G274" i="4"/>
  <c r="C274" i="4"/>
  <c r="G273" i="4"/>
  <c r="C273" i="4"/>
  <c r="G272" i="4"/>
  <c r="C272" i="4"/>
  <c r="G271" i="4"/>
  <c r="C271" i="4"/>
  <c r="G270" i="4"/>
  <c r="C270" i="4"/>
  <c r="G269" i="4"/>
  <c r="C269" i="4"/>
  <c r="G268" i="4"/>
  <c r="C268" i="4"/>
  <c r="G267" i="4"/>
  <c r="C267" i="4"/>
  <c r="G266" i="4"/>
  <c r="C266" i="4"/>
  <c r="G265" i="4"/>
  <c r="C265" i="4"/>
  <c r="G264" i="4"/>
  <c r="C264" i="4"/>
  <c r="G263" i="4"/>
  <c r="C263" i="4"/>
  <c r="G262" i="4"/>
  <c r="C262" i="4"/>
  <c r="G261" i="4"/>
  <c r="C261" i="4"/>
  <c r="G260" i="4"/>
  <c r="C260" i="4"/>
  <c r="G259" i="4"/>
  <c r="C259" i="4"/>
  <c r="G258" i="4"/>
  <c r="C258" i="4"/>
  <c r="G257" i="4"/>
  <c r="C257" i="4"/>
  <c r="G256" i="4"/>
  <c r="C256" i="4"/>
  <c r="G255" i="4"/>
  <c r="C255" i="4"/>
  <c r="G254" i="4"/>
  <c r="C254" i="4"/>
  <c r="G253" i="4"/>
  <c r="C253" i="4"/>
  <c r="G252" i="4"/>
  <c r="C252" i="4"/>
  <c r="G251" i="4"/>
  <c r="C251" i="4"/>
  <c r="G250" i="4"/>
  <c r="C250" i="4"/>
  <c r="G249" i="4"/>
  <c r="C249" i="4"/>
  <c r="G248" i="4"/>
  <c r="C248" i="4"/>
  <c r="G247" i="4"/>
  <c r="C247" i="4"/>
  <c r="G246" i="4"/>
  <c r="C246" i="4"/>
  <c r="G245" i="4"/>
  <c r="C245" i="4"/>
  <c r="G244" i="4"/>
  <c r="C244" i="4"/>
  <c r="G243" i="4"/>
  <c r="C243" i="4"/>
  <c r="G242" i="4"/>
  <c r="C242" i="4"/>
  <c r="G241" i="4"/>
  <c r="C241" i="4"/>
  <c r="G240" i="4"/>
  <c r="C240" i="4"/>
  <c r="G239" i="4"/>
  <c r="C239" i="4"/>
  <c r="G238" i="4"/>
  <c r="C238" i="4"/>
  <c r="G237" i="4"/>
  <c r="C237" i="4"/>
  <c r="G236" i="4"/>
  <c r="C236" i="4"/>
  <c r="G235" i="4"/>
  <c r="C235" i="4"/>
  <c r="G234" i="4"/>
  <c r="C234" i="4"/>
  <c r="G233" i="4"/>
  <c r="C233" i="4"/>
  <c r="G232" i="4"/>
  <c r="C232" i="4"/>
  <c r="G231" i="4"/>
  <c r="C231" i="4"/>
  <c r="G230" i="4"/>
  <c r="C230" i="4"/>
  <c r="G229" i="4"/>
  <c r="C229" i="4"/>
  <c r="G228" i="4"/>
  <c r="C228" i="4"/>
  <c r="G227" i="4"/>
  <c r="C227" i="4"/>
  <c r="G226" i="4"/>
  <c r="C226" i="4"/>
  <c r="G225" i="4"/>
  <c r="C225" i="4"/>
  <c r="G224" i="4"/>
  <c r="C224" i="4"/>
  <c r="G223" i="4"/>
  <c r="C223" i="4"/>
  <c r="G222" i="4"/>
  <c r="C222" i="4"/>
  <c r="G221" i="4"/>
  <c r="C221" i="4"/>
  <c r="G220" i="4"/>
  <c r="C220" i="4"/>
  <c r="G219" i="4"/>
  <c r="C219" i="4"/>
  <c r="G218" i="4"/>
  <c r="C218" i="4"/>
  <c r="G217" i="4"/>
  <c r="C217" i="4"/>
  <c r="G216" i="4"/>
  <c r="C216" i="4"/>
  <c r="G215" i="4"/>
  <c r="C215" i="4"/>
  <c r="G214" i="4"/>
  <c r="C214" i="4"/>
  <c r="G213" i="4"/>
  <c r="C213" i="4"/>
  <c r="G212" i="4"/>
  <c r="C212" i="4"/>
  <c r="G211" i="4"/>
  <c r="C211" i="4"/>
  <c r="G210" i="4"/>
  <c r="C210" i="4"/>
  <c r="G209" i="4"/>
  <c r="C209" i="4"/>
  <c r="G208" i="4"/>
  <c r="C208" i="4"/>
  <c r="G207" i="4"/>
  <c r="C207" i="4"/>
  <c r="G206" i="4"/>
  <c r="C206" i="4"/>
  <c r="G205" i="4"/>
  <c r="C205" i="4"/>
  <c r="G204" i="4"/>
  <c r="C204" i="4"/>
  <c r="G203" i="4"/>
  <c r="C203" i="4"/>
  <c r="G202" i="4"/>
  <c r="C202" i="4"/>
  <c r="G201" i="4"/>
  <c r="C201" i="4"/>
  <c r="G200" i="4"/>
  <c r="C200" i="4"/>
  <c r="G199" i="4"/>
  <c r="C199" i="4"/>
  <c r="G198" i="4"/>
  <c r="C198" i="4"/>
  <c r="G197" i="4"/>
  <c r="C197" i="4"/>
  <c r="G196" i="4"/>
  <c r="C196" i="4"/>
  <c r="G195" i="4"/>
  <c r="C195" i="4"/>
  <c r="G194" i="4"/>
  <c r="C194" i="4"/>
  <c r="G193" i="4"/>
  <c r="C193" i="4"/>
  <c r="G192" i="4"/>
  <c r="C192" i="4"/>
  <c r="G191" i="4"/>
  <c r="C191" i="4"/>
  <c r="G190" i="4"/>
  <c r="C190" i="4"/>
  <c r="G189" i="4"/>
  <c r="C189" i="4"/>
  <c r="G188" i="4"/>
  <c r="C188" i="4"/>
  <c r="G187" i="4"/>
  <c r="C187" i="4"/>
  <c r="G186" i="4"/>
  <c r="C186" i="4"/>
  <c r="G185" i="4"/>
  <c r="C185" i="4"/>
  <c r="G184" i="4"/>
  <c r="C184" i="4"/>
  <c r="G183" i="4"/>
  <c r="C183" i="4"/>
  <c r="G182" i="4"/>
  <c r="C182" i="4"/>
  <c r="G181" i="4"/>
  <c r="C181" i="4"/>
  <c r="G180" i="4"/>
  <c r="C180" i="4"/>
  <c r="G179" i="4"/>
  <c r="C179" i="4"/>
  <c r="G178" i="4"/>
  <c r="C178" i="4"/>
  <c r="G177" i="4"/>
  <c r="C177" i="4"/>
  <c r="G176" i="4"/>
  <c r="C176" i="4"/>
  <c r="G175" i="4"/>
  <c r="C175" i="4"/>
  <c r="G174" i="4"/>
  <c r="C174" i="4"/>
  <c r="G173" i="4"/>
  <c r="C173" i="4"/>
  <c r="G172" i="4"/>
  <c r="C172" i="4"/>
  <c r="G171" i="4"/>
  <c r="C171" i="4"/>
  <c r="G170" i="4"/>
  <c r="C170" i="4"/>
  <c r="G169" i="4"/>
  <c r="C169" i="4"/>
  <c r="G168" i="4"/>
  <c r="C168" i="4"/>
  <c r="G167" i="4"/>
  <c r="C167" i="4"/>
  <c r="G166" i="4"/>
  <c r="C166" i="4"/>
  <c r="G165" i="4"/>
  <c r="C165" i="4"/>
  <c r="G164" i="4"/>
  <c r="C164" i="4"/>
  <c r="G163" i="4"/>
  <c r="C163" i="4"/>
  <c r="G162" i="4"/>
  <c r="C162" i="4"/>
  <c r="G161" i="4"/>
  <c r="C161" i="4"/>
  <c r="G160" i="4"/>
  <c r="C160" i="4"/>
  <c r="G159" i="4"/>
  <c r="C159" i="4"/>
  <c r="G158" i="4"/>
  <c r="C158" i="4"/>
  <c r="G157" i="4"/>
  <c r="C157" i="4"/>
  <c r="G156" i="4"/>
  <c r="C156" i="4"/>
  <c r="G155" i="4"/>
  <c r="C155" i="4"/>
  <c r="G154" i="4"/>
  <c r="C154" i="4"/>
  <c r="G153" i="4"/>
  <c r="C153" i="4"/>
  <c r="G152" i="4"/>
  <c r="C152" i="4"/>
  <c r="G151" i="4"/>
  <c r="C151" i="4"/>
  <c r="G150" i="4"/>
  <c r="C150" i="4"/>
  <c r="G149" i="4"/>
  <c r="C149" i="4"/>
  <c r="G148" i="4"/>
  <c r="C148" i="4"/>
  <c r="G147" i="4"/>
  <c r="C147" i="4"/>
  <c r="G146" i="4"/>
  <c r="C146" i="4"/>
  <c r="G145" i="4"/>
  <c r="C145" i="4"/>
  <c r="G144" i="4"/>
  <c r="C144" i="4"/>
  <c r="G143" i="4"/>
  <c r="C143" i="4"/>
  <c r="G142" i="4"/>
  <c r="C142" i="4"/>
  <c r="G141" i="4"/>
  <c r="C141" i="4"/>
  <c r="G140" i="4"/>
  <c r="C140" i="4"/>
  <c r="G139" i="4"/>
  <c r="C139" i="4"/>
  <c r="G138" i="4"/>
  <c r="C138" i="4"/>
  <c r="G137" i="4"/>
  <c r="C137" i="4"/>
  <c r="G136" i="4"/>
  <c r="C136" i="4"/>
  <c r="G135" i="4"/>
  <c r="C135" i="4"/>
  <c r="G134" i="4"/>
  <c r="C134" i="4"/>
  <c r="G133" i="4"/>
  <c r="C133" i="4"/>
  <c r="G132" i="4"/>
  <c r="C132" i="4"/>
  <c r="G131" i="4"/>
  <c r="C131" i="4"/>
  <c r="G130" i="4"/>
  <c r="C130" i="4"/>
  <c r="G129" i="4"/>
  <c r="C129" i="4"/>
  <c r="G128" i="4"/>
  <c r="C128" i="4"/>
  <c r="G127" i="4"/>
  <c r="C127" i="4"/>
  <c r="G126" i="4"/>
  <c r="C126" i="4"/>
  <c r="G125" i="4"/>
  <c r="C125" i="4"/>
  <c r="G124" i="4"/>
  <c r="C124" i="4"/>
  <c r="G123" i="4"/>
  <c r="C123" i="4"/>
  <c r="G122" i="4"/>
  <c r="C122" i="4"/>
  <c r="G121" i="4"/>
  <c r="C121" i="4"/>
  <c r="G120" i="4"/>
  <c r="C120" i="4"/>
  <c r="G119" i="4"/>
  <c r="C119" i="4"/>
  <c r="G118" i="4"/>
  <c r="C118" i="4"/>
  <c r="G117" i="4"/>
  <c r="C117" i="4"/>
  <c r="G116" i="4"/>
  <c r="C116" i="4"/>
  <c r="G115" i="4"/>
  <c r="C115" i="4"/>
  <c r="G114" i="4"/>
  <c r="C114" i="4"/>
  <c r="G113" i="4"/>
  <c r="C113" i="4"/>
  <c r="G112" i="4"/>
  <c r="C112" i="4"/>
  <c r="G111" i="4"/>
  <c r="C111" i="4"/>
  <c r="G110" i="4"/>
  <c r="C110" i="4"/>
  <c r="G109" i="4"/>
  <c r="C109" i="4"/>
  <c r="G108" i="4"/>
  <c r="C108" i="4"/>
  <c r="G107" i="4"/>
  <c r="C107" i="4"/>
  <c r="G106" i="4"/>
  <c r="C106" i="4"/>
  <c r="G105" i="4"/>
  <c r="C105" i="4"/>
  <c r="G104" i="4"/>
  <c r="C104" i="4"/>
  <c r="G103" i="4"/>
  <c r="C103" i="4"/>
  <c r="G102" i="4"/>
  <c r="C102" i="4"/>
  <c r="G101" i="4"/>
  <c r="C101" i="4"/>
  <c r="G100" i="4"/>
  <c r="C100" i="4"/>
  <c r="G99" i="4"/>
  <c r="C99" i="4"/>
  <c r="G98" i="4"/>
  <c r="C98" i="4"/>
  <c r="G97" i="4"/>
  <c r="C97" i="4"/>
  <c r="G96" i="4"/>
  <c r="C96" i="4"/>
  <c r="G95" i="4"/>
  <c r="C95" i="4"/>
  <c r="G94" i="4"/>
  <c r="C94" i="4"/>
  <c r="G93" i="4"/>
  <c r="C93" i="4"/>
  <c r="G92" i="4"/>
  <c r="C92" i="4"/>
  <c r="G91" i="4"/>
  <c r="C91" i="4"/>
  <c r="G90" i="4"/>
  <c r="C90" i="4"/>
  <c r="G89" i="4"/>
  <c r="C89" i="4"/>
  <c r="G88" i="4"/>
  <c r="C88" i="4"/>
  <c r="G87" i="4"/>
  <c r="C87" i="4"/>
  <c r="G86" i="4"/>
  <c r="C86" i="4"/>
  <c r="G85" i="4"/>
  <c r="C85" i="4"/>
  <c r="G84" i="4"/>
  <c r="C84" i="4"/>
  <c r="G83" i="4"/>
  <c r="C83" i="4"/>
  <c r="G82" i="4"/>
  <c r="C82" i="4"/>
  <c r="G81" i="4"/>
  <c r="C81" i="4"/>
  <c r="G80" i="4"/>
  <c r="C80" i="4"/>
  <c r="G79" i="4"/>
  <c r="C79" i="4"/>
  <c r="G78" i="4"/>
  <c r="C78" i="4"/>
  <c r="G77" i="4"/>
  <c r="C77" i="4"/>
  <c r="G76" i="4"/>
  <c r="C76" i="4"/>
  <c r="G75" i="4"/>
  <c r="C75" i="4"/>
  <c r="G74" i="4"/>
  <c r="C74" i="4"/>
  <c r="G73" i="4"/>
  <c r="C73" i="4"/>
  <c r="G72" i="4"/>
  <c r="C72" i="4"/>
  <c r="G71" i="4"/>
  <c r="C71" i="4"/>
  <c r="G70" i="4"/>
  <c r="C70" i="4"/>
  <c r="G69" i="4"/>
  <c r="C69" i="4"/>
  <c r="G68" i="4"/>
  <c r="C68" i="4"/>
  <c r="G67" i="4"/>
  <c r="C67" i="4"/>
  <c r="G66" i="4"/>
  <c r="C66" i="4"/>
  <c r="G65" i="4"/>
  <c r="C65" i="4"/>
  <c r="G64" i="4"/>
  <c r="C64" i="4"/>
  <c r="G63" i="4"/>
  <c r="C63" i="4"/>
  <c r="G62" i="4"/>
  <c r="C62" i="4"/>
  <c r="G61" i="4"/>
  <c r="C61" i="4"/>
  <c r="G60" i="4"/>
  <c r="C60" i="4"/>
  <c r="G59" i="4"/>
  <c r="C59" i="4"/>
  <c r="G58" i="4"/>
  <c r="C58" i="4"/>
  <c r="G57" i="4"/>
  <c r="C57" i="4"/>
  <c r="G56" i="4"/>
  <c r="C56" i="4"/>
  <c r="G55" i="4"/>
  <c r="C55" i="4"/>
  <c r="G54" i="4"/>
  <c r="C54" i="4"/>
  <c r="G53" i="4"/>
  <c r="C53" i="4"/>
  <c r="G52" i="4"/>
  <c r="C52" i="4"/>
  <c r="G51" i="4"/>
  <c r="C51" i="4"/>
  <c r="G50" i="4"/>
  <c r="C50" i="4"/>
  <c r="G49" i="4"/>
  <c r="C49" i="4"/>
  <c r="G48" i="4"/>
  <c r="C48" i="4"/>
  <c r="G47" i="4"/>
  <c r="C47" i="4"/>
  <c r="G46" i="4"/>
  <c r="C46" i="4"/>
  <c r="G45" i="4"/>
  <c r="C45" i="4"/>
  <c r="G44" i="4"/>
  <c r="C44" i="4"/>
  <c r="G43" i="4"/>
  <c r="C43" i="4"/>
  <c r="G42" i="4"/>
  <c r="C42" i="4"/>
  <c r="G41" i="4"/>
  <c r="C41" i="4"/>
  <c r="G40" i="4"/>
  <c r="C40" i="4"/>
  <c r="G39" i="4"/>
  <c r="C39" i="4"/>
  <c r="G38" i="4"/>
  <c r="C38" i="4"/>
  <c r="G37" i="4"/>
  <c r="C37" i="4"/>
  <c r="G36" i="4"/>
  <c r="C36" i="4"/>
  <c r="G35" i="4"/>
  <c r="C35" i="4"/>
  <c r="G34" i="4"/>
  <c r="C34" i="4"/>
  <c r="G33" i="4"/>
  <c r="C33" i="4"/>
  <c r="G32" i="4"/>
  <c r="C32" i="4"/>
  <c r="G31" i="4"/>
  <c r="C31" i="4"/>
  <c r="G30" i="4"/>
  <c r="C30" i="4"/>
  <c r="G29" i="4"/>
  <c r="C29" i="4"/>
  <c r="G28" i="4"/>
  <c r="C28" i="4"/>
  <c r="G27" i="4"/>
  <c r="C27" i="4"/>
  <c r="G26" i="4"/>
  <c r="C26" i="4"/>
  <c r="G25" i="4"/>
  <c r="C25" i="4"/>
  <c r="G24" i="4"/>
  <c r="C24" i="4"/>
  <c r="G23" i="4"/>
  <c r="C23" i="4"/>
  <c r="G22" i="4"/>
  <c r="C22" i="4"/>
  <c r="G21" i="4"/>
  <c r="C21" i="4"/>
  <c r="G20" i="4"/>
  <c r="C20" i="4"/>
  <c r="G19" i="4"/>
  <c r="C19" i="4"/>
  <c r="G18" i="4"/>
  <c r="C18" i="4"/>
  <c r="G17" i="4"/>
  <c r="C17" i="4"/>
  <c r="G16" i="4"/>
  <c r="C16" i="4"/>
  <c r="G15" i="4"/>
  <c r="C15" i="4"/>
  <c r="G14" i="4"/>
  <c r="C14" i="4"/>
  <c r="G13" i="4"/>
  <c r="C13" i="4"/>
  <c r="G12" i="4"/>
  <c r="C12" i="4"/>
  <c r="G11" i="4"/>
  <c r="C11" i="4"/>
  <c r="G10" i="4"/>
  <c r="C10" i="4"/>
  <c r="G9" i="4"/>
  <c r="C9" i="4"/>
  <c r="G8" i="4"/>
  <c r="C8" i="4"/>
  <c r="G7" i="4"/>
  <c r="C7" i="4"/>
  <c r="G6" i="4"/>
  <c r="C6" i="4"/>
  <c r="G5" i="4"/>
  <c r="C5" i="4"/>
  <c r="G4" i="4"/>
  <c r="C4" i="4"/>
  <c r="K6" i="4" s="1"/>
  <c r="AB41" i="3"/>
  <c r="AA41" i="3"/>
  <c r="Z41" i="3"/>
  <c r="Y41" i="3"/>
  <c r="X41" i="3"/>
  <c r="AB40" i="3"/>
  <c r="AA40" i="3"/>
  <c r="Z40" i="3"/>
  <c r="Y40" i="3"/>
  <c r="X40" i="3"/>
  <c r="AB39" i="3"/>
  <c r="AA39" i="3"/>
  <c r="Z39" i="3"/>
  <c r="Y39" i="3"/>
  <c r="X39" i="3"/>
  <c r="AB38" i="3"/>
  <c r="AA38" i="3"/>
  <c r="Z38" i="3"/>
  <c r="Y38" i="3"/>
  <c r="X38" i="3"/>
  <c r="AB37" i="3"/>
  <c r="AA37" i="3"/>
  <c r="Z37" i="3"/>
  <c r="Y37" i="3"/>
  <c r="X37" i="3"/>
  <c r="AB36" i="3"/>
  <c r="AA36" i="3"/>
  <c r="Z36" i="3"/>
  <c r="Y36" i="3"/>
  <c r="X36" i="3"/>
  <c r="AB35" i="3"/>
  <c r="AA35" i="3"/>
  <c r="AB34" i="3"/>
  <c r="AA34" i="3"/>
  <c r="Z34" i="3"/>
  <c r="Y34" i="3"/>
  <c r="X34" i="3"/>
  <c r="AB33" i="3"/>
  <c r="AA33" i="3"/>
  <c r="Z33" i="3"/>
  <c r="Y33" i="3"/>
  <c r="X33" i="3"/>
  <c r="AB32" i="3"/>
  <c r="AA32" i="3"/>
  <c r="Z32" i="3"/>
  <c r="Y32" i="3"/>
  <c r="X32" i="3"/>
  <c r="AB31" i="3"/>
  <c r="AA31" i="3"/>
  <c r="Z31" i="3"/>
  <c r="Y31" i="3"/>
  <c r="X31" i="3"/>
  <c r="AB30" i="3"/>
  <c r="AA30" i="3"/>
  <c r="Z30" i="3"/>
  <c r="Y30" i="3"/>
  <c r="X30" i="3"/>
  <c r="AB29" i="3"/>
  <c r="AA29" i="3"/>
  <c r="Z29" i="3"/>
  <c r="Y29" i="3"/>
  <c r="X29" i="3"/>
  <c r="N29" i="3"/>
  <c r="M29" i="3"/>
  <c r="L29" i="3"/>
  <c r="K29" i="3"/>
  <c r="J29" i="3"/>
  <c r="AB28" i="3"/>
  <c r="AA28" i="3"/>
  <c r="Z28" i="3"/>
  <c r="Y28" i="3"/>
  <c r="X28" i="3"/>
  <c r="N28" i="3"/>
  <c r="M28" i="3"/>
  <c r="L28" i="3"/>
  <c r="K28" i="3"/>
  <c r="J28" i="3"/>
  <c r="AB27" i="3"/>
  <c r="AA27" i="3"/>
  <c r="Z27" i="3"/>
  <c r="Y27" i="3"/>
  <c r="X27" i="3"/>
  <c r="N27" i="3"/>
  <c r="M27" i="3"/>
  <c r="L27" i="3"/>
  <c r="K27" i="3"/>
  <c r="J27" i="3"/>
  <c r="AB26" i="3"/>
  <c r="AA26" i="3"/>
  <c r="Z26" i="3"/>
  <c r="Y26" i="3"/>
  <c r="X26" i="3"/>
  <c r="N26" i="3"/>
  <c r="M26" i="3"/>
  <c r="L26" i="3"/>
  <c r="K26" i="3"/>
  <c r="J26" i="3"/>
  <c r="AB25" i="3"/>
  <c r="AA25" i="3"/>
  <c r="Z25" i="3"/>
  <c r="Y25" i="3"/>
  <c r="X25" i="3"/>
  <c r="N25" i="3"/>
  <c r="M25" i="3"/>
  <c r="L25" i="3"/>
  <c r="K25" i="3"/>
  <c r="J25" i="3"/>
  <c r="AB24" i="3"/>
  <c r="AA24" i="3"/>
  <c r="Z24" i="3"/>
  <c r="Y24" i="3"/>
  <c r="X24" i="3"/>
  <c r="N24" i="3"/>
  <c r="M24" i="3"/>
  <c r="L24" i="3"/>
  <c r="K24" i="3"/>
  <c r="J24" i="3"/>
  <c r="AB23" i="3"/>
  <c r="AA23" i="3"/>
  <c r="Z23" i="3"/>
  <c r="Y23" i="3"/>
  <c r="X23" i="3"/>
  <c r="N23" i="3"/>
  <c r="M23" i="3"/>
  <c r="L23" i="3"/>
  <c r="K23" i="3"/>
  <c r="J23" i="3"/>
  <c r="AB22" i="3"/>
  <c r="AA22" i="3"/>
  <c r="Z22" i="3"/>
  <c r="Y22" i="3"/>
  <c r="X22" i="3"/>
  <c r="N22" i="3"/>
  <c r="M22" i="3"/>
  <c r="L22" i="3"/>
  <c r="K22" i="3"/>
  <c r="J22" i="3"/>
  <c r="AB20" i="3"/>
  <c r="AA20" i="3"/>
  <c r="Z20" i="3"/>
  <c r="Y20" i="3"/>
  <c r="X20" i="3"/>
  <c r="N20" i="3"/>
  <c r="M20" i="3"/>
  <c r="L20" i="3"/>
  <c r="K20" i="3"/>
  <c r="J20" i="3"/>
  <c r="AB19" i="3"/>
  <c r="AA19" i="3"/>
  <c r="Z19" i="3"/>
  <c r="Y19" i="3"/>
  <c r="X19" i="3"/>
  <c r="N19" i="3"/>
  <c r="M19" i="3"/>
  <c r="L19" i="3"/>
  <c r="K19" i="3"/>
  <c r="J19" i="3"/>
  <c r="AB18" i="3"/>
  <c r="AA18" i="3"/>
  <c r="Z18" i="3"/>
  <c r="Y18" i="3"/>
  <c r="X18" i="3"/>
  <c r="N18" i="3"/>
  <c r="M18" i="3"/>
  <c r="L18" i="3"/>
  <c r="K18" i="3"/>
  <c r="J18" i="3"/>
  <c r="AB17" i="3"/>
  <c r="AA17" i="3"/>
  <c r="Z17" i="3"/>
  <c r="Y17" i="3"/>
  <c r="X17" i="3"/>
  <c r="N17" i="3"/>
  <c r="M17" i="3"/>
  <c r="L17" i="3"/>
  <c r="K17" i="3"/>
  <c r="J17" i="3"/>
  <c r="AB16" i="3"/>
  <c r="AA16" i="3"/>
  <c r="Z16" i="3"/>
  <c r="Y16" i="3"/>
  <c r="X16" i="3"/>
  <c r="N16" i="3"/>
  <c r="M16" i="3"/>
  <c r="L16" i="3"/>
  <c r="K16" i="3"/>
  <c r="J16" i="3"/>
  <c r="X15" i="3"/>
  <c r="N15" i="3"/>
  <c r="M15" i="3"/>
  <c r="L15" i="3"/>
  <c r="K15" i="3"/>
  <c r="J15" i="3"/>
  <c r="AB14" i="3"/>
  <c r="AA14" i="3"/>
  <c r="Z14" i="3"/>
  <c r="Y14" i="3"/>
  <c r="X14" i="3"/>
  <c r="N14" i="3"/>
  <c r="M14" i="3"/>
  <c r="L14" i="3"/>
  <c r="K14" i="3"/>
  <c r="J14" i="3"/>
  <c r="AB13" i="3"/>
  <c r="AA13" i="3"/>
  <c r="Z13" i="3"/>
  <c r="Y13" i="3"/>
  <c r="X13" i="3"/>
  <c r="N13" i="3"/>
  <c r="M13" i="3"/>
  <c r="L13" i="3"/>
  <c r="K13" i="3"/>
  <c r="J13" i="3"/>
  <c r="AB12" i="3"/>
  <c r="AA12" i="3"/>
  <c r="Z12" i="3"/>
  <c r="Y12" i="3"/>
  <c r="X12" i="3"/>
  <c r="N12" i="3"/>
  <c r="M12" i="3"/>
  <c r="L12" i="3"/>
  <c r="K12" i="3"/>
  <c r="J12" i="3"/>
  <c r="Y11" i="3"/>
  <c r="X11" i="3"/>
  <c r="N11" i="3"/>
  <c r="M11" i="3"/>
  <c r="L11" i="3"/>
  <c r="K11" i="3"/>
  <c r="J11" i="3"/>
  <c r="AB10" i="3"/>
  <c r="AA10" i="3"/>
  <c r="Z10" i="3"/>
  <c r="Y10" i="3"/>
  <c r="X10" i="3"/>
  <c r="N10" i="3"/>
  <c r="M10" i="3"/>
  <c r="L10" i="3"/>
  <c r="K10" i="3"/>
  <c r="J10" i="3"/>
  <c r="AB9" i="3"/>
  <c r="AA9" i="3"/>
  <c r="Z9" i="3"/>
  <c r="Y9" i="3"/>
  <c r="X9" i="3"/>
  <c r="N9" i="3"/>
  <c r="M9" i="3"/>
  <c r="L9" i="3"/>
  <c r="K9" i="3"/>
  <c r="J9" i="3"/>
  <c r="AB8" i="3"/>
  <c r="AA8" i="3"/>
  <c r="Z8" i="3"/>
  <c r="Y8" i="3"/>
  <c r="X8" i="3"/>
  <c r="N8" i="3"/>
  <c r="M8" i="3"/>
  <c r="L8" i="3"/>
  <c r="K8" i="3"/>
  <c r="J8" i="3"/>
  <c r="AB7" i="3"/>
  <c r="AA7" i="3"/>
  <c r="Z7" i="3"/>
  <c r="Y7" i="3"/>
  <c r="X7" i="3"/>
  <c r="N7" i="3"/>
  <c r="M7" i="3"/>
  <c r="L7" i="3"/>
  <c r="K7" i="3"/>
  <c r="J7" i="3"/>
  <c r="AB6" i="3"/>
  <c r="AA6" i="3"/>
  <c r="Z6" i="3"/>
  <c r="Y6" i="3"/>
  <c r="X6" i="3"/>
  <c r="N6" i="3"/>
  <c r="M6" i="3"/>
  <c r="L6" i="3"/>
  <c r="K6" i="3"/>
  <c r="J6" i="3"/>
  <c r="AB5" i="3"/>
  <c r="AA5" i="3"/>
  <c r="Z5" i="3"/>
  <c r="Y5" i="3"/>
  <c r="X5" i="3"/>
  <c r="N5" i="3"/>
  <c r="M5" i="3"/>
  <c r="L5" i="3"/>
  <c r="K5" i="3"/>
  <c r="J5" i="3"/>
  <c r="C18" i="13"/>
  <c r="C12" i="13"/>
  <c r="P6" i="13"/>
  <c r="D6" i="13"/>
  <c r="C6" i="13"/>
  <c r="C23" i="13" s="1"/>
  <c r="L6" i="4"/>
  <c r="L4" i="4"/>
  <c r="M8" i="12" l="1"/>
  <c r="Q8" i="12" s="1"/>
  <c r="E9" i="12"/>
  <c r="H9" i="12" s="1"/>
  <c r="M11" i="12"/>
  <c r="Q11" i="12" s="1"/>
  <c r="C19" i="12"/>
  <c r="D19" i="12" s="1"/>
  <c r="E19" i="12" s="1"/>
  <c r="E12" i="12"/>
  <c r="H12" i="12" s="1"/>
  <c r="E10" i="12"/>
  <c r="H10" i="12" s="1"/>
  <c r="K12" i="12"/>
  <c r="P12" i="12" s="1"/>
  <c r="M9" i="12"/>
  <c r="Q9" i="12" s="1"/>
  <c r="E13" i="12"/>
  <c r="H13" i="12" s="1"/>
  <c r="O13" i="12" s="1"/>
  <c r="C17" i="12"/>
  <c r="D17" i="12" s="1"/>
  <c r="E17" i="12" s="1"/>
  <c r="M10" i="12"/>
  <c r="Q10" i="12" s="1"/>
  <c r="Q20" i="12" s="1"/>
  <c r="M13" i="12"/>
  <c r="Q13" i="12" s="1"/>
  <c r="Q18" i="12" s="1"/>
  <c r="D28" i="5"/>
  <c r="C8" i="6"/>
  <c r="C9" i="6"/>
  <c r="E7" i="5"/>
  <c r="C22" i="5"/>
  <c r="E7" i="8"/>
  <c r="E8" i="10"/>
  <c r="O9" i="12"/>
  <c r="K9" i="12"/>
  <c r="P9" i="12" s="1"/>
  <c r="E11" i="6"/>
  <c r="E23" i="6"/>
  <c r="E11" i="7"/>
  <c r="G11" i="7"/>
  <c r="G6" i="7"/>
  <c r="G23" i="6"/>
  <c r="G11" i="6"/>
  <c r="Q4" i="14"/>
  <c r="D19" i="14" s="1"/>
  <c r="C13" i="5"/>
  <c r="F6" i="7"/>
  <c r="F23" i="6"/>
  <c r="F11" i="7"/>
  <c r="F11" i="6"/>
  <c r="D5" i="7"/>
  <c r="K13" i="12"/>
  <c r="P13" i="12" s="1"/>
  <c r="K11" i="12"/>
  <c r="P11" i="12"/>
  <c r="D8" i="10"/>
  <c r="K8" i="12"/>
  <c r="P8" i="12" s="1"/>
  <c r="C4" i="14"/>
  <c r="E6" i="8"/>
  <c r="E8" i="8" s="1"/>
  <c r="F6" i="10"/>
  <c r="F7" i="10" s="1"/>
  <c r="D8" i="6"/>
  <c r="D9" i="6" s="1"/>
  <c r="F6" i="8"/>
  <c r="G6" i="10"/>
  <c r="D8" i="8"/>
  <c r="C11" i="7"/>
  <c r="J21" i="7"/>
  <c r="I21" i="7"/>
  <c r="K10" i="12"/>
  <c r="O10" i="12"/>
  <c r="P10" i="12"/>
  <c r="C21" i="6"/>
  <c r="G37" i="6"/>
  <c r="C5" i="5"/>
  <c r="C7" i="5" s="1"/>
  <c r="D21" i="6"/>
  <c r="G5" i="9"/>
  <c r="G4" i="9" s="1"/>
  <c r="G9" i="9" s="1"/>
  <c r="C44" i="6"/>
  <c r="J22" i="7"/>
  <c r="O12" i="12"/>
  <c r="D4" i="6"/>
  <c r="E4" i="6"/>
  <c r="E6" i="13" l="1"/>
  <c r="F6" i="13" s="1"/>
  <c r="G6" i="13" s="1"/>
  <c r="H6" i="13" s="1"/>
  <c r="I6" i="13" s="1"/>
  <c r="J6" i="13" s="1"/>
  <c r="K6" i="13" s="1"/>
  <c r="L6" i="13" s="1"/>
  <c r="M6" i="13" s="1"/>
  <c r="C23" i="6"/>
  <c r="C11" i="6"/>
  <c r="C24" i="5"/>
  <c r="P21" i="12"/>
  <c r="P19" i="12"/>
  <c r="D16" i="12" s="1"/>
  <c r="D18" i="12" s="1"/>
  <c r="D21" i="12" s="1"/>
  <c r="P20" i="12"/>
  <c r="P18" i="12"/>
  <c r="P17" i="12"/>
  <c r="P16" i="12"/>
  <c r="D23" i="6"/>
  <c r="D11" i="6"/>
  <c r="D11" i="7"/>
  <c r="I11" i="7" s="1"/>
  <c r="D6" i="7"/>
  <c r="E6" i="7"/>
  <c r="G6" i="8"/>
  <c r="G10" i="9"/>
  <c r="Q21" i="12"/>
  <c r="E12" i="7"/>
  <c r="E7" i="7"/>
  <c r="E33" i="6"/>
  <c r="E40" i="6" s="1"/>
  <c r="E18" i="7" s="1"/>
  <c r="E14" i="6"/>
  <c r="E24" i="6"/>
  <c r="E39" i="6"/>
  <c r="E17" i="7" s="1"/>
  <c r="E3" i="8"/>
  <c r="O19" i="12"/>
  <c r="J11" i="7"/>
  <c r="K19" i="14"/>
  <c r="J19" i="14"/>
  <c r="I19" i="14"/>
  <c r="G19" i="14"/>
  <c r="F19" i="14"/>
  <c r="Q5" i="14"/>
  <c r="N15" i="14" s="1"/>
  <c r="E19" i="14"/>
  <c r="M19" i="14"/>
  <c r="L19" i="14"/>
  <c r="H19" i="14"/>
  <c r="Q19" i="12"/>
  <c r="E16" i="12" s="1"/>
  <c r="Q17" i="12"/>
  <c r="O17" i="12"/>
  <c r="J5" i="7"/>
  <c r="I5" i="7"/>
  <c r="F7" i="8"/>
  <c r="F8" i="8" s="1"/>
  <c r="F8" i="10"/>
  <c r="O18" i="12"/>
  <c r="Q16" i="12"/>
  <c r="O21" i="12"/>
  <c r="O20" i="12"/>
  <c r="C15" i="5"/>
  <c r="C16" i="5"/>
  <c r="C43" i="6"/>
  <c r="C20" i="6"/>
  <c r="P10" i="13" s="1"/>
  <c r="G3" i="8"/>
  <c r="G39" i="6"/>
  <c r="G17" i="7" s="1"/>
  <c r="G14" i="6"/>
  <c r="G12" i="7"/>
  <c r="G24" i="6"/>
  <c r="G33" i="6"/>
  <c r="G40" i="6" s="1"/>
  <c r="G18" i="7" s="1"/>
  <c r="G7" i="7"/>
  <c r="G7" i="10"/>
  <c r="C11" i="14"/>
  <c r="F12" i="7"/>
  <c r="F3" i="8"/>
  <c r="F33" i="6"/>
  <c r="F40" i="6" s="1"/>
  <c r="F18" i="7" s="1"/>
  <c r="F14" i="6"/>
  <c r="F24" i="6"/>
  <c r="F39" i="6"/>
  <c r="F17" i="7" s="1"/>
  <c r="F7" i="7"/>
  <c r="E18" i="12" l="1"/>
  <c r="E21" i="12" s="1"/>
  <c r="C18" i="12"/>
  <c r="C21" i="12" s="1"/>
  <c r="C24" i="6"/>
  <c r="C14" i="6"/>
  <c r="C33" i="6"/>
  <c r="C40" i="6" s="1"/>
  <c r="C18" i="7" s="1"/>
  <c r="C3" i="8"/>
  <c r="C4" i="8" s="1"/>
  <c r="C5" i="8" s="1"/>
  <c r="C9" i="8" s="1"/>
  <c r="C12" i="7"/>
  <c r="C39" i="6"/>
  <c r="C17" i="7" s="1"/>
  <c r="C29" i="5"/>
  <c r="E29" i="5" s="1"/>
  <c r="G8" i="10"/>
  <c r="G7" i="8"/>
  <c r="G8" i="8" s="1"/>
  <c r="C13" i="9"/>
  <c r="C12" i="9"/>
  <c r="D7" i="7"/>
  <c r="D24" i="6"/>
  <c r="D39" i="6"/>
  <c r="D17" i="7" s="1"/>
  <c r="D14" i="6"/>
  <c r="D12" i="7"/>
  <c r="D33" i="6"/>
  <c r="D40" i="6" s="1"/>
  <c r="D18" i="7" s="1"/>
  <c r="D3" i="8"/>
  <c r="D13" i="13"/>
  <c r="E4" i="8"/>
  <c r="E5" i="8"/>
  <c r="F17" i="6"/>
  <c r="F13" i="7"/>
  <c r="F29" i="6"/>
  <c r="F25" i="6"/>
  <c r="C28" i="5"/>
  <c r="J6" i="7"/>
  <c r="I6" i="7"/>
  <c r="F4" i="8"/>
  <c r="F5" i="8" s="1"/>
  <c r="E25" i="6"/>
  <c r="E13" i="7"/>
  <c r="E17" i="6"/>
  <c r="E29" i="6"/>
  <c r="G17" i="6"/>
  <c r="G13" i="7"/>
  <c r="G25" i="6"/>
  <c r="G29" i="6"/>
  <c r="G4" i="8"/>
  <c r="G5" i="8" s="1"/>
  <c r="G9" i="8" s="1"/>
  <c r="C17" i="6" l="1"/>
  <c r="C13" i="7"/>
  <c r="C25" i="6"/>
  <c r="C29" i="6"/>
  <c r="E28" i="5"/>
  <c r="E30" i="5" s="1"/>
  <c r="F9" i="8"/>
  <c r="F11" i="8"/>
  <c r="G11" i="8"/>
  <c r="J17" i="7"/>
  <c r="I17" i="7"/>
  <c r="J7" i="14"/>
  <c r="K7" i="14"/>
  <c r="F7" i="14"/>
  <c r="M7" i="14"/>
  <c r="H7" i="14"/>
  <c r="L7" i="14"/>
  <c r="I7" i="14"/>
  <c r="G7" i="14"/>
  <c r="E7" i="14"/>
  <c r="D7" i="14"/>
  <c r="J18" i="7"/>
  <c r="I18" i="7"/>
  <c r="D4" i="8"/>
  <c r="D5" i="8" s="1"/>
  <c r="G14" i="7"/>
  <c r="G8" i="7"/>
  <c r="G26" i="6"/>
  <c r="E9" i="8"/>
  <c r="E11" i="8"/>
  <c r="I12" i="7"/>
  <c r="J12" i="7"/>
  <c r="F8" i="7"/>
  <c r="F26" i="6"/>
  <c r="F14" i="7"/>
  <c r="E26" i="6"/>
  <c r="E8" i="7"/>
  <c r="E14" i="7"/>
  <c r="D12" i="13"/>
  <c r="C10" i="10"/>
  <c r="C11" i="10"/>
  <c r="D25" i="6"/>
  <c r="D13" i="7"/>
  <c r="D17" i="6"/>
  <c r="D29" i="6"/>
  <c r="J7" i="7"/>
  <c r="I7" i="7"/>
  <c r="P13" i="13"/>
  <c r="C14" i="7" l="1"/>
  <c r="C26" i="6"/>
  <c r="D9" i="8"/>
  <c r="D11" i="8"/>
  <c r="E12" i="13"/>
  <c r="F12" i="13" s="1"/>
  <c r="G12" i="13" s="1"/>
  <c r="H12" i="13" s="1"/>
  <c r="I12" i="13" s="1"/>
  <c r="J12" i="13" s="1"/>
  <c r="K12" i="13" s="1"/>
  <c r="L12" i="13" s="1"/>
  <c r="M12" i="13" s="1"/>
  <c r="J13" i="7"/>
  <c r="I13" i="7"/>
  <c r="N7" i="14"/>
  <c r="D8" i="7"/>
  <c r="D26" i="6"/>
  <c r="D14" i="7"/>
  <c r="I14" i="7" l="1"/>
  <c r="J14" i="7"/>
  <c r="C14" i="8"/>
  <c r="C13" i="8"/>
  <c r="P16" i="13" s="1"/>
  <c r="J8" i="7"/>
  <c r="I8" i="7"/>
  <c r="D19" i="13" l="1"/>
  <c r="P18" i="13"/>
  <c r="P19" i="13" l="1"/>
  <c r="D24" i="13"/>
  <c r="D18" i="13"/>
  <c r="E18" i="13" l="1"/>
  <c r="E24" i="13"/>
  <c r="E5" i="14" s="1"/>
  <c r="D5" i="14"/>
  <c r="D23" i="13"/>
  <c r="D4" i="14" l="1"/>
  <c r="E23" i="13"/>
  <c r="F24" i="13"/>
  <c r="F5" i="14" s="1"/>
  <c r="F18" i="13"/>
  <c r="G18" i="13" s="1"/>
  <c r="E4" i="14" l="1"/>
  <c r="F23" i="13"/>
  <c r="G24" i="13"/>
  <c r="G5" i="14" s="1"/>
  <c r="D10" i="14"/>
  <c r="D11" i="14"/>
  <c r="D12" i="14" s="1"/>
  <c r="D6" i="14"/>
  <c r="D8" i="14" l="1"/>
  <c r="D9" i="14" s="1"/>
  <c r="D13" i="14"/>
  <c r="E10" i="14"/>
  <c r="E6" i="14"/>
  <c r="E11" i="14"/>
  <c r="E12" i="14" s="1"/>
  <c r="H24" i="13"/>
  <c r="H5" i="14" s="1"/>
  <c r="F4" i="14"/>
  <c r="G23" i="13"/>
  <c r="H18" i="13"/>
  <c r="D14" i="14" l="1"/>
  <c r="E13" i="14"/>
  <c r="I18" i="13"/>
  <c r="H23" i="13"/>
  <c r="G4" i="14"/>
  <c r="F10" i="14"/>
  <c r="F6" i="14"/>
  <c r="F11" i="14"/>
  <c r="F12" i="14" s="1"/>
  <c r="E8" i="14"/>
  <c r="E9" i="14" s="1"/>
  <c r="I24" i="13"/>
  <c r="I5" i="14" s="1"/>
  <c r="D15" i="14"/>
  <c r="E14" i="14" l="1"/>
  <c r="E15" i="14"/>
  <c r="F8" i="14"/>
  <c r="F9" i="14" s="1"/>
  <c r="G10" i="14"/>
  <c r="G6" i="14"/>
  <c r="G11" i="14"/>
  <c r="G12" i="14" s="1"/>
  <c r="J18" i="13"/>
  <c r="J24" i="13"/>
  <c r="J5" i="14" s="1"/>
  <c r="F13" i="14"/>
  <c r="I23" i="13"/>
  <c r="H4" i="14"/>
  <c r="K18" i="13" l="1"/>
  <c r="F14" i="14"/>
  <c r="H10" i="14"/>
  <c r="H11" i="14"/>
  <c r="H12" i="14" s="1"/>
  <c r="H6" i="14"/>
  <c r="F15" i="14"/>
  <c r="K24" i="13"/>
  <c r="K5" i="14" s="1"/>
  <c r="G8" i="14"/>
  <c r="G9" i="14" s="1"/>
  <c r="I4" i="14"/>
  <c r="J23" i="13"/>
  <c r="L18" i="13"/>
  <c r="G13" i="14"/>
  <c r="G15" i="14" l="1"/>
  <c r="J4" i="14"/>
  <c r="K23" i="13"/>
  <c r="I10" i="14"/>
  <c r="I6" i="14"/>
  <c r="I11" i="14"/>
  <c r="I12" i="14" s="1"/>
  <c r="G14" i="14"/>
  <c r="M24" i="13"/>
  <c r="M5" i="14" s="1"/>
  <c r="L24" i="13"/>
  <c r="L5" i="14" s="1"/>
  <c r="H8" i="14"/>
  <c r="H9" i="14" s="1"/>
  <c r="H13" i="14"/>
  <c r="H14" i="14" l="1"/>
  <c r="H15" i="14"/>
  <c r="M18" i="13"/>
  <c r="I8" i="14"/>
  <c r="I9" i="14" s="1"/>
  <c r="I13" i="14"/>
  <c r="K4" i="14"/>
  <c r="L23" i="13"/>
  <c r="J10" i="14"/>
  <c r="J11" i="14"/>
  <c r="J12" i="14" s="1"/>
  <c r="J6" i="14"/>
  <c r="I15" i="14" l="1"/>
  <c r="J8" i="14"/>
  <c r="J9" i="14" s="1"/>
  <c r="J13" i="14"/>
  <c r="M23" i="13"/>
  <c r="M4" i="14" s="1"/>
  <c r="L4" i="14"/>
  <c r="K10" i="14"/>
  <c r="K11" i="14"/>
  <c r="K12" i="14" s="1"/>
  <c r="K6" i="14"/>
  <c r="I14" i="14"/>
  <c r="J15" i="14" l="1"/>
  <c r="N4" i="14"/>
  <c r="N6" i="14" s="1"/>
  <c r="M10" i="14"/>
  <c r="M6" i="14"/>
  <c r="M11" i="14"/>
  <c r="K8" i="14"/>
  <c r="K9" i="14" s="1"/>
  <c r="K13" i="14"/>
  <c r="L10" i="14"/>
  <c r="L6" i="14"/>
  <c r="L11" i="14"/>
  <c r="L12" i="14" s="1"/>
  <c r="J14" i="14"/>
  <c r="K14" i="14" l="1"/>
  <c r="L8" i="14"/>
  <c r="L9" i="14" s="1"/>
  <c r="L13" i="14"/>
  <c r="K15" i="14"/>
  <c r="M12" i="14"/>
  <c r="M8" i="14"/>
  <c r="M9" i="14" s="1"/>
  <c r="M13" i="14"/>
  <c r="N8" i="14"/>
  <c r="N9" i="14" s="1"/>
  <c r="L14" i="14" l="1"/>
  <c r="M14" i="14"/>
  <c r="N13" i="14"/>
  <c r="N14" i="14" s="1"/>
  <c r="M15" i="14"/>
  <c r="L15" i="14"/>
  <c r="D17" i="14" l="1"/>
  <c r="D22" i="14" s="1"/>
  <c r="D21" i="14"/>
  <c r="D24" i="14" l="1"/>
  <c r="D28" i="14" s="1"/>
  <c r="D31" i="14" s="1"/>
</calcChain>
</file>

<file path=xl/sharedStrings.xml><?xml version="1.0" encoding="utf-8"?>
<sst xmlns="http://schemas.openxmlformats.org/spreadsheetml/2006/main" count="455" uniqueCount="350">
  <si>
    <t>About the Company</t>
  </si>
  <si>
    <t>Tech Mahindra Ltd provides comprehensive range of IT services, including IT enabled service, application development and maintenance, consulting and enterprise business solutions, etc. to a diversified base of corporate customers in a wide range of industries.</t>
  </si>
  <si>
    <t>Key Points</t>
  </si>
  <si>
    <t>Parentage</t>
  </si>
  <si>
    <t>The company is a subsidiary of the Mahindra Group, a leading global conglomerate with operations in 100+ countries. The group manages 150 companies across 22 major industries, including renewable energy, agriculture, logistics, hospitality, real estate, aerospace, automotive components, and consulting services, etc.</t>
  </si>
  <si>
    <t>Services Offerings</t>
  </si>
  <si>
    <t>The company provides a full spectrum of services including consulting, information technology, enterprise applications, business process services, engineering services, network services, customer experience &amp; design services, AI &amp; analytics, and cloud &amp; infrastructure services.</t>
  </si>
  <si>
    <t>AI Developments</t>
  </si>
  <si>
    <t>The company highlighted progresses in supporting clients to move from AI experimentation to execution across IT, operations, processes, experience, and business transformation, with AI becoming a core execution engine in large, multi-year enterprise programs. Under the Indian AI Mission, it is developing an education-focused LLM and localizing TechM Orion in Hindi to improve accessibility and adoption. Additionally, over 80,000 employees have been trained in AI and GenAI, and more than 80% of the sales and support workforce is enabled with AI.</t>
  </si>
  <si>
    <t>New Launch &amp; Collaborations</t>
  </si>
  <si>
    <t>Company entered multiple partnerships, including an MoU with the University of Texas at Dallas for AI-led innovation, research, and skill development, along with plans to launch its first U.S. Makers Lab. It also signed MoUs with Strangeworks for quantum optimization solutions across key industries, collaborated with Germany’s DFKI on next-generation smart factory solutions, and partnered with Arviem to deliver IoT- and analytics-driven supply chain visibility solutions.</t>
  </si>
  <si>
    <t>Particulars</t>
  </si>
  <si>
    <t>Promoters -</t>
  </si>
  <si>
    <t>Mahindra &amp; Mahindra Limited</t>
  </si>
  <si>
    <t>TMLBenefitTrustThroughMrManojRaghunathBhatTrusteeT...</t>
  </si>
  <si>
    <t>TMLBenefitTrustThroughMrAmarjyotiBaruaTrusteeThetr...</t>
  </si>
  <si>
    <t>TML Benefit Trust Through Amarjyoti Barua</t>
  </si>
  <si>
    <t>TML Benefit Trust through Puneet Renjhen</t>
  </si>
  <si>
    <t>Mahindra-Bt Investment Company (Mauritius) Limited</t>
  </si>
  <si>
    <t>Mahindra Holdings Limited</t>
  </si>
  <si>
    <t>Mahindra Investment Company Mauritius Limited [For...</t>
  </si>
  <si>
    <t>FIIs -</t>
  </si>
  <si>
    <t>First Sentier Investors Icvc - Stewart Investors A...</t>
  </si>
  <si>
    <t>Government Pension Fund Global</t>
  </si>
  <si>
    <t>DIIs -</t>
  </si>
  <si>
    <t>Life Insurance Corporation Of India</t>
  </si>
  <si>
    <t>Sbi Nifty 50 Etf</t>
  </si>
  <si>
    <t>Icici Prudential Technology Fund</t>
  </si>
  <si>
    <t>Icici Prudential Bluechip Fund</t>
  </si>
  <si>
    <t>Kotak Flexicap Fund</t>
  </si>
  <si>
    <t>Aditya Birla Sun Life Trustee Private Limited A/C ...</t>
  </si>
  <si>
    <t>Uti Nifty 50 Etf</t>
  </si>
  <si>
    <t>Hdfc Trustee Company Limited-Hdfc Flexi Cap Fund</t>
  </si>
  <si>
    <t>Nps Trust- A/C Sbi Pension Fund Scheme - State Govt</t>
  </si>
  <si>
    <t>Sbi Life Insurance Co. Ltd</t>
  </si>
  <si>
    <t>Uti - Nifty Exchange Traded Fund</t>
  </si>
  <si>
    <t>Nippon Life India Trustee Ltd-A/C Nippon India Etf...</t>
  </si>
  <si>
    <t>Tata Digital India Fund</t>
  </si>
  <si>
    <t>Kotak Emerging Equity Scheme</t>
  </si>
  <si>
    <t>Government -</t>
  </si>
  <si>
    <t>Public -</t>
  </si>
  <si>
    <t>No. of Shareholders</t>
  </si>
  <si>
    <t>Profit &amp; Loss Tech Mahindra Ltd.</t>
  </si>
  <si>
    <t>Balance sheet Tech Mahindra Ltd.</t>
  </si>
  <si>
    <t xml:space="preserve">Profit &amp; Loss for the year ended 31 march 2025 </t>
  </si>
  <si>
    <t xml:space="preserve">% Change </t>
  </si>
  <si>
    <t xml:space="preserve">Balance sheet of the year 2025 </t>
  </si>
  <si>
    <t>Equity Capital</t>
  </si>
  <si>
    <t>Sales Growth %</t>
  </si>
  <si>
    <t>Reserves</t>
  </si>
  <si>
    <t>Manufacturing Cost %</t>
  </si>
  <si>
    <t>Long term Borrowings</t>
  </si>
  <si>
    <t>Employee Cost %</t>
  </si>
  <si>
    <t>Short term Borrowings</t>
  </si>
  <si>
    <t>Other Cost %</t>
  </si>
  <si>
    <t>Lease Liabilities</t>
  </si>
  <si>
    <t>Operating Profit</t>
  </si>
  <si>
    <t>Other Borrowings</t>
  </si>
  <si>
    <t>OPM %</t>
  </si>
  <si>
    <t>Non controlling int</t>
  </si>
  <si>
    <t>Exceptional items</t>
  </si>
  <si>
    <t>Trade Payables</t>
  </si>
  <si>
    <t>Other income normal</t>
  </si>
  <si>
    <t>Advance from Customers</t>
  </si>
  <si>
    <t>Interest</t>
  </si>
  <si>
    <t>Other liability items</t>
  </si>
  <si>
    <t>Depreciation</t>
  </si>
  <si>
    <t>Total Liabilities</t>
  </si>
  <si>
    <t>Profit before tax</t>
  </si>
  <si>
    <t>Tax %</t>
  </si>
  <si>
    <t>Land</t>
  </si>
  <si>
    <t>Building</t>
  </si>
  <si>
    <t>Profit from Associates</t>
  </si>
  <si>
    <t>Plant Machinery</t>
  </si>
  <si>
    <t>Minority share</t>
  </si>
  <si>
    <t>Equipments</t>
  </si>
  <si>
    <t>Exceptional items AT</t>
  </si>
  <si>
    <t>Computers</t>
  </si>
  <si>
    <t>Profit excl Excep</t>
  </si>
  <si>
    <t>Furniture n fittings</t>
  </si>
  <si>
    <t>Profit for PE</t>
  </si>
  <si>
    <t>Vehicles</t>
  </si>
  <si>
    <t>Profit for EPS</t>
  </si>
  <si>
    <t>Intangible Assets</t>
  </si>
  <si>
    <t>Profit Growth %</t>
  </si>
  <si>
    <t>Other fixed assets</t>
  </si>
  <si>
    <t>EPS in Rs</t>
  </si>
  <si>
    <t>Gross Block</t>
  </si>
  <si>
    <t>Dividend Payout %</t>
  </si>
  <si>
    <t>Accumulated Depreciation</t>
  </si>
  <si>
    <t>CWIP</t>
  </si>
  <si>
    <t>Investments</t>
  </si>
  <si>
    <t>Inventories</t>
  </si>
  <si>
    <t>Receivables over 6m</t>
  </si>
  <si>
    <t>Receivables under 6m</t>
  </si>
  <si>
    <t>Prov for Doubtful</t>
  </si>
  <si>
    <t>Cash Equivalents</t>
  </si>
  <si>
    <t>Loans n Advances</t>
  </si>
  <si>
    <t>Other asset items</t>
  </si>
  <si>
    <t>Total Assets</t>
  </si>
  <si>
    <t>Tech Mahindra</t>
  </si>
  <si>
    <t xml:space="preserve">Nifty </t>
  </si>
  <si>
    <t>Beta Calculation</t>
  </si>
  <si>
    <t>Date</t>
  </si>
  <si>
    <t>Close</t>
  </si>
  <si>
    <t>Return</t>
  </si>
  <si>
    <t>Srl. No.</t>
  </si>
  <si>
    <t>Particular</t>
  </si>
  <si>
    <t>Value</t>
  </si>
  <si>
    <t>Formula</t>
  </si>
  <si>
    <t>Beta</t>
  </si>
  <si>
    <t xml:space="preserve">Beta </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</si>
  <si>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</si>
  <si>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</si>
  <si>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</si>
  <si>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</si>
  <si>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</si>
  <si>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</si>
  <si>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</si>
  <si>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</si>
  <si>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</si>
  <si>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</si>
  <si>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</si>
  <si>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</si>
  <si>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</si>
  <si>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</si>
  <si>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</si>
  <si>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</si>
  <si>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</si>
  <si>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</si>
  <si>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</si>
  <si>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</si>
  <si>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</si>
  <si>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</si>
  <si>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</si>
  <si>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</si>
  <si>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</si>
  <si>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Tech Mahindra Ltd. — Weighted Average Cost of Capital (WACC)</t>
  </si>
  <si>
    <t>Book Value (₹ Cr)</t>
  </si>
  <si>
    <t>Market Value (₹ Cr)</t>
  </si>
  <si>
    <t>Weight</t>
  </si>
  <si>
    <t>Equity (Market Cap)</t>
  </si>
  <si>
    <t>Debt (Book Value of Borrowings)</t>
  </si>
  <si>
    <t>Total Capital</t>
  </si>
  <si>
    <t>Risk-Free Rate (Rf)</t>
  </si>
  <si>
    <t>Equity Risk Premium (ERP)</t>
  </si>
  <si>
    <t>Cost of Equity  [Ke = Rf + β × ERP]</t>
  </si>
  <si>
    <t>Total Interest Expense (FY2025)</t>
  </si>
  <si>
    <t>Average Total Borrowings (FY2024-FY2025)</t>
  </si>
  <si>
    <t>Pre-Tax Cost of Debt  [Kd = Interest / Avg Debt]</t>
  </si>
  <si>
    <t>Marginal Tax Rate</t>
  </si>
  <si>
    <t>Post-Tax Cost of Debt  [Kd(1-t)]</t>
  </si>
  <si>
    <t>Component</t>
  </si>
  <si>
    <t>Cost (%)</t>
  </si>
  <si>
    <t>Weight (%)</t>
  </si>
  <si>
    <t>Contribution (%)</t>
  </si>
  <si>
    <t>Equity</t>
  </si>
  <si>
    <t>Debt</t>
  </si>
  <si>
    <t>WACC</t>
  </si>
  <si>
    <t>Revenur from Operations</t>
  </si>
  <si>
    <t>Revenue Growth</t>
  </si>
  <si>
    <t xml:space="preserve">Less:Material Cost </t>
  </si>
  <si>
    <t>Less:Employee Cost</t>
  </si>
  <si>
    <t>Less: Other Expense</t>
  </si>
  <si>
    <t>Total Expense</t>
  </si>
  <si>
    <t>EBITDA</t>
  </si>
  <si>
    <t>Less: Depreciation and Amortization</t>
  </si>
  <si>
    <t>EBIT</t>
  </si>
  <si>
    <t>Add: Non Operating Income/Other Income</t>
  </si>
  <si>
    <t>Less:Interest Expense</t>
  </si>
  <si>
    <t>EBT</t>
  </si>
  <si>
    <t>Less: Tax</t>
  </si>
  <si>
    <t>Less:Non Controlling Interest/Minority Interest</t>
  </si>
  <si>
    <t>PAT</t>
  </si>
  <si>
    <t>Historical Growth</t>
  </si>
  <si>
    <t>Average Growth</t>
  </si>
  <si>
    <t>CAGR</t>
  </si>
  <si>
    <t>Margin Analysis</t>
  </si>
  <si>
    <t>EBITDA Margin</t>
  </si>
  <si>
    <t>EBIT Margin</t>
  </si>
  <si>
    <t>EBT Margin</t>
  </si>
  <si>
    <t>PAT Margin</t>
  </si>
  <si>
    <t>Tax Rate</t>
  </si>
  <si>
    <t>Effective Tax Rate</t>
  </si>
  <si>
    <t>Return on Capital</t>
  </si>
  <si>
    <t>EBIT(1-t)</t>
  </si>
  <si>
    <t>Book Equity</t>
  </si>
  <si>
    <t>Book Debt</t>
  </si>
  <si>
    <t>Cash and Cash Equivalents</t>
  </si>
  <si>
    <t>Capital Employed</t>
  </si>
  <si>
    <t>Pre Tax Return on Capital</t>
  </si>
  <si>
    <t>Post Tax Return on Capital</t>
  </si>
  <si>
    <t>Growth Summary</t>
  </si>
  <si>
    <t>Average Revenue Growth</t>
  </si>
  <si>
    <t>Revenue CAGR</t>
  </si>
  <si>
    <t>Growth in EBIT</t>
  </si>
  <si>
    <t>Ratios</t>
  </si>
  <si>
    <t>Trend</t>
  </si>
  <si>
    <t>Mean</t>
  </si>
  <si>
    <t>Median</t>
  </si>
  <si>
    <t>Growth Ratios</t>
  </si>
  <si>
    <t>Sales Growth</t>
  </si>
  <si>
    <t>EBITDA Growth</t>
  </si>
  <si>
    <t>EBIT Growth</t>
  </si>
  <si>
    <t>Net Profit Growth</t>
  </si>
  <si>
    <t>Margin Ratios</t>
  </si>
  <si>
    <t>Return Ratios</t>
  </si>
  <si>
    <t>Pre-Tax ROIC</t>
  </si>
  <si>
    <t>Post-Tax ROIC</t>
  </si>
  <si>
    <t>Other Ratios</t>
  </si>
  <si>
    <t>Dividend Growth</t>
  </si>
  <si>
    <t>EPS Growth</t>
  </si>
  <si>
    <t>Less: Tax on EBIT (25%)</t>
  </si>
  <si>
    <t>NOPAT  [EBIT × (1 − Tax)]</t>
  </si>
  <si>
    <t>Less: Net Capital Expenditure</t>
  </si>
  <si>
    <t>Less: Change in Working Capital</t>
  </si>
  <si>
    <t>Reinvestment (Capex + ΔWCL)</t>
  </si>
  <si>
    <t>Free Cash Flow to Firm (FCFF)</t>
  </si>
  <si>
    <t xml:space="preserve">Reinvestment Rate </t>
  </si>
  <si>
    <t xml:space="preserve">Median Reinvestment rate   /Sales percentage </t>
  </si>
  <si>
    <t xml:space="preserve">Average Reinvestment rate   /Sales percentage </t>
  </si>
  <si>
    <t>Beginning Balance (Net Fixed Assets)</t>
  </si>
  <si>
    <t>Add: Net Purchases (Capex)</t>
  </si>
  <si>
    <t>Total Fixed Assets (Gross)</t>
  </si>
  <si>
    <t>Less: Depreciation &amp; Amortisation</t>
  </si>
  <si>
    <t>Closing Balance (Net Fixed Assets)</t>
  </si>
  <si>
    <t>Net Capital Expenditure</t>
  </si>
  <si>
    <t>Net Capex / Sales (%)</t>
  </si>
  <si>
    <t xml:space="preserve">Median Capital expenditure /Sales percentage </t>
  </si>
  <si>
    <t xml:space="preserve">Average  Capital expenditure /Sales percentage </t>
  </si>
  <si>
    <t>Trade Receivables</t>
  </si>
  <si>
    <t>Non-Cash Working Capital</t>
  </si>
  <si>
    <t>Change in Working Capital</t>
  </si>
  <si>
    <t>Change in WC / Sales (%)</t>
  </si>
  <si>
    <t>Median Non-Cash WC / Sales (%)</t>
  </si>
  <si>
    <t>Average Change in  working capital / % of sales</t>
  </si>
  <si>
    <t>S.No.</t>
  </si>
  <si>
    <t>Name</t>
  </si>
  <si>
    <t>CMP Rs.</t>
  </si>
  <si>
    <t>P/E</t>
  </si>
  <si>
    <t>Mar Cap Rs.Cr.</t>
  </si>
  <si>
    <t>Div Yld %</t>
  </si>
  <si>
    <t>NP Qtr Rs.Cr.</t>
  </si>
  <si>
    <t>Qtr Profit Var %</t>
  </si>
  <si>
    <t>ROCE %</t>
  </si>
  <si>
    <t>Debt Rs.Cr.</t>
  </si>
  <si>
    <t>EV / EBITDA</t>
  </si>
  <si>
    <t>No. Eq. Shares Cr.</t>
  </si>
  <si>
    <t>EBIT 12M Rs.Cr.</t>
  </si>
  <si>
    <t>NP Ann Rs.Cr.</t>
  </si>
  <si>
    <t>Sales Rs.Cr.</t>
  </si>
  <si>
    <t>Cash End Rs.Cr.</t>
  </si>
  <si>
    <t>TCS</t>
  </si>
  <si>
    <t>Infosys</t>
  </si>
  <si>
    <t>HCL Technologies</t>
  </si>
  <si>
    <t>Wipro</t>
  </si>
  <si>
    <t>LTM</t>
  </si>
  <si>
    <t>Persistent Systems</t>
  </si>
  <si>
    <t>Median: 66 Co.</t>
  </si>
  <si>
    <t>Relative Valuation - Tech Mahindra Ltd</t>
  </si>
  <si>
    <t>Figures in Crore</t>
  </si>
  <si>
    <t>Comparable Company Valuation</t>
  </si>
  <si>
    <t>Company Name</t>
  </si>
  <si>
    <t>Market Data</t>
  </si>
  <si>
    <t>Financials</t>
  </si>
  <si>
    <t>Valuation</t>
  </si>
  <si>
    <t>No. of shares</t>
  </si>
  <si>
    <t>Share Price</t>
  </si>
  <si>
    <t>Equity value</t>
  </si>
  <si>
    <t>cash</t>
  </si>
  <si>
    <t>Enterprises value</t>
  </si>
  <si>
    <t>Revenue</t>
  </si>
  <si>
    <t>Net Profit</t>
  </si>
  <si>
    <t>EPS</t>
  </si>
  <si>
    <t>EV/Revenue</t>
  </si>
  <si>
    <t>EV/EBITDA</t>
  </si>
  <si>
    <t>P/E Ratio</t>
  </si>
  <si>
    <t>Median: 42 Co.</t>
  </si>
  <si>
    <t>Max</t>
  </si>
  <si>
    <t>75th Percentile</t>
  </si>
  <si>
    <t>Average</t>
  </si>
  <si>
    <t>median</t>
  </si>
  <si>
    <t>Min.</t>
  </si>
  <si>
    <t>Implied Enterprise Value</t>
  </si>
  <si>
    <t>Net Debt</t>
  </si>
  <si>
    <t>Implied Market Value</t>
  </si>
  <si>
    <t>Share Outstanding</t>
  </si>
  <si>
    <t>Implied Value per Share</t>
  </si>
  <si>
    <t>Tech Mahindra Ltd "Growth Scenarios"</t>
  </si>
  <si>
    <t>Scenario 1: High Growth</t>
  </si>
  <si>
    <t>Average Of Revenue Growth</t>
  </si>
  <si>
    <t>INR Cr.</t>
  </si>
  <si>
    <t>Y1E</t>
  </si>
  <si>
    <t>Y2E</t>
  </si>
  <si>
    <t>Y3E</t>
  </si>
  <si>
    <t>Y4W</t>
  </si>
  <si>
    <t>Y5E</t>
  </si>
  <si>
    <t>Y6E</t>
  </si>
  <si>
    <t>Y7E</t>
  </si>
  <si>
    <t>Y8E</t>
  </si>
  <si>
    <t>Y9E</t>
  </si>
  <si>
    <t>Y10E</t>
  </si>
  <si>
    <t>Risk free rate</t>
  </si>
  <si>
    <t>Sales</t>
  </si>
  <si>
    <t>Per Year</t>
  </si>
  <si>
    <t>Scenario 2: Average Growth</t>
  </si>
  <si>
    <t>Scenario 3: EBIT Growth</t>
  </si>
  <si>
    <t>Live Scenario</t>
  </si>
  <si>
    <t>Tech Mahindra Ltd - "VALUATION"</t>
  </si>
  <si>
    <t>INR Cr</t>
  </si>
  <si>
    <t>Terminal growth rate %</t>
  </si>
  <si>
    <t xml:space="preserve">Sales </t>
  </si>
  <si>
    <t>Cost of Capital %</t>
  </si>
  <si>
    <t>Terminal reinvestment rate %</t>
  </si>
  <si>
    <t>EBIT Margin %</t>
  </si>
  <si>
    <t>Less: Tax on EBIT</t>
  </si>
  <si>
    <t>EBIT(1-T)</t>
  </si>
  <si>
    <t>Non Cash Working Capital</t>
  </si>
  <si>
    <t>Reinvestment</t>
  </si>
  <si>
    <t>Free Cash Flow To Firm (FCFF)</t>
  </si>
  <si>
    <t>Implied Reinvestment rate %</t>
  </si>
  <si>
    <t>Terminal Value</t>
  </si>
  <si>
    <t>Present Value Interest Factor(PVIF)</t>
  </si>
  <si>
    <t>Present value of FCFF</t>
  </si>
  <si>
    <t>Present value of Terminal value</t>
  </si>
  <si>
    <t>Value of operating assets</t>
  </si>
  <si>
    <t>Add: Cash</t>
  </si>
  <si>
    <t>Less: Debt</t>
  </si>
  <si>
    <t>Less: Minority Interest</t>
  </si>
  <si>
    <t>Equity Value</t>
  </si>
  <si>
    <t>No. of Shares outstanding (Cr)</t>
  </si>
  <si>
    <t xml:space="preserve">intrinsic value per share </t>
  </si>
  <si>
    <t>Current  640</t>
  </si>
  <si>
    <t>Debt/Equity ratio (D/E)</t>
  </si>
  <si>
    <t xml:space="preserve"> Beta × ERP</t>
  </si>
  <si>
    <t>WACC Calculation   [WACC = Ke × We + Kd(1-t) × Wd]</t>
  </si>
  <si>
    <t>Cost of Debt  (Post-Tax)</t>
  </si>
  <si>
    <t>Cost of Equity  (Capital Asset Pricing Model — CAPM)</t>
  </si>
  <si>
    <t>Capital Structure  (FY2025 Balance Sheet — Market Value Weights)</t>
  </si>
  <si>
    <t>Borrowings </t>
  </si>
  <si>
    <t>Other Liabilities </t>
  </si>
  <si>
    <t>Fixed Assets </t>
  </si>
  <si>
    <t>Other Assets </t>
  </si>
  <si>
    <t>Trade receivables </t>
  </si>
  <si>
    <t>Sales </t>
  </si>
  <si>
    <t>Expenses </t>
  </si>
  <si>
    <t>Other Income </t>
  </si>
  <si>
    <t>Net Profit </t>
  </si>
  <si>
    <t>Terminal Yr</t>
  </si>
  <si>
    <t>Beta (Beta) — Regressed (5-yr daily vs Nifty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</si>
</sst>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mmm\-yy"/>
    <numFmt numFmtId="165" formatCode="0.0%"/>
    <numFmt numFmtId="166" formatCode="0.0"/>
    <numFmt numFmtId="167" formatCode="m/d/yyyy"/>
    <numFmt numFmtId="168" formatCode="0.000"/>
    <numFmt numFmtId="169" formatCode="0.000%"/>
    <numFmt numFmtId="170" formatCode="0.0000"/>
    <numFmt numFmtId="171" formatCode="#,##0.000"/>
    <numFmt numFmtId="172" formatCode="0.\X"/>
    <numFmt numFmtId="173" formatCode="_ * #,##0.00_ ;_ * \-#,##0.00_ ;_ * \-??_ ;_ @_ "/>
    <numFmt numFmtId="174" formatCode="0.00000"/>
    <numFmt numFmtId="175" formatCode="_ * #,##0.0000_ ;_ * \-#,##0.0000_ ;_ * \-??_ ;_ @_ "/>
  </numFmts>
  <fonts count="35" x14ac:knownFonts="1">
    <font>
      <sz val="11"/>
      <color theme="1"/>
      <name val="Aptos Narrow"/>
      <family val="2"/>
      <charset val="1"/>
    </font>
    <font>
      <sz val="11"/>
      <color theme="1"/>
      <name val="Times New Roman"/>
      <family val="1"/>
      <charset val="1"/>
    </font>
    <font>
      <b/>
      <sz val="11"/>
      <color theme="0"/>
      <name val="Times New Roman"/>
      <family val="1"/>
      <charset val="1"/>
    </font>
    <font>
      <sz val="8"/>
      <color theme="1"/>
      <name val="Times New Roman"/>
      <family val="1"/>
      <charset val="1"/>
    </font>
    <font>
      <sz val="8"/>
      <color rgb="FF606F7B"/>
      <name val="Times New Roman"/>
      <family val="1"/>
      <charset val="1"/>
    </font>
    <font>
      <sz val="10"/>
      <color theme="1" tint="0.24979400006103702"/>
      <name val="Times New Roman"/>
      <family val="1"/>
      <charset val="1"/>
    </font>
    <font>
      <sz val="10"/>
      <color rgb="FF22222F"/>
      <name val="Times New Roman"/>
      <family val="1"/>
      <charset val="1"/>
    </font>
    <font>
      <sz val="10"/>
      <color theme="1"/>
      <name val="Times New Roman"/>
      <family val="1"/>
      <charset val="1"/>
    </font>
    <font>
      <sz val="10"/>
      <color rgb="FF606F7B"/>
      <name val="Times New Roman"/>
      <family val="1"/>
      <charset val="1"/>
    </font>
    <font>
      <b/>
      <sz val="11"/>
      <color theme="1"/>
      <name val="Times New Roman"/>
      <family val="1"/>
      <charset val="1"/>
    </font>
    <font>
      <b/>
      <sz val="10"/>
      <color theme="0"/>
      <name val="Times New Roman"/>
      <family val="1"/>
      <charset val="1"/>
    </font>
    <font>
      <b/>
      <sz val="10"/>
      <color theme="1" tint="4.9897762993255407E-2"/>
      <name val="Times New Roman"/>
      <family val="1"/>
      <charset val="1"/>
    </font>
    <font>
      <b/>
      <sz val="10"/>
      <color rgb="FF606F7B"/>
      <name val="Times New Roman"/>
      <family val="1"/>
      <charset val="1"/>
    </font>
    <font>
      <sz val="10"/>
      <color theme="1"/>
      <name val="Aptos Narrow"/>
      <family val="2"/>
      <charset val="1"/>
    </font>
    <font>
      <b/>
      <sz val="10"/>
      <name val="Times New Roman"/>
      <family val="1"/>
      <charset val="1"/>
    </font>
    <font>
      <b/>
      <sz val="10"/>
      <color theme="1"/>
      <name val="Times New Roman"/>
      <family val="1"/>
      <charset val="1"/>
    </font>
    <font>
      <i/>
      <sz val="10"/>
      <color theme="2" tint="-0.499984740745262"/>
      <name val="Times New Roman"/>
      <family val="1"/>
      <charset val="1"/>
    </font>
    <font>
      <sz val="10"/>
      <name val="Times New Roman"/>
      <family val="1"/>
      <charset val="1"/>
    </font>
    <font>
      <sz val="10"/>
      <color rgb="FF000000"/>
      <name val="Times New Roman"/>
      <family val="1"/>
      <charset val="1"/>
    </font>
    <font>
      <b/>
      <sz val="13"/>
      <color theme="1"/>
      <name val="Times New Roman"/>
      <family val="1"/>
      <charset val="1"/>
    </font>
    <font>
      <b/>
      <sz val="11"/>
      <color rgb="FFFFFFFF"/>
      <name val="Times New Roman"/>
      <family val="1"/>
      <charset val="1"/>
    </font>
    <font>
      <b/>
      <sz val="10"/>
      <color rgb="FFFFFFFF"/>
      <name val="Times New Roman"/>
      <family val="1"/>
      <charset val="1"/>
    </font>
    <font>
      <b/>
      <sz val="12"/>
      <color rgb="FFFFFFFF"/>
      <name val="Times New Roman"/>
      <family val="1"/>
    </font>
    <font>
      <sz val="11"/>
      <color theme="1"/>
      <name val="Times New Roman"/>
      <family val="1"/>
    </font>
    <font>
      <sz val="10"/>
      <color rgb="FF000000"/>
      <name val="Times New Roman"/>
      <family val="1"/>
    </font>
    <font>
      <sz val="10"/>
      <color theme="1"/>
      <name val="Times New Roman"/>
      <family val="1"/>
    </font>
    <font>
      <b/>
      <sz val="10"/>
      <color rgb="FF000000"/>
      <name val="Times New Roman"/>
      <family val="1"/>
    </font>
    <font>
      <b/>
      <sz val="10"/>
      <color theme="1"/>
      <name val="Times New Roman"/>
      <family val="1"/>
    </font>
    <font>
      <b/>
      <sz val="11"/>
      <color theme="1"/>
      <name val="Times New Roman"/>
      <family val="1"/>
    </font>
    <font>
      <u/>
      <sz val="10"/>
      <color theme="10"/>
      <name val="Times New Roman"/>
      <family val="1"/>
      <charset val="1"/>
    </font>
    <font>
      <sz val="11"/>
      <color theme="1"/>
      <name val="Aptos Narrow"/>
      <family val="2"/>
      <charset val="1"/>
    </font>
    <font>
      <b/>
      <sz val="10"/>
      <color theme="0"/>
      <name val="Times New Roman"/>
      <family val="1"/>
    </font>
    <font>
      <b/>
      <sz val="10"/>
      <name val="Times New Roman"/>
      <family val="1"/>
    </font>
    <font>
      <b/>
      <sz val="11"/>
      <color theme="0"/>
      <name val="Times New Roman"/>
      <family val="1"/>
    </font>
    <font>
      <b/>
      <i/>
      <sz val="10"/>
      <color theme="0"/>
      <name val="Times New Roman"/>
      <family val="1"/>
    </font>
  </fonts>
  <fills count="20">
    <fill>
      <patternFill patternType="none"/>
    </fill>
    <fill>
      <patternFill patternType="gray125"/>
    </fill>
    <fill>
      <patternFill patternType="solid">
        <fgColor theme="4"/>
        <bgColor rgb="FF1F4E79"/>
      </patternFill>
    </fill>
    <fill>
      <patternFill patternType="solid">
        <fgColor theme="4" tint="0.79979857783745845"/>
        <bgColor rgb="FFCAEEFB"/>
      </patternFill>
    </fill>
    <fill>
      <patternFill patternType="solid">
        <fgColor theme="7" tint="0.79979857783745845"/>
        <bgColor rgb="FFC1E5F5"/>
      </patternFill>
    </fill>
    <fill>
      <patternFill patternType="solid">
        <fgColor theme="4" tint="-0.249977111117893"/>
        <bgColor rgb="FF084F6B"/>
      </patternFill>
    </fill>
    <fill>
      <patternFill patternType="solid">
        <fgColor theme="7" tint="-0.249977111117893"/>
        <bgColor rgb="FF156082"/>
      </patternFill>
    </fill>
    <fill>
      <patternFill patternType="solid">
        <fgColor theme="3" tint="0.89989928891872917"/>
        <bgColor rgb="FFD6E4F0"/>
      </patternFill>
    </fill>
    <fill>
      <patternFill patternType="solid">
        <fgColor rgb="FF1F3864"/>
        <bgColor rgb="FF104862"/>
      </patternFill>
    </fill>
    <fill>
      <patternFill patternType="solid">
        <fgColor rgb="FFD6E4F0"/>
        <bgColor rgb="FFDCEAF7"/>
      </patternFill>
    </fill>
    <fill>
      <patternFill patternType="solid">
        <fgColor rgb="FFE2EFDA"/>
        <bgColor rgb="FFDCEAF7"/>
      </patternFill>
    </fill>
    <fill>
      <patternFill patternType="solid">
        <fgColor theme="3" tint="0.74977874080629903"/>
        <bgColor rgb="FFBDD7EE"/>
      </patternFill>
    </fill>
    <fill>
      <patternFill patternType="solid">
        <fgColor rgb="FF1F4E79"/>
        <bgColor rgb="FF104862"/>
      </patternFill>
    </fill>
    <fill>
      <patternFill patternType="solid">
        <fgColor theme="7" tint="0.59978026673177287"/>
        <bgColor rgb="FFA6CAEC"/>
      </patternFill>
    </fill>
    <fill>
      <patternFill patternType="solid">
        <fgColor theme="7" tint="-0.499984740745262"/>
        <bgColor rgb="FF104862"/>
      </patternFill>
    </fill>
    <fill>
      <patternFill patternType="solid">
        <fgColor theme="4" tint="0.59978026673177287"/>
        <bgColor rgb="FF96DCF8"/>
      </patternFill>
    </fill>
    <fill>
      <patternFill patternType="solid">
        <fgColor theme="4" tint="0.79998168889431442"/>
        <bgColor rgb="FF0B76A0"/>
      </patternFill>
    </fill>
    <fill>
      <patternFill patternType="solid">
        <fgColor theme="4" tint="0.79998168889431442"/>
        <bgColor indexed="64"/>
      </patternFill>
    </fill>
    <fill>
      <patternFill patternType="solid">
        <fgColor theme="4"/>
        <bgColor indexed="64"/>
      </patternFill>
    </fill>
    <fill>
      <patternFill patternType="solid">
        <fgColor theme="4" tint="0.59999389629810485"/>
        <bgColor indexed="64"/>
      </patternFill>
    </fill>
  </fills>
  <borders count="5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medium">
        <color theme="1"/>
      </left>
      <right style="thin">
        <color auto="1"/>
      </right>
      <top style="medium">
        <color theme="1"/>
      </top>
      <bottom style="thin">
        <color auto="1"/>
      </bottom>
      <diagonal/>
    </border>
    <border>
      <left style="thin">
        <color auto="1"/>
      </left>
      <right style="thin">
        <color auto="1"/>
      </right>
      <top style="medium">
        <color theme="1"/>
      </top>
      <bottom style="thin">
        <color auto="1"/>
      </bottom>
      <diagonal/>
    </border>
    <border>
      <left style="thin">
        <color auto="1"/>
      </left>
      <right style="medium">
        <color theme="1"/>
      </right>
      <top style="thin">
        <color auto="1"/>
      </top>
      <bottom style="thin">
        <color auto="1"/>
      </bottom>
      <diagonal/>
    </border>
    <border>
      <left style="medium">
        <color theme="1"/>
      </left>
      <right style="thin">
        <color auto="1"/>
      </right>
      <top style="thin">
        <color auto="1"/>
      </top>
      <bottom style="thin">
        <color auto="1"/>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auto="1"/>
      </top>
      <bottom style="thick">
        <color auto="1"/>
      </bottom>
      <diagonal/>
    </border>
    <border>
      <left style="medium">
        <color theme="1"/>
      </left>
      <right style="medium">
        <color theme="1"/>
      </right>
      <top style="medium">
        <color theme="1"/>
      </top>
      <bottom/>
      <diagonal/>
    </border>
    <border>
      <left style="thin">
        <color theme="1"/>
      </left>
      <right style="medium">
        <color theme="1"/>
      </right>
      <top style="medium">
        <color theme="1"/>
      </top>
      <bottom style="thin">
        <color theme="1"/>
      </bottom>
      <diagonal/>
    </border>
    <border>
      <left style="medium">
        <color theme="1"/>
      </left>
      <right/>
      <top style="thin">
        <color theme="1"/>
      </top>
      <bottom style="double">
        <color theme="1"/>
      </bottom>
      <diagonal/>
    </border>
    <border>
      <left style="thin">
        <color theme="1"/>
      </left>
      <right style="medium">
        <color theme="1"/>
      </right>
      <top style="thin">
        <color theme="1"/>
      </top>
      <bottom style="double">
        <color theme="1"/>
      </bottom>
      <diagonal/>
    </border>
    <border>
      <left style="thin">
        <color theme="1"/>
      </left>
      <right style="medium">
        <color theme="1"/>
      </right>
      <top/>
      <bottom style="medium">
        <color theme="1"/>
      </bottom>
      <diagonal/>
    </border>
    <border>
      <left style="thin">
        <color theme="1"/>
      </left>
      <right style="medium">
        <color theme="1"/>
      </right>
      <top style="medium">
        <color theme="1"/>
      </top>
      <bottom/>
      <diagonal/>
    </border>
    <border>
      <left style="thin">
        <color theme="1"/>
      </left>
      <right style="medium">
        <color theme="1"/>
      </right>
      <top/>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double">
        <color indexed="64"/>
      </bottom>
      <diagonal/>
    </border>
    <border>
      <left style="thin">
        <color auto="1"/>
      </left>
      <right/>
      <top style="thin">
        <color auto="1"/>
      </top>
      <bottom style="double">
        <color indexed="64"/>
      </bottom>
      <diagonal/>
    </border>
    <border>
      <left/>
      <right style="thin">
        <color auto="1"/>
      </right>
      <top style="thin">
        <color auto="1"/>
      </top>
      <bottom style="double">
        <color indexed="64"/>
      </bottom>
      <diagonal/>
    </border>
  </borders>
  <cellStyleXfs count="2">
    <xf numFmtId="0" fontId="0" fillId="0" borderId="0"/>
    <xf numFmtId="9" fontId="30" fillId="0" borderId="0" applyFont="0" applyFill="0" applyBorder="0" applyAlignment="0" applyProtection="0"/>
  </cellStyleXfs>
  <cellXfs count="257">
    <xf numFmtId="0" fontId="0" fillId="0" borderId="0" xfId="0"/>
    <xf numFmtId="0" fontId="1" fillId="0" borderId="0" xfId="0" applyFont="1"/>
    <xf numFmtId="0" fontId="4" fillId="0" borderId="0" xfId="0" applyFont="1" applyAlignment="1">
      <alignment vertical="center" wrapText="1"/>
    </xf>
    <xf numFmtId="0" fontId="2" fillId="2" borderId="1" xfId="0" applyFont="1" applyFill="1" applyBorder="1"/>
    <xf numFmtId="164" fontId="2" fillId="2" borderId="1" xfId="0" applyNumberFormat="1" applyFont="1" applyFill="1" applyBorder="1" applyAlignment="1">
      <alignment horizontal="right" vertical="center" wrapText="1"/>
    </xf>
    <xf numFmtId="0" fontId="6" fillId="0" borderId="1" xfId="0" applyFont="1" applyBorder="1" applyAlignment="1">
      <alignment horizontal="left" vertical="center" wrapText="1" indent="2"/>
    </xf>
    <xf numFmtId="10" fontId="6" fillId="0" borderId="1" xfId="0" applyNumberFormat="1" applyFont="1" applyBorder="1" applyAlignment="1">
      <alignment horizontal="right" vertical="center" wrapText="1"/>
    </xf>
    <xf numFmtId="0" fontId="7" fillId="0" borderId="1" xfId="0" applyFont="1" applyBorder="1"/>
    <xf numFmtId="0" fontId="6" fillId="0" borderId="1" xfId="0" applyFont="1" applyBorder="1" applyAlignment="1">
      <alignment horizontal="right" vertical="center" wrapText="1"/>
    </xf>
    <xf numFmtId="0" fontId="8" fillId="0" borderId="1" xfId="0" applyFont="1" applyBorder="1" applyAlignment="1">
      <alignment horizontal="left" vertical="center" wrapText="1" indent="2"/>
    </xf>
    <xf numFmtId="3" fontId="8" fillId="0" borderId="1" xfId="0" applyNumberFormat="1" applyFont="1" applyBorder="1" applyAlignment="1">
      <alignment horizontal="right" vertical="center" wrapText="1"/>
    </xf>
    <xf numFmtId="0" fontId="7" fillId="0" borderId="0" xfId="0" applyFont="1"/>
    <xf numFmtId="0" fontId="10" fillId="0" borderId="0" xfId="0" applyFont="1" applyAlignment="1">
      <alignment horizontal="center"/>
    </xf>
    <xf numFmtId="0" fontId="11" fillId="4" borderId="1" xfId="0" applyFont="1" applyFill="1" applyBorder="1" applyAlignment="1">
      <alignment horizontal="left" vertical="center" indent="2"/>
    </xf>
    <xf numFmtId="164" fontId="11" fillId="4" borderId="1" xfId="0" applyNumberFormat="1" applyFont="1" applyFill="1" applyBorder="1" applyAlignment="1">
      <alignment horizontal="right" vertical="center" wrapText="1"/>
    </xf>
    <xf numFmtId="164" fontId="12" fillId="0" borderId="0" xfId="0" applyNumberFormat="1" applyFont="1" applyAlignment="1">
      <alignment horizontal="right" vertical="center" wrapText="1"/>
    </xf>
    <xf numFmtId="0" fontId="6" fillId="0" borderId="1" xfId="0" applyFont="1" applyBorder="1" applyAlignment="1">
      <alignment horizontal="left" vertical="center" indent="2"/>
    </xf>
    <xf numFmtId="3" fontId="6" fillId="0" borderId="1" xfId="0" applyNumberFormat="1" applyFont="1" applyBorder="1" applyAlignment="1">
      <alignment horizontal="right" vertical="center" wrapText="1"/>
    </xf>
    <xf numFmtId="3" fontId="6" fillId="0" borderId="0" xfId="0" applyNumberFormat="1" applyFont="1" applyAlignment="1">
      <alignment horizontal="right" vertical="center" wrapText="1"/>
    </xf>
    <xf numFmtId="165" fontId="6" fillId="0" borderId="1" xfId="0" applyNumberFormat="1" applyFont="1" applyBorder="1" applyAlignment="1">
      <alignment horizontal="right" vertical="center" wrapText="1"/>
    </xf>
    <xf numFmtId="0" fontId="6" fillId="0" borderId="1" xfId="0" applyFont="1" applyBorder="1" applyAlignment="1">
      <alignment horizontal="left" vertical="center"/>
    </xf>
    <xf numFmtId="10" fontId="6" fillId="0" borderId="0" xfId="0" applyNumberFormat="1" applyFont="1" applyAlignment="1">
      <alignment horizontal="right" vertical="center" wrapText="1"/>
    </xf>
    <xf numFmtId="9" fontId="6" fillId="0" borderId="1" xfId="0" applyNumberFormat="1" applyFont="1" applyBorder="1" applyAlignment="1">
      <alignment horizontal="right" vertical="center" wrapText="1"/>
    </xf>
    <xf numFmtId="9" fontId="6" fillId="0" borderId="0" xfId="0" applyNumberFormat="1" applyFont="1" applyAlignment="1">
      <alignment horizontal="right" vertical="center" wrapText="1"/>
    </xf>
    <xf numFmtId="0" fontId="6" fillId="0" borderId="0" xfId="0" applyFont="1" applyAlignment="1">
      <alignment horizontal="right" vertical="center" wrapText="1"/>
    </xf>
    <xf numFmtId="0" fontId="13" fillId="0" borderId="0" xfId="0" applyFont="1"/>
    <xf numFmtId="0" fontId="7" fillId="0" borderId="9" xfId="0" applyFont="1" applyBorder="1"/>
    <xf numFmtId="0" fontId="7" fillId="0" borderId="12" xfId="0" applyFont="1" applyBorder="1"/>
    <xf numFmtId="0" fontId="7" fillId="0" borderId="13" xfId="0" applyFont="1" applyBorder="1"/>
    <xf numFmtId="0" fontId="10" fillId="5" borderId="0" xfId="0" applyFont="1" applyFill="1" applyAlignment="1">
      <alignment horizontal="left" vertical="center"/>
    </xf>
    <xf numFmtId="0" fontId="10" fillId="5" borderId="0" xfId="0" applyFont="1" applyFill="1" applyAlignment="1">
      <alignment horizontal="center" vertical="center"/>
    </xf>
    <xf numFmtId="4" fontId="7" fillId="0" borderId="1" xfId="0" applyNumberFormat="1" applyFont="1" applyBorder="1"/>
    <xf numFmtId="0" fontId="16" fillId="0" borderId="1" xfId="0" applyFont="1" applyBorder="1"/>
    <xf numFmtId="10" fontId="17" fillId="0" borderId="1" xfId="0" applyNumberFormat="1" applyFont="1" applyBorder="1"/>
    <xf numFmtId="10" fontId="7" fillId="0" borderId="0" xfId="0" applyNumberFormat="1" applyFont="1"/>
    <xf numFmtId="0" fontId="15" fillId="0" borderId="1" xfId="0" applyFont="1" applyBorder="1"/>
    <xf numFmtId="3" fontId="7" fillId="0" borderId="1" xfId="0" applyNumberFormat="1" applyFont="1" applyBorder="1"/>
    <xf numFmtId="9" fontId="7" fillId="0" borderId="0" xfId="0" applyNumberFormat="1" applyFont="1"/>
    <xf numFmtId="4" fontId="15" fillId="0" borderId="1" xfId="0" applyNumberFormat="1" applyFont="1" applyBorder="1"/>
    <xf numFmtId="0" fontId="10" fillId="2" borderId="1" xfId="0" applyFont="1" applyFill="1" applyBorder="1" applyAlignment="1">
      <alignment horizontal="center" vertical="center"/>
    </xf>
    <xf numFmtId="10" fontId="7" fillId="0" borderId="1" xfId="0" applyNumberFormat="1" applyFont="1" applyBorder="1"/>
    <xf numFmtId="0" fontId="14" fillId="9" borderId="0" xfId="0" applyFont="1" applyFill="1"/>
    <xf numFmtId="0" fontId="17" fillId="0" borderId="1" xfId="0" applyFont="1" applyBorder="1"/>
    <xf numFmtId="10" fontId="18" fillId="0" borderId="1" xfId="0" applyNumberFormat="1" applyFont="1" applyBorder="1"/>
    <xf numFmtId="0" fontId="17" fillId="0" borderId="21" xfId="0" applyFont="1" applyBorder="1"/>
    <xf numFmtId="10" fontId="17" fillId="0" borderId="0" xfId="0" applyNumberFormat="1" applyFont="1"/>
    <xf numFmtId="0" fontId="14" fillId="9" borderId="1" xfId="0" applyFont="1" applyFill="1" applyBorder="1"/>
    <xf numFmtId="0" fontId="17" fillId="0" borderId="0" xfId="0" applyFont="1"/>
    <xf numFmtId="4" fontId="7" fillId="0" borderId="0" xfId="0" applyNumberFormat="1" applyFont="1"/>
    <xf numFmtId="0" fontId="18" fillId="0" borderId="0" xfId="0" applyFont="1"/>
    <xf numFmtId="10" fontId="18" fillId="0" borderId="0" xfId="0" applyNumberFormat="1" applyFont="1"/>
    <xf numFmtId="169" fontId="7" fillId="0" borderId="0" xfId="0" applyNumberFormat="1" applyFont="1"/>
    <xf numFmtId="0" fontId="20" fillId="12" borderId="1" xfId="0" applyFont="1" applyFill="1" applyBorder="1" applyAlignment="1">
      <alignment horizontal="center" vertical="center" wrapText="1"/>
    </xf>
    <xf numFmtId="0" fontId="1" fillId="0" borderId="1" xfId="0" applyFont="1" applyBorder="1"/>
    <xf numFmtId="170" fontId="7" fillId="0" borderId="1" xfId="0" applyNumberFormat="1" applyFont="1" applyBorder="1"/>
    <xf numFmtId="170" fontId="18" fillId="0" borderId="1" xfId="0" applyNumberFormat="1" applyFont="1" applyBorder="1"/>
    <xf numFmtId="170" fontId="1" fillId="0" borderId="0" xfId="0" applyNumberFormat="1" applyFont="1"/>
    <xf numFmtId="171" fontId="7" fillId="0" borderId="1" xfId="0" applyNumberFormat="1" applyFont="1" applyBorder="1"/>
    <xf numFmtId="0" fontId="21" fillId="12" borderId="1" xfId="0" applyFont="1" applyFill="1" applyBorder="1" applyAlignment="1">
      <alignment horizontal="center" vertical="center" wrapText="1"/>
    </xf>
    <xf numFmtId="1" fontId="21" fillId="12" borderId="1" xfId="0" applyNumberFormat="1" applyFont="1" applyFill="1" applyBorder="1" applyAlignment="1">
      <alignment horizontal="center" vertical="center" wrapText="1"/>
    </xf>
    <xf numFmtId="0" fontId="10" fillId="2" borderId="1" xfId="0" applyFont="1" applyFill="1" applyBorder="1" applyAlignment="1">
      <alignment vertical="center"/>
    </xf>
    <xf numFmtId="0" fontId="10" fillId="2" borderId="1" xfId="0" applyFont="1" applyFill="1" applyBorder="1" applyAlignment="1">
      <alignment vertical="center" wrapText="1"/>
    </xf>
    <xf numFmtId="0" fontId="6" fillId="0" borderId="1" xfId="0" applyFont="1" applyBorder="1" applyAlignment="1">
      <alignment horizontal="right" vertical="center" wrapText="1" indent="2"/>
    </xf>
    <xf numFmtId="0" fontId="15" fillId="0" borderId="23" xfId="0" applyFont="1" applyBorder="1"/>
    <xf numFmtId="9" fontId="15" fillId="0" borderId="32" xfId="0" applyNumberFormat="1" applyFont="1" applyBorder="1"/>
    <xf numFmtId="9" fontId="7" fillId="0" borderId="26" xfId="0" applyNumberFormat="1" applyFont="1" applyBorder="1"/>
    <xf numFmtId="10" fontId="7" fillId="0" borderId="25" xfId="0" applyNumberFormat="1" applyFont="1" applyBorder="1"/>
    <xf numFmtId="173" fontId="7" fillId="0" borderId="1" xfId="0" applyNumberFormat="1" applyFont="1" applyBorder="1" applyAlignment="1">
      <alignment horizontal="right"/>
    </xf>
    <xf numFmtId="0" fontId="7" fillId="0" borderId="33" xfId="0" applyFont="1" applyBorder="1"/>
    <xf numFmtId="169" fontId="7" fillId="7" borderId="34" xfId="0" applyNumberFormat="1" applyFont="1" applyFill="1" applyBorder="1"/>
    <xf numFmtId="0" fontId="7" fillId="0" borderId="1" xfId="0" applyFont="1" applyBorder="1" applyAlignment="1">
      <alignment horizontal="right"/>
    </xf>
    <xf numFmtId="165" fontId="7" fillId="0" borderId="1" xfId="0" applyNumberFormat="1" applyFont="1" applyBorder="1" applyAlignment="1">
      <alignment horizontal="right"/>
    </xf>
    <xf numFmtId="10" fontId="7" fillId="0" borderId="35" xfId="0" applyNumberFormat="1" applyFont="1" applyBorder="1"/>
    <xf numFmtId="0" fontId="7" fillId="0" borderId="0" xfId="0" applyFont="1" applyAlignment="1">
      <alignment horizontal="right"/>
    </xf>
    <xf numFmtId="165" fontId="7" fillId="0" borderId="0" xfId="0" applyNumberFormat="1" applyFont="1" applyAlignment="1">
      <alignment horizontal="right"/>
    </xf>
    <xf numFmtId="10" fontId="7" fillId="0" borderId="0" xfId="0" applyNumberFormat="1" applyFont="1" applyAlignment="1">
      <alignment horizontal="right"/>
    </xf>
    <xf numFmtId="0" fontId="15" fillId="0" borderId="9" xfId="0" applyFont="1" applyBorder="1"/>
    <xf numFmtId="10" fontId="15" fillId="0" borderId="36" xfId="0" applyNumberFormat="1" applyFont="1" applyBorder="1"/>
    <xf numFmtId="9" fontId="7" fillId="0" borderId="11" xfId="0" applyNumberFormat="1" applyFont="1" applyBorder="1"/>
    <xf numFmtId="10" fontId="7" fillId="0" borderId="37" xfId="0" applyNumberFormat="1" applyFont="1" applyBorder="1"/>
    <xf numFmtId="10" fontId="7" fillId="7" borderId="34" xfId="0" applyNumberFormat="1" applyFont="1" applyFill="1" applyBorder="1"/>
    <xf numFmtId="9" fontId="7" fillId="0" borderId="1" xfId="0" applyNumberFormat="1" applyFont="1" applyBorder="1" applyAlignment="1">
      <alignment horizontal="right"/>
    </xf>
    <xf numFmtId="10" fontId="7" fillId="0" borderId="1" xfId="0" applyNumberFormat="1" applyFont="1" applyBorder="1" applyAlignment="1">
      <alignment horizontal="right"/>
    </xf>
    <xf numFmtId="0" fontId="7" fillId="0" borderId="12" xfId="0" applyFont="1" applyBorder="1" applyAlignment="1">
      <alignment horizontal="right"/>
    </xf>
    <xf numFmtId="0" fontId="7" fillId="0" borderId="13" xfId="0" applyFont="1" applyBorder="1" applyAlignment="1">
      <alignment horizontal="right"/>
    </xf>
    <xf numFmtId="0" fontId="7" fillId="0" borderId="19" xfId="0" applyFont="1" applyBorder="1" applyAlignment="1">
      <alignment horizontal="right"/>
    </xf>
    <xf numFmtId="174" fontId="7" fillId="0" borderId="0" xfId="0" applyNumberFormat="1" applyFont="1"/>
    <xf numFmtId="10" fontId="17" fillId="0" borderId="36" xfId="0" applyNumberFormat="1" applyFont="1" applyBorder="1"/>
    <xf numFmtId="9" fontId="15" fillId="0" borderId="11" xfId="0" applyNumberFormat="1" applyFont="1" applyBorder="1"/>
    <xf numFmtId="10" fontId="7" fillId="0" borderId="12" xfId="0" applyNumberFormat="1" applyFont="1" applyBorder="1"/>
    <xf numFmtId="0" fontId="15" fillId="7" borderId="0" xfId="0" applyFont="1" applyFill="1"/>
    <xf numFmtId="0" fontId="15" fillId="15" borderId="0" xfId="0" applyFont="1" applyFill="1" applyAlignment="1">
      <alignment horizontal="center"/>
    </xf>
    <xf numFmtId="0" fontId="15" fillId="0" borderId="0" xfId="0" applyFont="1"/>
    <xf numFmtId="2" fontId="7" fillId="0" borderId="0" xfId="0" applyNumberFormat="1" applyFont="1"/>
    <xf numFmtId="0" fontId="15" fillId="0" borderId="30" xfId="0" applyFont="1" applyBorder="1"/>
    <xf numFmtId="2" fontId="15" fillId="0" borderId="30" xfId="0" applyNumberFormat="1" applyFont="1" applyBorder="1"/>
    <xf numFmtId="0" fontId="23" fillId="0" borderId="0" xfId="0" applyFont="1"/>
    <xf numFmtId="3" fontId="25" fillId="0" borderId="1" xfId="0" applyNumberFormat="1" applyFont="1" applyBorder="1" applyAlignment="1">
      <alignment horizontal="center" vertical="center"/>
    </xf>
    <xf numFmtId="0" fontId="26" fillId="10" borderId="1" xfId="0" applyFont="1" applyFill="1" applyBorder="1" applyAlignment="1">
      <alignment horizontal="left" vertical="center" indent="1"/>
    </xf>
    <xf numFmtId="10" fontId="26" fillId="10" borderId="1" xfId="0" applyNumberFormat="1" applyFont="1" applyFill="1" applyBorder="1" applyAlignment="1">
      <alignment horizontal="center" vertical="center"/>
    </xf>
    <xf numFmtId="0" fontId="27" fillId="16" borderId="1" xfId="0" applyFont="1" applyFill="1" applyBorder="1" applyAlignment="1">
      <alignment horizontal="center" vertical="center"/>
    </xf>
    <xf numFmtId="0" fontId="25" fillId="0" borderId="1" xfId="0" applyFont="1" applyBorder="1" applyAlignment="1">
      <alignment horizontal="left" vertical="center" indent="1"/>
    </xf>
    <xf numFmtId="10" fontId="25" fillId="0" borderId="1" xfId="0" applyNumberFormat="1" applyFont="1" applyBorder="1" applyAlignment="1">
      <alignment horizontal="center" vertical="center"/>
    </xf>
    <xf numFmtId="10" fontId="28" fillId="0" borderId="1" xfId="0" applyNumberFormat="1" applyFont="1" applyBorder="1" applyAlignment="1">
      <alignment horizontal="center" vertical="center"/>
    </xf>
    <xf numFmtId="0" fontId="27" fillId="16" borderId="43" xfId="0" applyFont="1" applyFill="1" applyBorder="1" applyAlignment="1">
      <alignment horizontal="center" vertical="center"/>
    </xf>
    <xf numFmtId="0" fontId="27" fillId="16" borderId="44" xfId="0" applyFont="1" applyFill="1" applyBorder="1" applyAlignment="1">
      <alignment horizontal="center" vertical="center"/>
    </xf>
    <xf numFmtId="0" fontId="24" fillId="0" borderId="43" xfId="0" applyFont="1" applyBorder="1" applyAlignment="1">
      <alignment horizontal="left" vertical="center" indent="1"/>
    </xf>
    <xf numFmtId="165" fontId="25" fillId="0" borderId="44" xfId="0" applyNumberFormat="1" applyFont="1" applyBorder="1" applyAlignment="1">
      <alignment horizontal="center" vertical="center"/>
    </xf>
    <xf numFmtId="0" fontId="26" fillId="0" borderId="45" xfId="0" applyFont="1" applyBorder="1" applyAlignment="1">
      <alignment horizontal="left" vertical="center" indent="1"/>
    </xf>
    <xf numFmtId="3" fontId="25" fillId="0" borderId="46" xfId="0" applyNumberFormat="1" applyFont="1" applyBorder="1" applyAlignment="1">
      <alignment horizontal="center" vertical="center"/>
    </xf>
    <xf numFmtId="165" fontId="25" fillId="0" borderId="47" xfId="0" applyNumberFormat="1" applyFont="1" applyBorder="1" applyAlignment="1">
      <alignment horizontal="center" vertical="center"/>
    </xf>
    <xf numFmtId="0" fontId="25" fillId="0" borderId="43" xfId="0" applyFont="1" applyBorder="1" applyAlignment="1">
      <alignment horizontal="left" vertical="center" indent="1"/>
    </xf>
    <xf numFmtId="10" fontId="25" fillId="0" borderId="44" xfId="0" applyNumberFormat="1" applyFont="1" applyBorder="1" applyAlignment="1">
      <alignment horizontal="center" vertical="center"/>
    </xf>
    <xf numFmtId="168" fontId="25" fillId="0" borderId="44" xfId="0" applyNumberFormat="1" applyFont="1" applyBorder="1" applyAlignment="1">
      <alignment horizontal="center" vertical="center"/>
    </xf>
    <xf numFmtId="0" fontId="26" fillId="10" borderId="45" xfId="0" applyFont="1" applyFill="1" applyBorder="1" applyAlignment="1">
      <alignment horizontal="left" vertical="center" indent="1"/>
    </xf>
    <xf numFmtId="10" fontId="26" fillId="10" borderId="47" xfId="0" applyNumberFormat="1" applyFont="1" applyFill="1" applyBorder="1" applyAlignment="1">
      <alignment horizontal="center" vertical="center"/>
    </xf>
    <xf numFmtId="1" fontId="20" fillId="12" borderId="1" xfId="0" applyNumberFormat="1" applyFont="1" applyFill="1" applyBorder="1" applyAlignment="1">
      <alignment horizontal="center" vertical="center" wrapText="1"/>
    </xf>
    <xf numFmtId="0" fontId="15" fillId="13" borderId="26"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15" fillId="13" borderId="25" xfId="0" applyFont="1" applyFill="1" applyBorder="1" applyAlignment="1">
      <alignment horizontal="center" vertical="center" wrapText="1"/>
    </xf>
    <xf numFmtId="166" fontId="6" fillId="0" borderId="1" xfId="0" applyNumberFormat="1" applyFont="1" applyBorder="1"/>
    <xf numFmtId="0" fontId="6" fillId="0" borderId="1" xfId="0" applyFont="1" applyBorder="1"/>
    <xf numFmtId="0" fontId="6" fillId="0" borderId="25" xfId="0" applyFont="1" applyBorder="1"/>
    <xf numFmtId="0" fontId="6" fillId="0" borderId="26" xfId="0" applyFont="1" applyBorder="1"/>
    <xf numFmtId="170" fontId="6" fillId="0" borderId="25" xfId="0" applyNumberFormat="1" applyFont="1" applyBorder="1"/>
    <xf numFmtId="172" fontId="7" fillId="0" borderId="26" xfId="0" applyNumberFormat="1" applyFont="1" applyBorder="1"/>
    <xf numFmtId="172" fontId="7" fillId="0" borderId="1" xfId="0" applyNumberFormat="1" applyFont="1" applyBorder="1"/>
    <xf numFmtId="172" fontId="6" fillId="0" borderId="25" xfId="0" applyNumberFormat="1" applyFont="1" applyBorder="1"/>
    <xf numFmtId="0" fontId="29" fillId="0" borderId="0" xfId="0" applyFont="1" applyAlignment="1">
      <alignment horizontal="left" vertical="center"/>
    </xf>
    <xf numFmtId="166" fontId="6" fillId="0" borderId="0" xfId="0" applyNumberFormat="1" applyFont="1"/>
    <xf numFmtId="0" fontId="6" fillId="0" borderId="0" xfId="0" applyFont="1"/>
    <xf numFmtId="170" fontId="6" fillId="0" borderId="0" xfId="0" applyNumberFormat="1" applyFont="1"/>
    <xf numFmtId="172" fontId="7" fillId="0" borderId="0" xfId="0" applyNumberFormat="1" applyFont="1"/>
    <xf numFmtId="172" fontId="6" fillId="0" borderId="0" xfId="0" applyNumberFormat="1" applyFont="1"/>
    <xf numFmtId="0" fontId="15" fillId="0" borderId="27" xfId="0" applyFont="1" applyBorder="1" applyAlignment="1">
      <alignment vertical="center"/>
    </xf>
    <xf numFmtId="0" fontId="10" fillId="2" borderId="28" xfId="0" applyFont="1" applyFill="1" applyBorder="1" applyAlignment="1">
      <alignment horizontal="center" vertical="center" wrapText="1"/>
    </xf>
    <xf numFmtId="0" fontId="7" fillId="17" borderId="1" xfId="0" applyFont="1" applyFill="1" applyBorder="1"/>
    <xf numFmtId="166" fontId="6" fillId="17" borderId="1" xfId="0" applyNumberFormat="1" applyFont="1" applyFill="1" applyBorder="1"/>
    <xf numFmtId="0" fontId="6" fillId="17" borderId="1" xfId="0" applyFont="1" applyFill="1" applyBorder="1"/>
    <xf numFmtId="0" fontId="6" fillId="17" borderId="25" xfId="0" applyFont="1" applyFill="1" applyBorder="1"/>
    <xf numFmtId="0" fontId="6" fillId="17" borderId="26" xfId="0" applyFont="1" applyFill="1" applyBorder="1"/>
    <xf numFmtId="170" fontId="6" fillId="17" borderId="25" xfId="0" applyNumberFormat="1" applyFont="1" applyFill="1" applyBorder="1"/>
    <xf numFmtId="172" fontId="7" fillId="17" borderId="26" xfId="0" applyNumberFormat="1" applyFont="1" applyFill="1" applyBorder="1"/>
    <xf numFmtId="172" fontId="7" fillId="17" borderId="1" xfId="0" applyNumberFormat="1" applyFont="1" applyFill="1" applyBorder="1"/>
    <xf numFmtId="172" fontId="6" fillId="17" borderId="25" xfId="0" applyNumberFormat="1" applyFont="1" applyFill="1" applyBorder="1"/>
    <xf numFmtId="0" fontId="10" fillId="18" borderId="29" xfId="0" applyFont="1" applyFill="1" applyBorder="1" applyAlignment="1">
      <alignment horizontal="center" vertical="center"/>
    </xf>
    <xf numFmtId="2" fontId="7" fillId="0" borderId="1" xfId="0" applyNumberFormat="1" applyFont="1" applyBorder="1"/>
    <xf numFmtId="10" fontId="7" fillId="0" borderId="35" xfId="1" applyNumberFormat="1" applyFont="1" applyBorder="1"/>
    <xf numFmtId="0" fontId="31" fillId="2" borderId="1" xfId="0" applyFont="1" applyFill="1" applyBorder="1" applyAlignment="1">
      <alignment horizontal="center" vertical="center"/>
    </xf>
    <xf numFmtId="0" fontId="25" fillId="0" borderId="0" xfId="0" applyFont="1"/>
    <xf numFmtId="0" fontId="27" fillId="0" borderId="0" xfId="0" applyFont="1"/>
    <xf numFmtId="0" fontId="25" fillId="0" borderId="0" xfId="0" applyFont="1" applyAlignment="1">
      <alignment horizontal="left"/>
    </xf>
    <xf numFmtId="10" fontId="25" fillId="0" borderId="0" xfId="0" applyNumberFormat="1" applyFont="1"/>
    <xf numFmtId="173" fontId="25" fillId="0" borderId="1" xfId="0" applyNumberFormat="1" applyFont="1" applyBorder="1"/>
    <xf numFmtId="173" fontId="25" fillId="0" borderId="0" xfId="0" applyNumberFormat="1" applyFont="1"/>
    <xf numFmtId="0" fontId="25" fillId="0" borderId="1" xfId="0" applyFont="1" applyBorder="1"/>
    <xf numFmtId="10" fontId="25" fillId="0" borderId="1" xfId="0" applyNumberFormat="1" applyFont="1" applyBorder="1"/>
    <xf numFmtId="175" fontId="25" fillId="0" borderId="1" xfId="0" applyNumberFormat="1" applyFont="1" applyBorder="1"/>
    <xf numFmtId="2" fontId="25" fillId="0" borderId="1" xfId="0" applyNumberFormat="1" applyFont="1" applyBorder="1"/>
    <xf numFmtId="2" fontId="25" fillId="0" borderId="0" xfId="0" applyNumberFormat="1" applyFont="1"/>
    <xf numFmtId="0" fontId="25" fillId="0" borderId="0" xfId="0" applyFont="1" applyAlignment="1">
      <alignment horizontal="center"/>
    </xf>
    <xf numFmtId="0" fontId="27" fillId="0" borderId="1" xfId="0" applyFont="1" applyBorder="1"/>
    <xf numFmtId="173" fontId="27" fillId="0" borderId="1" xfId="0" applyNumberFormat="1" applyFont="1" applyBorder="1"/>
    <xf numFmtId="2" fontId="27" fillId="0" borderId="1" xfId="0" applyNumberFormat="1" applyFont="1" applyBorder="1"/>
    <xf numFmtId="2" fontId="27" fillId="0" borderId="0" xfId="0" applyNumberFormat="1" applyFont="1"/>
    <xf numFmtId="4" fontId="25" fillId="0" borderId="1" xfId="0" applyNumberFormat="1" applyFont="1" applyBorder="1"/>
    <xf numFmtId="9" fontId="25" fillId="0" borderId="1" xfId="0" applyNumberFormat="1" applyFont="1" applyBorder="1"/>
    <xf numFmtId="0" fontId="25" fillId="0" borderId="1" xfId="0" applyFont="1" applyBorder="1" applyAlignment="1">
      <alignment horizontal="left"/>
    </xf>
    <xf numFmtId="3" fontId="25" fillId="0" borderId="1" xfId="0" applyNumberFormat="1" applyFont="1" applyBorder="1"/>
    <xf numFmtId="0" fontId="27" fillId="0" borderId="30" xfId="0" applyFont="1" applyBorder="1"/>
    <xf numFmtId="0" fontId="27" fillId="19" borderId="1" xfId="0" applyFont="1" applyFill="1" applyBorder="1" applyAlignment="1">
      <alignment horizontal="center" vertical="center"/>
    </xf>
    <xf numFmtId="2" fontId="27" fillId="0" borderId="50" xfId="0" applyNumberFormat="1" applyFont="1" applyBorder="1"/>
    <xf numFmtId="0" fontId="32" fillId="3" borderId="1" xfId="0" applyFont="1" applyFill="1" applyBorder="1" applyAlignment="1">
      <alignment horizontal="center" vertical="top"/>
    </xf>
    <xf numFmtId="166" fontId="32" fillId="3" borderId="1" xfId="0" applyNumberFormat="1" applyFont="1" applyFill="1" applyBorder="1" applyAlignment="1">
      <alignment horizontal="center" vertical="top"/>
    </xf>
    <xf numFmtId="167" fontId="32" fillId="0" borderId="1" xfId="0" applyNumberFormat="1" applyFont="1" applyBorder="1" applyAlignment="1">
      <alignment horizontal="center" vertical="top"/>
    </xf>
    <xf numFmtId="166" fontId="25" fillId="0" borderId="1" xfId="0" applyNumberFormat="1" applyFont="1" applyBorder="1"/>
    <xf numFmtId="0" fontId="31" fillId="2" borderId="3" xfId="0" applyFont="1" applyFill="1" applyBorder="1" applyAlignment="1">
      <alignment horizontal="center" vertical="center"/>
    </xf>
    <xf numFmtId="0" fontId="31" fillId="2" borderId="4" xfId="0" applyFont="1" applyFill="1" applyBorder="1" applyAlignment="1">
      <alignment horizontal="center" vertical="center"/>
    </xf>
    <xf numFmtId="0" fontId="27" fillId="0" borderId="7" xfId="0" applyFont="1" applyBorder="1"/>
    <xf numFmtId="0" fontId="25" fillId="0" borderId="7" xfId="0" applyFont="1" applyBorder="1" applyAlignment="1">
      <alignment horizontal="left"/>
    </xf>
    <xf numFmtId="0" fontId="27" fillId="0" borderId="4" xfId="0" applyFont="1" applyBorder="1"/>
    <xf numFmtId="0" fontId="25" fillId="0" borderId="4" xfId="0" applyFont="1" applyBorder="1" applyAlignment="1">
      <alignment horizontal="left"/>
    </xf>
    <xf numFmtId="0" fontId="28" fillId="0" borderId="8" xfId="0" applyFont="1" applyBorder="1" applyAlignment="1">
      <alignment horizontal="center"/>
    </xf>
    <xf numFmtId="0" fontId="33" fillId="0" borderId="8" xfId="0" applyFont="1" applyBorder="1" applyAlignment="1">
      <alignment horizontal="center"/>
    </xf>
    <xf numFmtId="0" fontId="23" fillId="0" borderId="9" xfId="0" applyFont="1" applyBorder="1"/>
    <xf numFmtId="0" fontId="23" fillId="0" borderId="10" xfId="0" applyFont="1" applyBorder="1"/>
    <xf numFmtId="0" fontId="23" fillId="0" borderId="8" xfId="0" applyFont="1" applyBorder="1"/>
    <xf numFmtId="0" fontId="23" fillId="0" borderId="11" xfId="0" applyFont="1" applyBorder="1"/>
    <xf numFmtId="0" fontId="23" fillId="0" borderId="12" xfId="0" applyFont="1" applyBorder="1"/>
    <xf numFmtId="0" fontId="23" fillId="0" borderId="13" xfId="0" applyFont="1" applyBorder="1"/>
    <xf numFmtId="0" fontId="25" fillId="2" borderId="14" xfId="0" applyFont="1" applyFill="1" applyBorder="1" applyAlignment="1">
      <alignment horizontal="center"/>
    </xf>
    <xf numFmtId="0" fontId="31" fillId="2" borderId="15" xfId="0" applyFont="1" applyFill="1" applyBorder="1" applyAlignment="1">
      <alignment horizontal="center"/>
    </xf>
    <xf numFmtId="0" fontId="31" fillId="2" borderId="16" xfId="0" applyFont="1" applyFill="1" applyBorder="1" applyAlignment="1">
      <alignment horizontal="center"/>
    </xf>
    <xf numFmtId="0" fontId="25" fillId="0" borderId="9" xfId="0" applyFont="1" applyBorder="1"/>
    <xf numFmtId="0" fontId="25" fillId="0" borderId="10" xfId="0" applyFont="1" applyBorder="1"/>
    <xf numFmtId="0" fontId="25" fillId="0" borderId="17" xfId="0" applyFont="1" applyBorder="1"/>
    <xf numFmtId="0" fontId="25" fillId="0" borderId="11" xfId="0" applyFont="1" applyBorder="1"/>
    <xf numFmtId="0" fontId="25" fillId="0" borderId="18" xfId="0" applyFont="1" applyBorder="1"/>
    <xf numFmtId="0" fontId="25" fillId="0" borderId="12" xfId="0" applyFont="1" applyBorder="1"/>
    <xf numFmtId="0" fontId="25" fillId="0" borderId="13" xfId="0" applyFont="1" applyBorder="1"/>
    <xf numFmtId="0" fontId="25" fillId="0" borderId="19" xfId="0" applyFont="1" applyBorder="1"/>
    <xf numFmtId="0" fontId="34" fillId="2" borderId="14" xfId="0" applyFont="1" applyFill="1" applyBorder="1" applyAlignment="1">
      <alignment horizontal="center" vertical="center"/>
    </xf>
    <xf numFmtId="0" fontId="31" fillId="2" borderId="15" xfId="0" applyFont="1" applyFill="1" applyBorder="1" applyAlignment="1">
      <alignment horizontal="center" vertical="center"/>
    </xf>
    <xf numFmtId="0" fontId="31" fillId="2" borderId="16"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left" vertical="center" wrapText="1"/>
    </xf>
    <xf numFmtId="0" fontId="2" fillId="2" borderId="1" xfId="0" applyFont="1" applyFill="1" applyBorder="1" applyAlignment="1">
      <alignment horizontal="center"/>
    </xf>
    <xf numFmtId="0" fontId="5" fillId="3" borderId="1" xfId="0" applyFont="1" applyFill="1" applyBorder="1" applyAlignment="1">
      <alignment horizontal="left"/>
    </xf>
    <xf numFmtId="0" fontId="5" fillId="3" borderId="1" xfId="0" applyFont="1" applyFill="1" applyBorder="1"/>
    <xf numFmtId="0" fontId="5" fillId="3" borderId="1" xfId="0" applyFont="1" applyFill="1" applyBorder="1" applyAlignment="1">
      <alignment horizontal="left" vertical="center"/>
    </xf>
    <xf numFmtId="0" fontId="9" fillId="3" borderId="1" xfId="0" applyFont="1" applyFill="1" applyBorder="1" applyAlignment="1">
      <alignment horizontal="center"/>
    </xf>
    <xf numFmtId="0" fontId="10" fillId="2" borderId="1" xfId="0" applyFont="1" applyFill="1" applyBorder="1" applyAlignment="1">
      <alignment horizontal="center"/>
    </xf>
    <xf numFmtId="0" fontId="25" fillId="0" borderId="5" xfId="0" applyFont="1" applyBorder="1" applyAlignment="1">
      <alignment horizontal="left"/>
    </xf>
    <xf numFmtId="0" fontId="28" fillId="7" borderId="2" xfId="0" applyFont="1" applyFill="1" applyBorder="1" applyAlignment="1">
      <alignment horizontal="center"/>
    </xf>
    <xf numFmtId="0" fontId="33" fillId="2" borderId="2" xfId="0" applyFont="1" applyFill="1" applyBorder="1" applyAlignment="1">
      <alignment horizontal="center"/>
    </xf>
    <xf numFmtId="0" fontId="27" fillId="7" borderId="2" xfId="0" applyFont="1" applyFill="1" applyBorder="1" applyAlignment="1">
      <alignment horizontal="center"/>
    </xf>
    <xf numFmtId="0" fontId="31" fillId="5" borderId="0" xfId="0" applyFont="1" applyFill="1" applyAlignment="1">
      <alignment horizontal="center"/>
    </xf>
    <xf numFmtId="0" fontId="31" fillId="6" borderId="2" xfId="0" applyFont="1" applyFill="1" applyBorder="1" applyAlignment="1">
      <alignment horizontal="center" vertical="center"/>
    </xf>
    <xf numFmtId="0" fontId="31" fillId="2" borderId="5" xfId="0" applyFont="1" applyFill="1" applyBorder="1" applyAlignment="1">
      <alignment horizontal="center" vertical="center"/>
    </xf>
    <xf numFmtId="0" fontId="22" fillId="8" borderId="20" xfId="0" applyFont="1" applyFill="1" applyBorder="1" applyAlignment="1">
      <alignment horizontal="center" vertical="center"/>
    </xf>
    <xf numFmtId="0" fontId="22" fillId="8" borderId="39" xfId="0" applyFont="1" applyFill="1" applyBorder="1" applyAlignment="1">
      <alignment horizontal="center" vertical="center"/>
    </xf>
    <xf numFmtId="0" fontId="28" fillId="0" borderId="1" xfId="0" applyFont="1" applyBorder="1" applyAlignment="1">
      <alignment horizontal="center" vertical="center"/>
    </xf>
    <xf numFmtId="0" fontId="27" fillId="16" borderId="48" xfId="0" applyFont="1" applyFill="1" applyBorder="1" applyAlignment="1">
      <alignment horizontal="center" vertical="center"/>
    </xf>
    <xf numFmtId="0" fontId="27" fillId="16" borderId="49" xfId="0" applyFont="1" applyFill="1" applyBorder="1" applyAlignment="1">
      <alignment horizontal="center" vertical="center"/>
    </xf>
    <xf numFmtId="0" fontId="27" fillId="16" borderId="20" xfId="0" applyFont="1" applyFill="1" applyBorder="1" applyAlignment="1">
      <alignment horizontal="center" vertical="center"/>
    </xf>
    <xf numFmtId="0" fontId="27" fillId="16" borderId="38" xfId="0" applyFont="1" applyFill="1" applyBorder="1" applyAlignment="1">
      <alignment horizontal="center" vertical="center"/>
    </xf>
    <xf numFmtId="0" fontId="27" fillId="16" borderId="39" xfId="0" applyFont="1" applyFill="1" applyBorder="1" applyAlignment="1">
      <alignment horizontal="center" vertical="center"/>
    </xf>
    <xf numFmtId="0" fontId="27" fillId="16" borderId="40" xfId="0" applyFont="1" applyFill="1" applyBorder="1" applyAlignment="1">
      <alignment horizontal="center" vertical="center"/>
    </xf>
    <xf numFmtId="0" fontId="27" fillId="16" borderId="41" xfId="0" applyFont="1" applyFill="1" applyBorder="1" applyAlignment="1">
      <alignment horizontal="center" vertical="center"/>
    </xf>
    <xf numFmtId="0" fontId="27" fillId="16" borderId="42" xfId="0" applyFont="1" applyFill="1" applyBorder="1" applyAlignment="1">
      <alignment horizontal="center" vertical="center"/>
    </xf>
    <xf numFmtId="0" fontId="10" fillId="2" borderId="1" xfId="0" applyFont="1" applyFill="1" applyBorder="1" applyAlignment="1">
      <alignment horizontal="center" vertical="center"/>
    </xf>
    <xf numFmtId="0" fontId="19" fillId="11" borderId="22" xfId="0" applyFont="1" applyFill="1" applyBorder="1" applyAlignment="1">
      <alignment horizontal="center"/>
    </xf>
    <xf numFmtId="0" fontId="14" fillId="7" borderId="1" xfId="0" applyFont="1" applyFill="1" applyBorder="1" applyAlignment="1">
      <alignment horizontal="center"/>
    </xf>
    <xf numFmtId="0" fontId="14" fillId="9" borderId="1" xfId="0" applyFont="1" applyFill="1" applyBorder="1" applyAlignment="1">
      <alignment horizontal="center"/>
    </xf>
    <xf numFmtId="0" fontId="10" fillId="2" borderId="0" xfId="0" applyFont="1" applyFill="1" applyAlignment="1">
      <alignment horizontal="center"/>
    </xf>
    <xf numFmtId="0" fontId="10" fillId="2" borderId="0" xfId="0" applyFont="1" applyFill="1" applyAlignment="1">
      <alignment horizontal="center" vertical="center"/>
    </xf>
    <xf numFmtId="0" fontId="15" fillId="13" borderId="23" xfId="0" applyFont="1" applyFill="1" applyBorder="1" applyAlignment="1">
      <alignment horizontal="center" vertical="center" wrapText="1"/>
    </xf>
    <xf numFmtId="0" fontId="15" fillId="13" borderId="24" xfId="0" applyFont="1" applyFill="1" applyBorder="1" applyAlignment="1">
      <alignment horizontal="center" vertical="center" wrapText="1"/>
    </xf>
    <xf numFmtId="0" fontId="15" fillId="0" borderId="0" xfId="0" applyFont="1" applyAlignment="1">
      <alignment horizontal="center" vertical="center" wrapText="1"/>
    </xf>
    <xf numFmtId="0" fontId="6" fillId="0" borderId="1" xfId="0" applyFont="1" applyBorder="1" applyAlignment="1">
      <alignment horizontal="left" vertical="center"/>
    </xf>
    <xf numFmtId="0" fontId="10" fillId="14" borderId="0" xfId="0" applyFont="1" applyFill="1" applyAlignment="1">
      <alignment horizontal="center"/>
    </xf>
    <xf numFmtId="0" fontId="15" fillId="7" borderId="31" xfId="0" applyFont="1" applyFill="1" applyBorder="1" applyAlignment="1">
      <alignment horizontal="center"/>
    </xf>
    <xf numFmtId="0" fontId="15" fillId="7" borderId="1" xfId="0" applyFont="1" applyFill="1" applyBorder="1" applyAlignment="1">
      <alignment horizontal="center"/>
    </xf>
    <xf numFmtId="0" fontId="25" fillId="0" borderId="0" xfId="0" applyFont="1" applyAlignment="1">
      <alignment horizontal="center"/>
    </xf>
    <xf numFmtId="0" fontId="31" fillId="14" borderId="0" xfId="0" applyFont="1" applyFill="1" applyAlignment="1">
      <alignment horizontal="center"/>
    </xf>
    <xf numFmtId="0" fontId="25" fillId="0" borderId="20" xfId="0" applyFont="1" applyBorder="1" applyAlignment="1">
      <alignment horizontal="left"/>
    </xf>
    <xf numFmtId="0" fontId="25" fillId="0" borderId="38" xfId="0" applyFont="1" applyBorder="1" applyAlignment="1">
      <alignment horizontal="left"/>
    </xf>
    <xf numFmtId="0" fontId="25" fillId="0" borderId="20" xfId="0" applyFont="1" applyBorder="1"/>
    <xf numFmtId="0" fontId="25" fillId="0" borderId="38" xfId="0" applyFont="1" applyBorder="1"/>
    <xf numFmtId="0" fontId="25" fillId="0" borderId="1" xfId="0" applyFont="1" applyBorder="1" applyAlignment="1">
      <alignment horizontal="left"/>
    </xf>
    <xf numFmtId="0" fontId="27" fillId="0" borderId="51" xfId="0" applyFont="1" applyBorder="1" applyAlignment="1">
      <alignment horizontal="left"/>
    </xf>
    <xf numFmtId="0" fontId="27" fillId="0" borderId="52" xfId="0" applyFont="1" applyBorder="1" applyAlignment="1">
      <alignment horizontal="left"/>
    </xf>
    <xf numFmtId="0" fontId="27" fillId="0" borderId="20" xfId="0" applyFont="1" applyBorder="1" applyAlignment="1">
      <alignment horizontal="left"/>
    </xf>
    <xf numFmtId="0" fontId="27" fillId="0" borderId="38" xfId="0" applyFont="1" applyBorder="1" applyAlignment="1">
      <alignment horizontal="left"/>
    </xf>
    <xf numFmtId="0" fontId="27" fillId="7" borderId="2" xfId="0" applyFont="1" applyFill="1" applyBorder="1" applyAlignment="1">
      <alignment horizontal="center" vertical="center"/>
    </xf>
    <xf numFmtId="0" fontId="27" fillId="7" borderId="3" xfId="0" applyFont="1" applyFill="1" applyBorder="1" applyAlignment="1">
      <alignment horizontal="center" vertical="center"/>
    </xf>
    <xf numFmtId="0" fontId="27" fillId="7" borderId="6"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104862"/>
      <rgbColor rgb="FF808000"/>
      <rgbColor rgb="FF800080"/>
      <rgbColor rgb="FF0B76A0"/>
      <rgbColor rgb="FFBFBFBF"/>
      <rgbColor rgb="FF747474"/>
      <rgbColor rgb="FF83CBEB"/>
      <rgbColor rgb="FF595959"/>
      <rgbColor rgb="FFD6E4F0"/>
      <rgbColor rgb="FFCAEEFB"/>
      <rgbColor rgb="FF660066"/>
      <rgbColor rgb="FFFF8080"/>
      <rgbColor rgb="FF084F6B"/>
      <rgbColor rgb="FFBDD7EE"/>
      <rgbColor rgb="FF1F4E79"/>
      <rgbColor rgb="FFFF00FF"/>
      <rgbColor rgb="FFFFFF00"/>
      <rgbColor rgb="FF00FFFF"/>
      <rgbColor rgb="FF800080"/>
      <rgbColor rgb="FF800000"/>
      <rgbColor rgb="FF156082"/>
      <rgbColor rgb="FF0000FF"/>
      <rgbColor rgb="FF00CCFF"/>
      <rgbColor rgb="FFDCEAF7"/>
      <rgbColor rgb="FFE2EFDA"/>
      <rgbColor rgb="FFC1E5F5"/>
      <rgbColor rgb="FFA6CAEC"/>
      <rgbColor rgb="FFFF99CC"/>
      <rgbColor rgb="FFCC99FF"/>
      <rgbColor rgb="FFFFD966"/>
      <rgbColor rgb="FF2E75B6"/>
      <rgbColor rgb="FF96DCF8"/>
      <rgbColor rgb="FF99CC00"/>
      <rgbColor rgb="FFFFCC00"/>
      <rgbColor rgb="FFFF9900"/>
      <rgbColor rgb="FFFF6600"/>
      <rgbColor rgb="FF606F7B"/>
      <rgbColor rgb="FF969696"/>
      <rgbColor rgb="FF002060"/>
      <rgbColor rgb="FF467886"/>
      <rgbColor rgb="FF0D0D0D"/>
      <rgbColor rgb="FF22222F"/>
      <rgbColor rgb="FF993300"/>
      <rgbColor rgb="FF993366"/>
      <rgbColor rgb="FF1F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531360</xdr:colOff>
      <xdr:row>0</xdr:row>
      <xdr:rowOff>0</xdr:rowOff>
    </xdr:from>
    <xdr:to>
      <xdr:col>7</xdr:col>
      <xdr:colOff>579240</xdr:colOff>
      <xdr:row>3</xdr:row>
      <xdr:rowOff>150840</xdr:rowOff>
    </xdr:to>
    <xdr:pic>
      <xdr:nvPicPr>
        <xdr:cNvPr id="2" name="Picture 1" descr="Download Tech Mahindra India (Tech Mahindra Limited) Logo in SVG Vector or PNG File Format - Logo.win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l="9376" t="32205" r="9010" b="31148"/>
        <a:stretch/>
      </xdr:blipFill>
      <xdr:spPr>
        <a:xfrm>
          <a:off x="2859120" y="0"/>
          <a:ext cx="3151800" cy="7225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0"/>
  <sheetViews>
    <sheetView showGridLines="0" zoomScale="108" zoomScaleNormal="112" workbookViewId="0">
      <selection activeCell="J2" sqref="J2"/>
    </sheetView>
  </sheetViews>
  <sheetFormatPr defaultColWidth="8.7265625" defaultRowHeight="14" x14ac:dyDescent="0.3"/>
  <cols>
    <col min="1" max="10" width="8.7265625" style="1"/>
    <col min="11" max="11" width="9.453125" style="1" customWidth="1"/>
    <col min="12" max="16384" width="8.7265625" style="1"/>
  </cols>
  <sheetData>
    <row r="1" spans="2:11" ht="15" customHeight="1" x14ac:dyDescent="0.3"/>
    <row r="2" spans="2:11" ht="15" customHeight="1" x14ac:dyDescent="0.3"/>
    <row r="3" spans="2:11" ht="15" customHeight="1" x14ac:dyDescent="0.3"/>
    <row r="4" spans="2:11" ht="15" customHeight="1" x14ac:dyDescent="0.3"/>
    <row r="5" spans="2:11" ht="13.5" customHeight="1" x14ac:dyDescent="0.3">
      <c r="B5" s="204" t="s">
        <v>0</v>
      </c>
      <c r="C5" s="204"/>
      <c r="D5" s="204"/>
      <c r="E5" s="204"/>
      <c r="F5" s="204"/>
      <c r="G5" s="204"/>
      <c r="H5" s="204"/>
      <c r="I5" s="204"/>
      <c r="J5" s="204"/>
      <c r="K5" s="204"/>
    </row>
    <row r="6" spans="2:11" ht="14.25" customHeight="1" x14ac:dyDescent="0.3">
      <c r="B6" s="205" t="s">
        <v>1</v>
      </c>
      <c r="C6" s="205"/>
      <c r="D6" s="205"/>
      <c r="E6" s="205"/>
      <c r="F6" s="205"/>
      <c r="G6" s="205"/>
      <c r="H6" s="205"/>
      <c r="I6" s="205"/>
      <c r="J6" s="205"/>
      <c r="K6" s="205"/>
    </row>
    <row r="7" spans="2:11" ht="13.5" customHeight="1" x14ac:dyDescent="0.3">
      <c r="B7" s="205"/>
      <c r="C7" s="205"/>
      <c r="D7" s="205"/>
      <c r="E7" s="205"/>
      <c r="F7" s="205"/>
      <c r="G7" s="205"/>
      <c r="H7" s="205"/>
      <c r="I7" s="205"/>
      <c r="J7" s="205"/>
      <c r="K7" s="205"/>
    </row>
    <row r="8" spans="2:11" ht="13.5" customHeight="1" x14ac:dyDescent="0.3">
      <c r="B8" s="2"/>
      <c r="C8" s="2"/>
      <c r="D8" s="2"/>
      <c r="E8" s="2"/>
      <c r="F8" s="2"/>
      <c r="G8" s="2"/>
      <c r="H8" s="2"/>
      <c r="I8" s="2"/>
      <c r="J8" s="2"/>
      <c r="K8" s="2"/>
    </row>
    <row r="9" spans="2:11" ht="13.5" customHeight="1" x14ac:dyDescent="0.3">
      <c r="B9" s="206" t="s">
        <v>2</v>
      </c>
      <c r="C9" s="206"/>
      <c r="D9" s="206"/>
      <c r="E9" s="206"/>
      <c r="F9" s="206"/>
      <c r="G9" s="206"/>
      <c r="H9" s="206"/>
      <c r="I9" s="206"/>
      <c r="J9" s="206"/>
      <c r="K9" s="206"/>
    </row>
    <row r="10" spans="2:11" ht="13.5" customHeight="1" x14ac:dyDescent="0.3">
      <c r="B10" s="207" t="s">
        <v>3</v>
      </c>
      <c r="C10" s="207"/>
      <c r="D10" s="207"/>
      <c r="E10" s="207"/>
      <c r="F10" s="207"/>
      <c r="G10" s="207"/>
      <c r="H10" s="207"/>
      <c r="I10" s="207"/>
      <c r="J10" s="207"/>
      <c r="K10" s="207"/>
    </row>
    <row r="11" spans="2:11" ht="14.25" customHeight="1" x14ac:dyDescent="0.3">
      <c r="B11" s="205" t="s">
        <v>4</v>
      </c>
      <c r="C11" s="205"/>
      <c r="D11" s="205"/>
      <c r="E11" s="205"/>
      <c r="F11" s="205"/>
      <c r="G11" s="205"/>
      <c r="H11" s="205"/>
      <c r="I11" s="205"/>
      <c r="J11" s="205"/>
      <c r="K11" s="205"/>
    </row>
    <row r="12" spans="2:11" ht="13.5" customHeight="1" x14ac:dyDescent="0.3">
      <c r="B12" s="205"/>
      <c r="C12" s="205"/>
      <c r="D12" s="205"/>
      <c r="E12" s="205"/>
      <c r="F12" s="205"/>
      <c r="G12" s="205"/>
      <c r="H12" s="205"/>
      <c r="I12" s="205"/>
      <c r="J12" s="205"/>
      <c r="K12" s="205"/>
    </row>
    <row r="13" spans="2:11" ht="13.5" customHeight="1" x14ac:dyDescent="0.3">
      <c r="B13" s="205"/>
      <c r="C13" s="205"/>
      <c r="D13" s="205"/>
      <c r="E13" s="205"/>
      <c r="F13" s="205"/>
      <c r="G13" s="205"/>
      <c r="H13" s="205"/>
      <c r="I13" s="205"/>
      <c r="J13" s="205"/>
      <c r="K13" s="205"/>
    </row>
    <row r="15" spans="2:11" ht="13.5" customHeight="1" x14ac:dyDescent="0.3">
      <c r="B15" s="208" t="s">
        <v>5</v>
      </c>
      <c r="C15" s="208"/>
      <c r="D15" s="208"/>
      <c r="E15" s="208"/>
      <c r="F15" s="208"/>
      <c r="G15" s="208"/>
      <c r="H15" s="208"/>
      <c r="I15" s="208"/>
      <c r="J15" s="208"/>
      <c r="K15" s="208"/>
    </row>
    <row r="16" spans="2:11" ht="13.5" customHeight="1" x14ac:dyDescent="0.3">
      <c r="B16" s="205" t="s">
        <v>6</v>
      </c>
      <c r="C16" s="205"/>
      <c r="D16" s="205"/>
      <c r="E16" s="205"/>
      <c r="F16" s="205"/>
      <c r="G16" s="205"/>
      <c r="H16" s="205"/>
      <c r="I16" s="205"/>
      <c r="J16" s="205"/>
      <c r="K16" s="205"/>
    </row>
    <row r="17" spans="2:11" ht="13.5" customHeight="1" x14ac:dyDescent="0.3">
      <c r="B17" s="205"/>
      <c r="C17" s="205"/>
      <c r="D17" s="205"/>
      <c r="E17" s="205"/>
      <c r="F17" s="205"/>
      <c r="G17" s="205"/>
      <c r="H17" s="205"/>
      <c r="I17" s="205"/>
      <c r="J17" s="205"/>
      <c r="K17" s="205"/>
    </row>
    <row r="18" spans="2:11" ht="13.5" customHeight="1" x14ac:dyDescent="0.3">
      <c r="B18" s="205"/>
      <c r="C18" s="205"/>
      <c r="D18" s="205"/>
      <c r="E18" s="205"/>
      <c r="F18" s="205"/>
      <c r="G18" s="205"/>
      <c r="H18" s="205"/>
      <c r="I18" s="205"/>
      <c r="J18" s="205"/>
      <c r="K18" s="205"/>
    </row>
    <row r="20" spans="2:11" ht="13.5" customHeight="1" x14ac:dyDescent="0.3">
      <c r="B20" s="209" t="s">
        <v>7</v>
      </c>
      <c r="C20" s="209"/>
      <c r="D20" s="209"/>
      <c r="E20" s="209"/>
      <c r="F20" s="209"/>
      <c r="G20" s="209"/>
      <c r="H20" s="209"/>
      <c r="I20" s="209"/>
      <c r="J20" s="209"/>
      <c r="K20" s="209"/>
    </row>
    <row r="21" spans="2:11" ht="13.5" customHeight="1" x14ac:dyDescent="0.3">
      <c r="B21" s="205" t="s">
        <v>8</v>
      </c>
      <c r="C21" s="205"/>
      <c r="D21" s="205"/>
      <c r="E21" s="205"/>
      <c r="F21" s="205"/>
      <c r="G21" s="205"/>
      <c r="H21" s="205"/>
      <c r="I21" s="205"/>
      <c r="J21" s="205"/>
      <c r="K21" s="205"/>
    </row>
    <row r="22" spans="2:11" ht="13.5" customHeight="1" x14ac:dyDescent="0.3">
      <c r="B22" s="205"/>
      <c r="C22" s="205"/>
      <c r="D22" s="205"/>
      <c r="E22" s="205"/>
      <c r="F22" s="205"/>
      <c r="G22" s="205"/>
      <c r="H22" s="205"/>
      <c r="I22" s="205"/>
      <c r="J22" s="205"/>
      <c r="K22" s="205"/>
    </row>
    <row r="23" spans="2:11" ht="13.5" customHeight="1" x14ac:dyDescent="0.3">
      <c r="B23" s="205"/>
      <c r="C23" s="205"/>
      <c r="D23" s="205"/>
      <c r="E23" s="205"/>
      <c r="F23" s="205"/>
      <c r="G23" s="205"/>
      <c r="H23" s="205"/>
      <c r="I23" s="205"/>
      <c r="J23" s="205"/>
      <c r="K23" s="205"/>
    </row>
    <row r="24" spans="2:11" ht="13.5" customHeight="1" x14ac:dyDescent="0.3">
      <c r="B24" s="205"/>
      <c r="C24" s="205"/>
      <c r="D24" s="205"/>
      <c r="E24" s="205"/>
      <c r="F24" s="205"/>
      <c r="G24" s="205"/>
      <c r="H24" s="205"/>
      <c r="I24" s="205"/>
      <c r="J24" s="205"/>
      <c r="K24" s="205"/>
    </row>
    <row r="26" spans="2:11" ht="13.5" customHeight="1" x14ac:dyDescent="0.3">
      <c r="B26" s="209" t="s">
        <v>9</v>
      </c>
      <c r="C26" s="209"/>
      <c r="D26" s="209"/>
      <c r="E26" s="209"/>
      <c r="F26" s="209"/>
      <c r="G26" s="209"/>
      <c r="H26" s="209"/>
      <c r="I26" s="209"/>
      <c r="J26" s="209"/>
      <c r="K26" s="209"/>
    </row>
    <row r="27" spans="2:11" ht="14.25" customHeight="1" x14ac:dyDescent="0.3">
      <c r="B27" s="205" t="s">
        <v>10</v>
      </c>
      <c r="C27" s="205"/>
      <c r="D27" s="205"/>
      <c r="E27" s="205"/>
      <c r="F27" s="205"/>
      <c r="G27" s="205"/>
      <c r="H27" s="205"/>
      <c r="I27" s="205"/>
      <c r="J27" s="205"/>
      <c r="K27" s="205"/>
    </row>
    <row r="28" spans="2:11" ht="13.5" customHeight="1" x14ac:dyDescent="0.3">
      <c r="B28" s="205"/>
      <c r="C28" s="205"/>
      <c r="D28" s="205"/>
      <c r="E28" s="205"/>
      <c r="F28" s="205"/>
      <c r="G28" s="205"/>
      <c r="H28" s="205"/>
      <c r="I28" s="205"/>
      <c r="J28" s="205"/>
      <c r="K28" s="205"/>
    </row>
    <row r="29" spans="2:11" ht="13.5" customHeight="1" x14ac:dyDescent="0.3">
      <c r="B29" s="205"/>
      <c r="C29" s="205"/>
      <c r="D29" s="205"/>
      <c r="E29" s="205"/>
      <c r="F29" s="205"/>
      <c r="G29" s="205"/>
      <c r="H29" s="205"/>
      <c r="I29" s="205"/>
      <c r="J29" s="205"/>
      <c r="K29" s="205"/>
    </row>
    <row r="30" spans="2:11" ht="13.5" customHeight="1" x14ac:dyDescent="0.3">
      <c r="B30" s="205"/>
      <c r="C30" s="205"/>
      <c r="D30" s="205"/>
      <c r="E30" s="205"/>
      <c r="F30" s="205"/>
      <c r="G30" s="205"/>
      <c r="H30" s="205"/>
      <c r="I30" s="205"/>
      <c r="J30" s="205"/>
      <c r="K30" s="205"/>
    </row>
  </sheetData>
  <mergeCells count="11">
    <mergeCell ref="B27:K30"/>
    <mergeCell ref="B15:K15"/>
    <mergeCell ref="B16:K18"/>
    <mergeCell ref="B20:K20"/>
    <mergeCell ref="B21:K24"/>
    <mergeCell ref="B26:K26"/>
    <mergeCell ref="B5:K5"/>
    <mergeCell ref="B6:K7"/>
    <mergeCell ref="B9:K9"/>
    <mergeCell ref="B10:K10"/>
    <mergeCell ref="B11:K13"/>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33"/>
  <sheetViews>
    <sheetView zoomScale="84" zoomScaleNormal="95" workbookViewId="0">
      <selection activeCell="A2" sqref="A2"/>
    </sheetView>
  </sheetViews>
  <sheetFormatPr defaultColWidth="8.7265625" defaultRowHeight="14.5" x14ac:dyDescent="0.35"/>
  <cols>
    <col min="1" max="1" width="4.453125" customWidth="1"/>
    <col min="2" max="2" width="52.36328125" customWidth="1"/>
  </cols>
  <sheetData>
    <row r="2" spans="2:14" ht="16.5" customHeight="1" x14ac:dyDescent="0.35">
      <c r="B2" s="3" t="s">
        <v>11</v>
      </c>
      <c r="C2" s="4">
        <v>45078</v>
      </c>
      <c r="D2" s="4">
        <v>45170</v>
      </c>
      <c r="E2" s="4">
        <v>45261</v>
      </c>
      <c r="F2" s="4">
        <v>45352</v>
      </c>
      <c r="G2" s="4">
        <v>45444</v>
      </c>
      <c r="H2" s="4">
        <v>45536</v>
      </c>
      <c r="I2" s="4">
        <v>45627</v>
      </c>
      <c r="J2" s="4">
        <v>45717</v>
      </c>
      <c r="K2" s="4">
        <v>45809</v>
      </c>
      <c r="L2" s="4">
        <v>45901</v>
      </c>
      <c r="M2" s="4">
        <v>45992</v>
      </c>
      <c r="N2" s="4">
        <v>46082</v>
      </c>
    </row>
    <row r="3" spans="2:14" ht="16.5" customHeight="1" x14ac:dyDescent="0.35">
      <c r="B3" s="5" t="s">
        <v>12</v>
      </c>
      <c r="C3" s="6">
        <v>0.35149999999999998</v>
      </c>
      <c r="D3" s="6">
        <v>0.3513</v>
      </c>
      <c r="E3" s="6">
        <v>0.35099999999999998</v>
      </c>
      <c r="F3" s="6">
        <v>0.3508</v>
      </c>
      <c r="G3" s="6">
        <v>0.35039999999999999</v>
      </c>
      <c r="H3" s="6">
        <v>0.35020000000000001</v>
      </c>
      <c r="I3" s="6">
        <v>0.35010000000000002</v>
      </c>
      <c r="J3" s="6">
        <v>0.35</v>
      </c>
      <c r="K3" s="6">
        <v>0.34989999999999999</v>
      </c>
      <c r="L3" s="6">
        <v>0.3498</v>
      </c>
      <c r="M3" s="6">
        <v>0.34970000000000001</v>
      </c>
      <c r="N3" s="6">
        <v>0.34970000000000001</v>
      </c>
    </row>
    <row r="4" spans="2:14" ht="16.5" customHeight="1" x14ac:dyDescent="0.35">
      <c r="B4" s="7" t="s">
        <v>13</v>
      </c>
      <c r="C4" s="8">
        <v>25.45</v>
      </c>
      <c r="D4" s="8">
        <v>25.43</v>
      </c>
      <c r="E4" s="8">
        <v>25.41</v>
      </c>
      <c r="F4" s="8">
        <v>25.39</v>
      </c>
      <c r="G4" s="8">
        <v>25.36</v>
      </c>
      <c r="H4" s="8">
        <v>25.35</v>
      </c>
      <c r="I4" s="8">
        <v>25.34</v>
      </c>
      <c r="J4" s="8">
        <v>25.33</v>
      </c>
      <c r="K4" s="8">
        <v>25.33</v>
      </c>
      <c r="L4" s="8">
        <v>25.32</v>
      </c>
      <c r="M4" s="8">
        <v>25.32</v>
      </c>
      <c r="N4" s="8">
        <v>25.31</v>
      </c>
    </row>
    <row r="5" spans="2:14" ht="16.5" customHeight="1" x14ac:dyDescent="0.35">
      <c r="B5" s="7" t="s">
        <v>14</v>
      </c>
      <c r="C5" s="8">
        <v>9.67</v>
      </c>
      <c r="D5" s="8">
        <v>9.66</v>
      </c>
      <c r="E5" s="8">
        <v>9.65</v>
      </c>
      <c r="F5" s="8">
        <v>9.65</v>
      </c>
      <c r="G5" s="8">
        <v>9.64</v>
      </c>
      <c r="H5" s="8"/>
      <c r="I5" s="8"/>
      <c r="J5" s="8"/>
      <c r="K5" s="8"/>
      <c r="L5" s="8"/>
      <c r="M5" s="8"/>
      <c r="N5" s="8"/>
    </row>
    <row r="6" spans="2:14" ht="16.5" customHeight="1" x14ac:dyDescent="0.35">
      <c r="B6" s="7" t="s">
        <v>15</v>
      </c>
      <c r="C6" s="8"/>
      <c r="D6" s="8"/>
      <c r="E6" s="8"/>
      <c r="F6" s="8"/>
      <c r="G6" s="8"/>
      <c r="H6" s="8">
        <v>9.6300000000000008</v>
      </c>
      <c r="I6" s="8">
        <v>9.6300000000000008</v>
      </c>
      <c r="J6" s="8">
        <v>9.6300000000000008</v>
      </c>
      <c r="K6" s="8">
        <v>9.6199999999999992</v>
      </c>
      <c r="L6" s="8"/>
      <c r="M6" s="8"/>
      <c r="N6" s="8"/>
    </row>
    <row r="7" spans="2:14" ht="16.5" customHeight="1" x14ac:dyDescent="0.35">
      <c r="B7" s="7" t="s">
        <v>16</v>
      </c>
      <c r="C7" s="8"/>
      <c r="D7" s="8"/>
      <c r="E7" s="8"/>
      <c r="F7" s="8"/>
      <c r="G7" s="8"/>
      <c r="H7" s="8"/>
      <c r="I7" s="8"/>
      <c r="J7" s="8"/>
      <c r="K7" s="8"/>
      <c r="L7" s="8">
        <v>9.6199999999999992</v>
      </c>
      <c r="M7" s="8"/>
      <c r="N7" s="8"/>
    </row>
    <row r="8" spans="2:14" ht="16.5" customHeight="1" x14ac:dyDescent="0.35">
      <c r="B8" s="7" t="s">
        <v>17</v>
      </c>
      <c r="C8" s="8"/>
      <c r="D8" s="8"/>
      <c r="E8" s="8"/>
      <c r="F8" s="8"/>
      <c r="G8" s="8"/>
      <c r="H8" s="8"/>
      <c r="I8" s="8"/>
      <c r="J8" s="8"/>
      <c r="K8" s="8"/>
      <c r="L8" s="8"/>
      <c r="M8" s="8">
        <v>9.6199999999999992</v>
      </c>
      <c r="N8" s="8">
        <v>9.6199999999999992</v>
      </c>
    </row>
    <row r="9" spans="2:14" ht="16.5" customHeight="1" x14ac:dyDescent="0.35">
      <c r="B9" s="7" t="s">
        <v>18</v>
      </c>
      <c r="C9" s="8">
        <v>0.02</v>
      </c>
      <c r="D9" s="8">
        <v>0.02</v>
      </c>
      <c r="E9" s="8">
        <v>0.02</v>
      </c>
      <c r="F9" s="8">
        <v>0.02</v>
      </c>
      <c r="G9" s="8">
        <v>0.02</v>
      </c>
      <c r="H9" s="8">
        <v>0.02</v>
      </c>
      <c r="I9" s="8">
        <v>0.02</v>
      </c>
      <c r="J9" s="8">
        <v>0.02</v>
      </c>
      <c r="K9" s="8">
        <v>0.02</v>
      </c>
      <c r="L9" s="8">
        <v>0.02</v>
      </c>
      <c r="M9" s="8">
        <v>0.02</v>
      </c>
      <c r="N9" s="8"/>
    </row>
    <row r="10" spans="2:14" ht="16.5" customHeight="1" x14ac:dyDescent="0.35">
      <c r="B10" s="7" t="s">
        <v>19</v>
      </c>
      <c r="C10" s="8">
        <v>0.02</v>
      </c>
      <c r="D10" s="8">
        <v>0.02</v>
      </c>
      <c r="E10" s="8">
        <v>0.02</v>
      </c>
      <c r="F10" s="8">
        <v>0.02</v>
      </c>
      <c r="G10" s="8">
        <v>0.02</v>
      </c>
      <c r="H10" s="8">
        <v>0.02</v>
      </c>
      <c r="I10" s="8">
        <v>0.02</v>
      </c>
      <c r="J10" s="8">
        <v>0.02</v>
      </c>
      <c r="K10" s="8">
        <v>0.02</v>
      </c>
      <c r="L10" s="8">
        <v>0.02</v>
      </c>
      <c r="M10" s="8">
        <v>0.02</v>
      </c>
      <c r="N10" s="8">
        <v>0.02</v>
      </c>
    </row>
    <row r="11" spans="2:14" ht="16.5" customHeight="1" x14ac:dyDescent="0.35">
      <c r="B11" s="7" t="s">
        <v>20</v>
      </c>
      <c r="C11" s="8"/>
      <c r="D11" s="8"/>
      <c r="E11" s="8"/>
      <c r="F11" s="8"/>
      <c r="G11" s="8"/>
      <c r="H11" s="8"/>
      <c r="I11" s="8"/>
      <c r="J11" s="8"/>
      <c r="K11" s="8"/>
      <c r="L11" s="8"/>
      <c r="M11" s="8"/>
      <c r="N11" s="8">
        <v>0.02</v>
      </c>
    </row>
    <row r="12" spans="2:14" ht="16.5" customHeight="1" x14ac:dyDescent="0.35">
      <c r="B12" s="5" t="s">
        <v>21</v>
      </c>
      <c r="C12" s="6">
        <v>0.25690000000000002</v>
      </c>
      <c r="D12" s="6">
        <v>0.26219999999999999</v>
      </c>
      <c r="E12" s="6">
        <v>0.24579999999999999</v>
      </c>
      <c r="F12" s="6">
        <v>0.24149999999999999</v>
      </c>
      <c r="G12" s="6">
        <v>0.23269999999999999</v>
      </c>
      <c r="H12" s="6">
        <v>0.23669999999999999</v>
      </c>
      <c r="I12" s="6">
        <v>0.2419</v>
      </c>
      <c r="J12" s="6">
        <v>0.22950000000000001</v>
      </c>
      <c r="K12" s="6">
        <v>0.23280000000000001</v>
      </c>
      <c r="L12" s="6">
        <v>0.20599999999999999</v>
      </c>
      <c r="M12" s="6">
        <v>0.1794</v>
      </c>
      <c r="N12" s="6">
        <v>0.18590000000000001</v>
      </c>
    </row>
    <row r="13" spans="2:14" ht="16.5" customHeight="1" x14ac:dyDescent="0.35">
      <c r="B13" s="7" t="s">
        <v>22</v>
      </c>
      <c r="C13" s="8">
        <v>2.15</v>
      </c>
      <c r="D13" s="8">
        <v>2.27</v>
      </c>
      <c r="E13" s="8">
        <v>1.78</v>
      </c>
      <c r="F13" s="8">
        <v>1.67</v>
      </c>
      <c r="G13" s="8">
        <v>1.53</v>
      </c>
      <c r="H13" s="8">
        <v>1.53</v>
      </c>
      <c r="I13" s="8">
        <v>1.45</v>
      </c>
      <c r="J13" s="8">
        <v>1.39</v>
      </c>
      <c r="K13" s="8">
        <v>1.3</v>
      </c>
      <c r="L13" s="8">
        <v>1.03</v>
      </c>
      <c r="M13" s="8"/>
      <c r="N13" s="8"/>
    </row>
    <row r="14" spans="2:14" ht="16.5" customHeight="1" x14ac:dyDescent="0.35">
      <c r="B14" s="7" t="s">
        <v>23</v>
      </c>
      <c r="C14" s="8">
        <v>2.11</v>
      </c>
      <c r="D14" s="8">
        <v>2.0299999999999998</v>
      </c>
      <c r="E14" s="8">
        <v>1.42</v>
      </c>
      <c r="F14" s="8">
        <v>1.32</v>
      </c>
      <c r="G14" s="8">
        <v>1.64</v>
      </c>
      <c r="H14" s="8">
        <v>1.32</v>
      </c>
      <c r="I14" s="8">
        <v>1.1100000000000001</v>
      </c>
      <c r="J14" s="8">
        <v>1.06</v>
      </c>
      <c r="K14" s="8">
        <v>1.18</v>
      </c>
      <c r="L14" s="8">
        <v>1.19</v>
      </c>
      <c r="M14" s="8">
        <v>1.17</v>
      </c>
      <c r="N14" s="8"/>
    </row>
    <row r="15" spans="2:14" ht="16.5" customHeight="1" x14ac:dyDescent="0.35">
      <c r="B15" s="5" t="s">
        <v>24</v>
      </c>
      <c r="C15" s="6">
        <v>0.26860000000000001</v>
      </c>
      <c r="D15" s="6">
        <v>0.27029999999999998</v>
      </c>
      <c r="E15" s="6">
        <v>0.28910000000000002</v>
      </c>
      <c r="F15" s="6">
        <v>0.29420000000000002</v>
      </c>
      <c r="G15" s="6">
        <v>0.30659999999999998</v>
      </c>
      <c r="H15" s="6">
        <v>0.309</v>
      </c>
      <c r="I15" s="6">
        <v>0.30730000000000002</v>
      </c>
      <c r="J15" s="6">
        <v>0.32129999999999997</v>
      </c>
      <c r="K15" s="6">
        <v>0.32129999999999997</v>
      </c>
      <c r="L15" s="6">
        <v>0.34639999999999999</v>
      </c>
      <c r="M15" s="6">
        <v>0.37790000000000001</v>
      </c>
      <c r="N15" s="6">
        <v>0.37340000000000001</v>
      </c>
    </row>
    <row r="16" spans="2:14" ht="16.5" customHeight="1" x14ac:dyDescent="0.35">
      <c r="B16" s="7" t="s">
        <v>25</v>
      </c>
      <c r="C16" s="8">
        <v>9.4700000000000006</v>
      </c>
      <c r="D16" s="8">
        <v>9.64</v>
      </c>
      <c r="E16" s="8">
        <v>9.64</v>
      </c>
      <c r="F16" s="8">
        <v>10.050000000000001</v>
      </c>
      <c r="G16" s="8">
        <v>10.41</v>
      </c>
      <c r="H16" s="8">
        <v>10.64</v>
      </c>
      <c r="I16" s="8">
        <v>10.14</v>
      </c>
      <c r="J16" s="8">
        <v>10.14</v>
      </c>
      <c r="K16" s="8">
        <v>10.31</v>
      </c>
      <c r="L16" s="8">
        <v>11.04</v>
      </c>
      <c r="M16" s="8">
        <v>11.49</v>
      </c>
      <c r="N16" s="8">
        <v>11.44</v>
      </c>
    </row>
    <row r="17" spans="2:14" ht="16.5" customHeight="1" x14ac:dyDescent="0.35">
      <c r="B17" s="7" t="s">
        <v>26</v>
      </c>
      <c r="C17" s="8">
        <v>3.94</v>
      </c>
      <c r="D17" s="8">
        <v>3.35</v>
      </c>
      <c r="E17" s="8">
        <v>3.44</v>
      </c>
      <c r="F17" s="8">
        <v>3.54</v>
      </c>
      <c r="G17" s="8">
        <v>3.78</v>
      </c>
      <c r="H17" s="8">
        <v>3.97</v>
      </c>
      <c r="I17" s="8">
        <v>3.92</v>
      </c>
      <c r="J17" s="8">
        <v>3.91</v>
      </c>
      <c r="K17" s="8">
        <v>3.84</v>
      </c>
      <c r="L17" s="8">
        <v>4.2</v>
      </c>
      <c r="M17" s="8">
        <v>4.6900000000000004</v>
      </c>
      <c r="N17" s="8">
        <v>4.6900000000000004</v>
      </c>
    </row>
    <row r="18" spans="2:14" ht="16.5" customHeight="1" x14ac:dyDescent="0.35">
      <c r="B18" s="7" t="s">
        <v>27</v>
      </c>
      <c r="C18" s="8"/>
      <c r="D18" s="8"/>
      <c r="E18" s="8"/>
      <c r="F18" s="8"/>
      <c r="G18" s="8"/>
      <c r="H18" s="8"/>
      <c r="I18" s="8">
        <v>1.92</v>
      </c>
      <c r="J18" s="8">
        <v>1.95</v>
      </c>
      <c r="K18" s="8">
        <v>1.91</v>
      </c>
      <c r="L18" s="8">
        <v>2.19</v>
      </c>
      <c r="M18" s="8">
        <v>2.4300000000000002</v>
      </c>
      <c r="N18" s="8">
        <v>2.5299999999999998</v>
      </c>
    </row>
    <row r="19" spans="2:14" ht="16.5" customHeight="1" x14ac:dyDescent="0.35">
      <c r="B19" s="7" t="s">
        <v>28</v>
      </c>
      <c r="C19" s="8">
        <v>1.84</v>
      </c>
      <c r="D19" s="8">
        <v>2.02</v>
      </c>
      <c r="E19" s="8">
        <v>2.72</v>
      </c>
      <c r="F19" s="8">
        <v>2.33</v>
      </c>
      <c r="G19" s="8">
        <v>2.1</v>
      </c>
      <c r="H19" s="8">
        <v>1.89</v>
      </c>
      <c r="I19" s="8"/>
      <c r="J19" s="8"/>
      <c r="K19" s="8"/>
      <c r="L19" s="8"/>
      <c r="M19" s="8"/>
      <c r="N19" s="8"/>
    </row>
    <row r="20" spans="2:14" ht="16.5" customHeight="1" x14ac:dyDescent="0.35">
      <c r="B20" s="7" t="s">
        <v>29</v>
      </c>
      <c r="C20" s="8"/>
      <c r="D20" s="8"/>
      <c r="E20" s="8"/>
      <c r="F20" s="8"/>
      <c r="G20" s="8"/>
      <c r="H20" s="8">
        <v>1.82</v>
      </c>
      <c r="I20" s="8">
        <v>1.93</v>
      </c>
      <c r="J20" s="8">
        <v>2.4500000000000002</v>
      </c>
      <c r="K20" s="8">
        <v>2.2799999999999998</v>
      </c>
      <c r="L20" s="8">
        <v>1.93</v>
      </c>
      <c r="M20" s="8">
        <v>2.1800000000000002</v>
      </c>
      <c r="N20" s="8">
        <v>1.8</v>
      </c>
    </row>
    <row r="21" spans="2:14" ht="16.5" customHeight="1" x14ac:dyDescent="0.35">
      <c r="B21" s="7" t="s">
        <v>30</v>
      </c>
      <c r="C21" s="8"/>
      <c r="D21" s="8"/>
      <c r="E21" s="8"/>
      <c r="F21" s="8"/>
      <c r="G21" s="8"/>
      <c r="H21" s="8"/>
      <c r="I21" s="8"/>
      <c r="J21" s="8"/>
      <c r="K21" s="8"/>
      <c r="L21" s="8">
        <v>1.78</v>
      </c>
      <c r="M21" s="8">
        <v>1.79</v>
      </c>
      <c r="N21" s="8">
        <v>1.79</v>
      </c>
    </row>
    <row r="22" spans="2:14" ht="16.5" customHeight="1" x14ac:dyDescent="0.35">
      <c r="B22" s="7" t="s">
        <v>30</v>
      </c>
      <c r="C22" s="8"/>
      <c r="D22" s="8"/>
      <c r="E22" s="8"/>
      <c r="F22" s="8"/>
      <c r="G22" s="8"/>
      <c r="H22" s="8"/>
      <c r="I22" s="8"/>
      <c r="J22" s="8">
        <v>1.4</v>
      </c>
      <c r="K22" s="8">
        <v>1.54</v>
      </c>
      <c r="L22" s="8"/>
      <c r="M22" s="8"/>
      <c r="N22" s="8"/>
    </row>
    <row r="23" spans="2:14" ht="16.5" customHeight="1" x14ac:dyDescent="0.35">
      <c r="B23" s="7" t="s">
        <v>31</v>
      </c>
      <c r="C23" s="8"/>
      <c r="D23" s="8"/>
      <c r="E23" s="8"/>
      <c r="F23" s="8"/>
      <c r="G23" s="8"/>
      <c r="H23" s="8">
        <v>1.26</v>
      </c>
      <c r="I23" s="8">
        <v>1.46</v>
      </c>
      <c r="J23" s="8">
        <v>1.49</v>
      </c>
      <c r="K23" s="8">
        <v>1.28</v>
      </c>
      <c r="L23" s="8">
        <v>1.3</v>
      </c>
      <c r="M23" s="8">
        <v>1.39</v>
      </c>
      <c r="N23" s="8">
        <v>1.44</v>
      </c>
    </row>
    <row r="24" spans="2:14" ht="16.5" customHeight="1" x14ac:dyDescent="0.35">
      <c r="B24" s="7" t="s">
        <v>32</v>
      </c>
      <c r="C24" s="8">
        <v>1.3</v>
      </c>
      <c r="D24" s="8">
        <v>1.1299999999999999</v>
      </c>
      <c r="E24" s="8">
        <v>1.29</v>
      </c>
      <c r="F24" s="8">
        <v>1.37</v>
      </c>
      <c r="G24" s="8">
        <v>1.53</v>
      </c>
      <c r="H24" s="8">
        <v>1.42</v>
      </c>
      <c r="I24" s="8">
        <v>1</v>
      </c>
      <c r="J24" s="8">
        <v>1.05</v>
      </c>
      <c r="K24" s="8"/>
      <c r="L24" s="8"/>
      <c r="M24" s="8"/>
      <c r="N24" s="8"/>
    </row>
    <row r="25" spans="2:14" ht="16.5" customHeight="1" x14ac:dyDescent="0.35">
      <c r="B25" s="7" t="s">
        <v>33</v>
      </c>
      <c r="C25" s="8">
        <v>1.1200000000000001</v>
      </c>
      <c r="D25" s="8">
        <v>1.01</v>
      </c>
      <c r="E25" s="8">
        <v>1.1200000000000001</v>
      </c>
      <c r="F25" s="8">
        <v>1.21</v>
      </c>
      <c r="G25" s="8">
        <v>1.08</v>
      </c>
      <c r="H25" s="8"/>
      <c r="I25" s="8">
        <v>1.21</v>
      </c>
      <c r="J25" s="8">
        <v>1.27</v>
      </c>
      <c r="K25" s="8">
        <v>1.17</v>
      </c>
      <c r="L25" s="8">
        <v>1.33</v>
      </c>
      <c r="M25" s="8">
        <v>1.47</v>
      </c>
      <c r="N25" s="8">
        <v>1.83</v>
      </c>
    </row>
    <row r="26" spans="2:14" ht="16.5" customHeight="1" x14ac:dyDescent="0.35">
      <c r="B26" s="7" t="s">
        <v>34</v>
      </c>
      <c r="C26" s="8"/>
      <c r="D26" s="8"/>
      <c r="E26" s="8"/>
      <c r="F26" s="8"/>
      <c r="G26" s="8"/>
      <c r="H26" s="8"/>
      <c r="I26" s="8"/>
      <c r="J26" s="8"/>
      <c r="K26" s="8">
        <v>1.01</v>
      </c>
      <c r="L26" s="8">
        <v>1.27</v>
      </c>
      <c r="M26" s="8">
        <v>1.33</v>
      </c>
      <c r="N26" s="8">
        <v>1.3</v>
      </c>
    </row>
    <row r="27" spans="2:14" ht="16.5" customHeight="1" x14ac:dyDescent="0.35">
      <c r="B27" s="7" t="s">
        <v>35</v>
      </c>
      <c r="C27" s="8">
        <v>1.18</v>
      </c>
      <c r="D27" s="8">
        <v>1.1000000000000001</v>
      </c>
      <c r="E27" s="8">
        <v>1.18</v>
      </c>
      <c r="F27" s="8">
        <v>1.24</v>
      </c>
      <c r="G27" s="8">
        <v>1.28</v>
      </c>
      <c r="H27" s="8"/>
      <c r="I27" s="8"/>
      <c r="J27" s="8"/>
      <c r="K27" s="8"/>
      <c r="L27" s="8"/>
      <c r="M27" s="8"/>
      <c r="N27" s="8"/>
    </row>
    <row r="28" spans="2:14" ht="16.5" customHeight="1" x14ac:dyDescent="0.35">
      <c r="B28" s="7" t="s">
        <v>36</v>
      </c>
      <c r="C28" s="8"/>
      <c r="D28" s="8"/>
      <c r="E28" s="8"/>
      <c r="F28" s="8"/>
      <c r="G28" s="8"/>
      <c r="H28" s="8"/>
      <c r="I28" s="8"/>
      <c r="J28" s="8"/>
      <c r="K28" s="8"/>
      <c r="L28" s="8">
        <v>1.06</v>
      </c>
      <c r="M28" s="8">
        <v>1.08</v>
      </c>
      <c r="N28" s="8">
        <v>1.34</v>
      </c>
    </row>
    <row r="29" spans="2:14" ht="16.5" customHeight="1" x14ac:dyDescent="0.35">
      <c r="B29" s="7" t="s">
        <v>37</v>
      </c>
      <c r="C29" s="8"/>
      <c r="D29" s="8"/>
      <c r="E29" s="8"/>
      <c r="F29" s="8">
        <v>1.04</v>
      </c>
      <c r="G29" s="8">
        <v>1.07</v>
      </c>
      <c r="H29" s="8">
        <v>1.04</v>
      </c>
      <c r="I29" s="8">
        <v>1.08</v>
      </c>
      <c r="J29" s="8">
        <v>1.22</v>
      </c>
      <c r="K29" s="8">
        <v>1.18</v>
      </c>
      <c r="L29" s="8">
        <v>1.23</v>
      </c>
      <c r="M29" s="8">
        <v>1.3</v>
      </c>
      <c r="N29" s="8"/>
    </row>
    <row r="30" spans="2:14" ht="16.5" customHeight="1" x14ac:dyDescent="0.35">
      <c r="B30" s="7" t="s">
        <v>38</v>
      </c>
      <c r="C30" s="8"/>
      <c r="D30" s="8"/>
      <c r="E30" s="8"/>
      <c r="F30" s="8"/>
      <c r="G30" s="8">
        <v>1.0900000000000001</v>
      </c>
      <c r="H30" s="8"/>
      <c r="I30" s="8"/>
      <c r="J30" s="8"/>
      <c r="K30" s="8"/>
      <c r="L30" s="8"/>
      <c r="M30" s="8"/>
      <c r="N30" s="8"/>
    </row>
    <row r="31" spans="2:14" ht="16.5" customHeight="1" x14ac:dyDescent="0.35">
      <c r="B31" s="5" t="s">
        <v>39</v>
      </c>
      <c r="C31" s="6">
        <v>1.6999999999999999E-3</v>
      </c>
      <c r="D31" s="6">
        <v>1.6999999999999999E-3</v>
      </c>
      <c r="E31" s="6">
        <v>1.6999999999999999E-3</v>
      </c>
      <c r="F31" s="6">
        <v>1.6999999999999999E-3</v>
      </c>
      <c r="G31" s="6">
        <v>1.6999999999999999E-3</v>
      </c>
      <c r="H31" s="6">
        <v>1.6999999999999999E-3</v>
      </c>
      <c r="I31" s="6">
        <v>1.6999999999999999E-3</v>
      </c>
      <c r="J31" s="6">
        <v>1.6999999999999999E-3</v>
      </c>
      <c r="K31" s="6">
        <v>1.6999999999999999E-3</v>
      </c>
      <c r="L31" s="6">
        <v>1.6999999999999999E-3</v>
      </c>
      <c r="M31" s="6">
        <v>1.6999999999999999E-3</v>
      </c>
      <c r="N31" s="6">
        <v>1.6999999999999999E-3</v>
      </c>
    </row>
    <row r="32" spans="2:14" ht="16.5" customHeight="1" x14ac:dyDescent="0.35">
      <c r="B32" s="5" t="s">
        <v>40</v>
      </c>
      <c r="C32" s="6">
        <v>0.1211</v>
      </c>
      <c r="D32" s="6">
        <v>0.1144</v>
      </c>
      <c r="E32" s="6">
        <v>0.11219999999999999</v>
      </c>
      <c r="F32" s="6">
        <v>0.1116</v>
      </c>
      <c r="G32" s="6">
        <v>0.1084</v>
      </c>
      <c r="H32" s="6">
        <v>0.1023</v>
      </c>
      <c r="I32" s="6">
        <v>9.8799999999999999E-2</v>
      </c>
      <c r="J32" s="6">
        <v>9.74E-2</v>
      </c>
      <c r="K32" s="6">
        <v>9.4299999999999995E-2</v>
      </c>
      <c r="L32" s="6">
        <v>9.6100000000000005E-2</v>
      </c>
      <c r="M32" s="6">
        <v>9.1399999999999995E-2</v>
      </c>
      <c r="N32" s="6">
        <v>8.9399999999999993E-2</v>
      </c>
    </row>
    <row r="33" spans="2:14" ht="16.5" customHeight="1" x14ac:dyDescent="0.35">
      <c r="B33" s="9" t="s">
        <v>41</v>
      </c>
      <c r="C33" s="10">
        <v>929827</v>
      </c>
      <c r="D33" s="10">
        <v>885590</v>
      </c>
      <c r="E33" s="10">
        <v>867373</v>
      </c>
      <c r="F33" s="10">
        <v>848484</v>
      </c>
      <c r="G33" s="10">
        <v>826284</v>
      </c>
      <c r="H33" s="10">
        <v>774997</v>
      </c>
      <c r="I33" s="10">
        <v>761383</v>
      </c>
      <c r="J33" s="10">
        <v>761701</v>
      </c>
      <c r="K33" s="10">
        <v>748176</v>
      </c>
      <c r="L33" s="10">
        <v>766782</v>
      </c>
      <c r="M33" s="10">
        <v>739883</v>
      </c>
      <c r="N33" s="10">
        <v>738055</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B42"/>
  <sheetViews>
    <sheetView topLeftCell="A2" zoomScale="72" zoomScaleNormal="84" workbookViewId="0">
      <selection activeCell="L33" sqref="L33"/>
    </sheetView>
  </sheetViews>
  <sheetFormatPr defaultColWidth="8.7265625" defaultRowHeight="13" x14ac:dyDescent="0.3"/>
  <cols>
    <col min="1" max="1" width="3.54296875" style="11" customWidth="1"/>
    <col min="2" max="2" width="24.08984375" style="11" customWidth="1"/>
    <col min="3" max="8" width="8.7265625" style="11"/>
    <col min="9" max="9" width="4.81640625" style="11" customWidth="1"/>
    <col min="10" max="13" width="8.7265625" style="11"/>
    <col min="14" max="14" width="10.36328125" style="11" customWidth="1"/>
    <col min="15" max="15" width="8.7265625" style="11"/>
    <col min="16" max="16" width="22" style="11" customWidth="1"/>
    <col min="17" max="22" width="8.7265625" style="11"/>
    <col min="23" max="23" width="4.54296875" style="11" customWidth="1"/>
    <col min="24" max="16384" width="8.7265625" style="11"/>
  </cols>
  <sheetData>
    <row r="1" spans="2:28" ht="19" customHeight="1" x14ac:dyDescent="0.3"/>
    <row r="2" spans="2:28" ht="14.25" customHeight="1" x14ac:dyDescent="0.3">
      <c r="B2" s="210" t="s">
        <v>42</v>
      </c>
      <c r="C2" s="210"/>
      <c r="D2" s="210"/>
      <c r="E2" s="210"/>
      <c r="F2" s="210"/>
      <c r="G2" s="210"/>
      <c r="H2" s="210"/>
      <c r="I2" s="210"/>
      <c r="J2" s="210"/>
      <c r="K2" s="210"/>
      <c r="L2" s="210"/>
      <c r="M2" s="210"/>
      <c r="N2" s="210"/>
      <c r="P2" s="210" t="s">
        <v>43</v>
      </c>
      <c r="Q2" s="210"/>
      <c r="R2" s="210"/>
      <c r="S2" s="210"/>
      <c r="T2" s="210"/>
      <c r="U2" s="210"/>
      <c r="V2" s="210"/>
      <c r="W2" s="210"/>
      <c r="X2" s="210"/>
      <c r="Y2" s="210"/>
      <c r="Z2" s="210"/>
      <c r="AA2" s="210"/>
      <c r="AB2" s="210"/>
    </row>
    <row r="3" spans="2:28" ht="16.5" customHeight="1" x14ac:dyDescent="0.3">
      <c r="B3" s="211" t="s">
        <v>44</v>
      </c>
      <c r="C3" s="211"/>
      <c r="D3" s="211"/>
      <c r="E3" s="211"/>
      <c r="F3" s="211"/>
      <c r="G3" s="211"/>
      <c r="H3" s="211"/>
      <c r="I3" s="12"/>
      <c r="J3" s="211" t="s">
        <v>45</v>
      </c>
      <c r="K3" s="211"/>
      <c r="L3" s="211"/>
      <c r="M3" s="211"/>
      <c r="N3" s="211"/>
      <c r="P3" s="211" t="s">
        <v>46</v>
      </c>
      <c r="Q3" s="211"/>
      <c r="R3" s="211"/>
      <c r="S3" s="211"/>
      <c r="T3" s="211"/>
      <c r="U3" s="211"/>
      <c r="V3" s="211"/>
      <c r="W3" s="12"/>
      <c r="X3" s="211" t="s">
        <v>45</v>
      </c>
      <c r="Y3" s="211"/>
      <c r="Z3" s="211"/>
      <c r="AA3" s="211"/>
      <c r="AB3" s="211"/>
    </row>
    <row r="4" spans="2:28" ht="16.5" customHeight="1" x14ac:dyDescent="0.3">
      <c r="B4" s="13" t="s">
        <v>11</v>
      </c>
      <c r="C4" s="14">
        <v>43891</v>
      </c>
      <c r="D4" s="14">
        <v>44256</v>
      </c>
      <c r="E4" s="14">
        <v>44621</v>
      </c>
      <c r="F4" s="14">
        <v>44986</v>
      </c>
      <c r="G4" s="14">
        <v>45352</v>
      </c>
      <c r="H4" s="14">
        <v>45717</v>
      </c>
      <c r="I4" s="15"/>
      <c r="J4" s="14">
        <v>44256</v>
      </c>
      <c r="K4" s="14">
        <v>44621</v>
      </c>
      <c r="L4" s="14">
        <v>44986</v>
      </c>
      <c r="M4" s="14">
        <v>45352</v>
      </c>
      <c r="N4" s="14">
        <v>45717</v>
      </c>
      <c r="P4" s="13" t="s">
        <v>11</v>
      </c>
      <c r="Q4" s="14">
        <v>43891</v>
      </c>
      <c r="R4" s="14">
        <v>44256</v>
      </c>
      <c r="S4" s="14">
        <v>44621</v>
      </c>
      <c r="T4" s="14">
        <v>44986</v>
      </c>
      <c r="U4" s="14">
        <v>45352</v>
      </c>
      <c r="V4" s="14">
        <v>45717</v>
      </c>
      <c r="W4" s="15"/>
      <c r="X4" s="14">
        <v>44256</v>
      </c>
      <c r="Y4" s="14">
        <v>44621</v>
      </c>
      <c r="Z4" s="14">
        <v>44986</v>
      </c>
      <c r="AA4" s="14">
        <v>45352</v>
      </c>
      <c r="AB4" s="14">
        <v>45717</v>
      </c>
    </row>
    <row r="5" spans="2:28" ht="15" customHeight="1" x14ac:dyDescent="0.3">
      <c r="B5" s="16" t="s">
        <v>344</v>
      </c>
      <c r="C5" s="17">
        <v>36868</v>
      </c>
      <c r="D5" s="17">
        <v>37855</v>
      </c>
      <c r="E5" s="17">
        <v>44646</v>
      </c>
      <c r="F5" s="17">
        <v>53290</v>
      </c>
      <c r="G5" s="17">
        <v>51996</v>
      </c>
      <c r="H5" s="17">
        <v>52988</v>
      </c>
      <c r="I5" s="18"/>
      <c r="J5" s="19">
        <f t="shared" ref="J5:J20" si="0">(D5-C5)/C5</f>
        <v>2.6771183682326137E-2</v>
      </c>
      <c r="K5" s="19">
        <f t="shared" ref="K5:K20" si="1">(E5-D5)/D5</f>
        <v>0.17939506009774139</v>
      </c>
      <c r="L5" s="19">
        <f t="shared" ref="L5:L20" si="2">(F5-E5)/E5</f>
        <v>0.19361196971733191</v>
      </c>
      <c r="M5" s="19">
        <f t="shared" ref="M5:M20" si="3">(G5-F5)/F5</f>
        <v>-2.4282229311315445E-2</v>
      </c>
      <c r="N5" s="19">
        <f t="shared" ref="N5:N20" si="4">(H5-G5)/G5</f>
        <v>1.9078390645434266E-2</v>
      </c>
      <c r="P5" s="16" t="s">
        <v>47</v>
      </c>
      <c r="Q5" s="8">
        <v>436</v>
      </c>
      <c r="R5" s="8">
        <v>437</v>
      </c>
      <c r="S5" s="8">
        <v>439</v>
      </c>
      <c r="T5" s="8">
        <v>440</v>
      </c>
      <c r="U5" s="8">
        <v>441</v>
      </c>
      <c r="V5" s="8">
        <v>442</v>
      </c>
      <c r="X5" s="19">
        <f t="shared" ref="X5:AB10" si="5">(R5-Q5)/Q5</f>
        <v>2.2935779816513763E-3</v>
      </c>
      <c r="Y5" s="19">
        <f t="shared" si="5"/>
        <v>4.5766590389016018E-3</v>
      </c>
      <c r="Z5" s="19">
        <f t="shared" si="5"/>
        <v>2.2779043280182231E-3</v>
      </c>
      <c r="AA5" s="19">
        <f t="shared" si="5"/>
        <v>2.2727272727272726E-3</v>
      </c>
      <c r="AB5" s="19">
        <f t="shared" si="5"/>
        <v>2.2675736961451248E-3</v>
      </c>
    </row>
    <row r="6" spans="2:28" ht="15" customHeight="1" x14ac:dyDescent="0.3">
      <c r="B6" s="20" t="s">
        <v>48</v>
      </c>
      <c r="C6" s="6">
        <v>6.1199999999999997E-2</v>
      </c>
      <c r="D6" s="6">
        <v>2.6800000000000001E-2</v>
      </c>
      <c r="E6" s="6">
        <v>0.1794</v>
      </c>
      <c r="F6" s="6">
        <v>0.19359999999999999</v>
      </c>
      <c r="G6" s="6">
        <v>-2.4299999999999999E-2</v>
      </c>
      <c r="H6" s="6">
        <v>1.9099999999999999E-2</v>
      </c>
      <c r="I6" s="21"/>
      <c r="J6" s="19">
        <f t="shared" si="0"/>
        <v>-0.56209150326797386</v>
      </c>
      <c r="K6" s="19">
        <f t="shared" si="1"/>
        <v>5.6940298507462686</v>
      </c>
      <c r="L6" s="19">
        <f t="shared" si="2"/>
        <v>7.9152731326644313E-2</v>
      </c>
      <c r="M6" s="19">
        <f t="shared" si="3"/>
        <v>-1.1255165289256197</v>
      </c>
      <c r="N6" s="19">
        <f t="shared" si="4"/>
        <v>-1.7860082304526748</v>
      </c>
      <c r="P6" s="16" t="s">
        <v>49</v>
      </c>
      <c r="Q6" s="17">
        <v>21377</v>
      </c>
      <c r="R6" s="17">
        <v>24428</v>
      </c>
      <c r="S6" s="17">
        <v>26447</v>
      </c>
      <c r="T6" s="17">
        <v>27484</v>
      </c>
      <c r="U6" s="17">
        <v>26228</v>
      </c>
      <c r="V6" s="17">
        <v>26919</v>
      </c>
      <c r="X6" s="19">
        <f t="shared" si="5"/>
        <v>0.14272348786078495</v>
      </c>
      <c r="Y6" s="19">
        <f t="shared" si="5"/>
        <v>8.2651056165056497E-2</v>
      </c>
      <c r="Z6" s="19">
        <f t="shared" si="5"/>
        <v>3.9210496464627369E-2</v>
      </c>
      <c r="AA6" s="19">
        <f t="shared" si="5"/>
        <v>-4.5699315965652743E-2</v>
      </c>
      <c r="AB6" s="19">
        <f t="shared" si="5"/>
        <v>2.6345889888668598E-2</v>
      </c>
    </row>
    <row r="7" spans="2:28" ht="15" customHeight="1" x14ac:dyDescent="0.3">
      <c r="B7" s="16" t="s">
        <v>345</v>
      </c>
      <c r="C7" s="17">
        <v>31365</v>
      </c>
      <c r="D7" s="17">
        <v>31059</v>
      </c>
      <c r="E7" s="17">
        <v>36626</v>
      </c>
      <c r="F7" s="17">
        <v>45527</v>
      </c>
      <c r="G7" s="17">
        <v>47489</v>
      </c>
      <c r="H7" s="17">
        <v>46024</v>
      </c>
      <c r="I7" s="18"/>
      <c r="J7" s="19">
        <f t="shared" si="0"/>
        <v>-9.7560975609756097E-3</v>
      </c>
      <c r="K7" s="19">
        <f t="shared" si="1"/>
        <v>0.17923951189671269</v>
      </c>
      <c r="L7" s="19">
        <f t="shared" si="2"/>
        <v>0.24302408125375416</v>
      </c>
      <c r="M7" s="19">
        <f t="shared" si="3"/>
        <v>4.3095306082105121E-2</v>
      </c>
      <c r="N7" s="19">
        <f t="shared" si="4"/>
        <v>-3.0849249299837858E-2</v>
      </c>
      <c r="P7" s="16" t="s">
        <v>339</v>
      </c>
      <c r="Q7" s="17">
        <v>3670</v>
      </c>
      <c r="R7" s="17">
        <v>2901</v>
      </c>
      <c r="S7" s="17">
        <v>2618</v>
      </c>
      <c r="T7" s="17">
        <v>2740</v>
      </c>
      <c r="U7" s="17">
        <v>2537</v>
      </c>
      <c r="V7" s="17">
        <v>2025</v>
      </c>
      <c r="X7" s="19">
        <f t="shared" si="5"/>
        <v>-0.20953678474114443</v>
      </c>
      <c r="Y7" s="19">
        <f t="shared" si="5"/>
        <v>-9.7552568079972424E-2</v>
      </c>
      <c r="Z7" s="19">
        <f t="shared" si="5"/>
        <v>4.660045836516425E-2</v>
      </c>
      <c r="AA7" s="19">
        <f t="shared" si="5"/>
        <v>-7.4087591240875911E-2</v>
      </c>
      <c r="AB7" s="19">
        <f t="shared" si="5"/>
        <v>-0.2018131651556957</v>
      </c>
    </row>
    <row r="8" spans="2:28" ht="15" customHeight="1" x14ac:dyDescent="0.3">
      <c r="B8" s="20" t="s">
        <v>50</v>
      </c>
      <c r="C8" s="22">
        <v>0.23</v>
      </c>
      <c r="D8" s="22">
        <v>0.23</v>
      </c>
      <c r="E8" s="22">
        <v>0.26</v>
      </c>
      <c r="F8" s="22">
        <v>0.26</v>
      </c>
      <c r="G8" s="22">
        <v>0.25</v>
      </c>
      <c r="H8" s="22">
        <v>0.23</v>
      </c>
      <c r="I8" s="23"/>
      <c r="J8" s="19">
        <f t="shared" si="0"/>
        <v>0</v>
      </c>
      <c r="K8" s="19">
        <f t="shared" si="1"/>
        <v>0.13043478260869565</v>
      </c>
      <c r="L8" s="19">
        <f t="shared" si="2"/>
        <v>0</v>
      </c>
      <c r="M8" s="19">
        <f t="shared" si="3"/>
        <v>-3.8461538461538491E-2</v>
      </c>
      <c r="N8" s="19">
        <f t="shared" si="4"/>
        <v>-7.999999999999996E-2</v>
      </c>
      <c r="P8" s="20" t="s">
        <v>51</v>
      </c>
      <c r="Q8" s="8">
        <v>179</v>
      </c>
      <c r="R8" s="8">
        <v>166</v>
      </c>
      <c r="S8" s="8">
        <v>142</v>
      </c>
      <c r="T8" s="8">
        <v>129</v>
      </c>
      <c r="U8" s="8">
        <v>102</v>
      </c>
      <c r="V8" s="8">
        <v>0</v>
      </c>
      <c r="X8" s="19">
        <f t="shared" si="5"/>
        <v>-7.2625698324022353E-2</v>
      </c>
      <c r="Y8" s="19">
        <f t="shared" si="5"/>
        <v>-0.14457831325301204</v>
      </c>
      <c r="Z8" s="19">
        <f t="shared" si="5"/>
        <v>-9.154929577464789E-2</v>
      </c>
      <c r="AA8" s="19">
        <f t="shared" si="5"/>
        <v>-0.20930232558139536</v>
      </c>
      <c r="AB8" s="19">
        <f t="shared" si="5"/>
        <v>-1</v>
      </c>
    </row>
    <row r="9" spans="2:28" ht="15" customHeight="1" x14ac:dyDescent="0.3">
      <c r="B9" s="20" t="s">
        <v>52</v>
      </c>
      <c r="C9" s="22">
        <v>0.51</v>
      </c>
      <c r="D9" s="22">
        <v>0.51</v>
      </c>
      <c r="E9" s="22">
        <v>0.5</v>
      </c>
      <c r="F9" s="22">
        <v>0.52</v>
      </c>
      <c r="G9" s="22">
        <v>0.56000000000000005</v>
      </c>
      <c r="H9" s="22">
        <v>0.56000000000000005</v>
      </c>
      <c r="I9" s="23"/>
      <c r="J9" s="19">
        <f t="shared" si="0"/>
        <v>0</v>
      </c>
      <c r="K9" s="19">
        <f t="shared" si="1"/>
        <v>-1.9607843137254919E-2</v>
      </c>
      <c r="L9" s="19">
        <f t="shared" si="2"/>
        <v>4.0000000000000036E-2</v>
      </c>
      <c r="M9" s="19">
        <f t="shared" si="3"/>
        <v>7.6923076923076983E-2</v>
      </c>
      <c r="N9" s="19">
        <f t="shared" si="4"/>
        <v>0</v>
      </c>
      <c r="P9" s="20" t="s">
        <v>53</v>
      </c>
      <c r="Q9" s="17">
        <v>2250</v>
      </c>
      <c r="R9" s="17">
        <v>1496</v>
      </c>
      <c r="S9" s="17">
        <v>1440</v>
      </c>
      <c r="T9" s="17">
        <v>1449</v>
      </c>
      <c r="U9" s="17">
        <v>1428</v>
      </c>
      <c r="V9" s="8">
        <v>471</v>
      </c>
      <c r="X9" s="19">
        <f t="shared" si="5"/>
        <v>-0.33511111111111114</v>
      </c>
      <c r="Y9" s="19">
        <f t="shared" si="5"/>
        <v>-3.7433155080213901E-2</v>
      </c>
      <c r="Z9" s="19">
        <f t="shared" si="5"/>
        <v>6.2500000000000003E-3</v>
      </c>
      <c r="AA9" s="19">
        <f t="shared" si="5"/>
        <v>-1.4492753623188406E-2</v>
      </c>
      <c r="AB9" s="19">
        <f t="shared" si="5"/>
        <v>-0.67016806722689071</v>
      </c>
    </row>
    <row r="10" spans="2:28" ht="15" customHeight="1" x14ac:dyDescent="0.3">
      <c r="B10" s="20" t="s">
        <v>54</v>
      </c>
      <c r="C10" s="22">
        <v>0.11</v>
      </c>
      <c r="D10" s="22">
        <v>0.08</v>
      </c>
      <c r="E10" s="22">
        <v>7.0000000000000007E-2</v>
      </c>
      <c r="F10" s="22">
        <v>0.08</v>
      </c>
      <c r="G10" s="22">
        <v>0.1</v>
      </c>
      <c r="H10" s="22">
        <v>0.08</v>
      </c>
      <c r="I10" s="23"/>
      <c r="J10" s="19">
        <f t="shared" si="0"/>
        <v>-0.27272727272727271</v>
      </c>
      <c r="K10" s="19">
        <f t="shared" si="1"/>
        <v>-0.12499999999999993</v>
      </c>
      <c r="L10" s="19">
        <f t="shared" si="2"/>
        <v>0.14285714285714277</v>
      </c>
      <c r="M10" s="19">
        <f t="shared" si="3"/>
        <v>0.25000000000000006</v>
      </c>
      <c r="N10" s="19">
        <f t="shared" si="4"/>
        <v>-0.20000000000000004</v>
      </c>
      <c r="P10" s="20" t="s">
        <v>55</v>
      </c>
      <c r="Q10" s="17">
        <v>1200</v>
      </c>
      <c r="R10" s="17">
        <v>1208</v>
      </c>
      <c r="S10" s="17">
        <v>1037</v>
      </c>
      <c r="T10" s="17">
        <v>1162</v>
      </c>
      <c r="U10" s="17">
        <v>1006</v>
      </c>
      <c r="V10" s="17">
        <v>1554</v>
      </c>
      <c r="X10" s="19">
        <f t="shared" si="5"/>
        <v>6.6666666666666671E-3</v>
      </c>
      <c r="Y10" s="19">
        <f t="shared" si="5"/>
        <v>-0.14155629139072848</v>
      </c>
      <c r="Z10" s="19">
        <f t="shared" si="5"/>
        <v>0.12054001928640308</v>
      </c>
      <c r="AA10" s="19">
        <f t="shared" si="5"/>
        <v>-0.13425129087779691</v>
      </c>
      <c r="AB10" s="19">
        <f t="shared" si="5"/>
        <v>0.54473161033797213</v>
      </c>
    </row>
    <row r="11" spans="2:28" ht="15" customHeight="1" x14ac:dyDescent="0.3">
      <c r="B11" s="16" t="s">
        <v>56</v>
      </c>
      <c r="C11" s="17">
        <v>5503</v>
      </c>
      <c r="D11" s="17">
        <v>6796</v>
      </c>
      <c r="E11" s="17">
        <v>8020</v>
      </c>
      <c r="F11" s="17">
        <v>7763</v>
      </c>
      <c r="G11" s="17">
        <v>4506</v>
      </c>
      <c r="H11" s="17">
        <v>6964</v>
      </c>
      <c r="I11" s="18"/>
      <c r="J11" s="19">
        <f t="shared" si="0"/>
        <v>0.23496274759222244</v>
      </c>
      <c r="K11" s="19">
        <f t="shared" si="1"/>
        <v>0.18010594467333726</v>
      </c>
      <c r="L11" s="19">
        <f t="shared" si="2"/>
        <v>-3.2044887780548627E-2</v>
      </c>
      <c r="M11" s="19">
        <f t="shared" si="3"/>
        <v>-0.41955429601958005</v>
      </c>
      <c r="N11" s="19">
        <f t="shared" si="4"/>
        <v>0.54549489569462939</v>
      </c>
      <c r="P11" s="20" t="s">
        <v>57</v>
      </c>
      <c r="Q11" s="8">
        <v>42</v>
      </c>
      <c r="R11" s="8">
        <v>31</v>
      </c>
      <c r="S11" s="8">
        <v>0</v>
      </c>
      <c r="T11" s="8">
        <v>0</v>
      </c>
      <c r="U11" s="8">
        <v>0</v>
      </c>
      <c r="V11" s="8">
        <v>0</v>
      </c>
      <c r="X11" s="19">
        <f t="shared" ref="X11:Y14" si="6">(R11-Q11)/Q11</f>
        <v>-0.26190476190476192</v>
      </c>
      <c r="Y11" s="19">
        <f t="shared" si="6"/>
        <v>-1</v>
      </c>
      <c r="Z11" s="19"/>
      <c r="AA11" s="19"/>
      <c r="AB11" s="19"/>
    </row>
    <row r="12" spans="2:28" ht="15" customHeight="1" x14ac:dyDescent="0.3">
      <c r="B12" s="16" t="s">
        <v>58</v>
      </c>
      <c r="C12" s="22">
        <v>0.15</v>
      </c>
      <c r="D12" s="22">
        <v>0.18</v>
      </c>
      <c r="E12" s="22">
        <v>0.18</v>
      </c>
      <c r="F12" s="22">
        <v>0.15</v>
      </c>
      <c r="G12" s="22">
        <v>0.09</v>
      </c>
      <c r="H12" s="22">
        <v>0.13</v>
      </c>
      <c r="I12" s="23"/>
      <c r="J12" s="19">
        <f t="shared" si="0"/>
        <v>0.2</v>
      </c>
      <c r="K12" s="19">
        <f t="shared" si="1"/>
        <v>0</v>
      </c>
      <c r="L12" s="19">
        <f t="shared" si="2"/>
        <v>-0.16666666666666666</v>
      </c>
      <c r="M12" s="19">
        <f t="shared" si="3"/>
        <v>-0.4</v>
      </c>
      <c r="N12" s="19">
        <f t="shared" si="4"/>
        <v>0.44444444444444453</v>
      </c>
      <c r="P12" s="16" t="s">
        <v>340</v>
      </c>
      <c r="Q12" s="17">
        <v>11834</v>
      </c>
      <c r="R12" s="17">
        <v>11836</v>
      </c>
      <c r="S12" s="17">
        <v>14911</v>
      </c>
      <c r="T12" s="17">
        <v>15162</v>
      </c>
      <c r="U12" s="17">
        <v>13943</v>
      </c>
      <c r="V12" s="17">
        <v>14880</v>
      </c>
      <c r="X12" s="19">
        <f t="shared" si="6"/>
        <v>1.6900456312320431E-4</v>
      </c>
      <c r="Y12" s="19">
        <f t="shared" si="6"/>
        <v>0.25980060831361945</v>
      </c>
      <c r="Z12" s="19">
        <f t="shared" ref="Z12:AB14" si="7">(T12-S12)/S12</f>
        <v>1.6833210381597477E-2</v>
      </c>
      <c r="AA12" s="19">
        <f t="shared" si="7"/>
        <v>-8.0398364331882341E-2</v>
      </c>
      <c r="AB12" s="19">
        <f t="shared" si="7"/>
        <v>6.7202180305529657E-2</v>
      </c>
    </row>
    <row r="13" spans="2:28" ht="15" customHeight="1" x14ac:dyDescent="0.3">
      <c r="B13" s="16" t="s">
        <v>346</v>
      </c>
      <c r="C13" s="17">
        <v>1192</v>
      </c>
      <c r="D13" s="8">
        <v>788</v>
      </c>
      <c r="E13" s="17">
        <v>1115</v>
      </c>
      <c r="F13" s="8">
        <v>965</v>
      </c>
      <c r="G13" s="8">
        <v>927</v>
      </c>
      <c r="H13" s="8">
        <v>864</v>
      </c>
      <c r="I13" s="24"/>
      <c r="J13" s="19">
        <f t="shared" si="0"/>
        <v>-0.33892617449664431</v>
      </c>
      <c r="K13" s="19">
        <f t="shared" si="1"/>
        <v>0.4149746192893401</v>
      </c>
      <c r="L13" s="19">
        <f t="shared" si="2"/>
        <v>-0.13452914798206278</v>
      </c>
      <c r="M13" s="19">
        <f t="shared" si="3"/>
        <v>-3.9378238341968914E-2</v>
      </c>
      <c r="N13" s="19">
        <f t="shared" si="4"/>
        <v>-6.7961165048543687E-2</v>
      </c>
      <c r="P13" s="20" t="s">
        <v>59</v>
      </c>
      <c r="Q13" s="8">
        <v>393</v>
      </c>
      <c r="R13" s="8">
        <v>380</v>
      </c>
      <c r="S13" s="8">
        <v>495</v>
      </c>
      <c r="T13" s="8">
        <v>470</v>
      </c>
      <c r="U13" s="8">
        <v>477</v>
      </c>
      <c r="V13" s="8">
        <v>430</v>
      </c>
      <c r="X13" s="19">
        <f t="shared" si="6"/>
        <v>-3.3078880407124679E-2</v>
      </c>
      <c r="Y13" s="19">
        <f t="shared" si="6"/>
        <v>0.30263157894736842</v>
      </c>
      <c r="Z13" s="19">
        <f t="shared" si="7"/>
        <v>-5.0505050505050504E-2</v>
      </c>
      <c r="AA13" s="19">
        <f t="shared" si="7"/>
        <v>1.4893617021276596E-2</v>
      </c>
      <c r="AB13" s="19">
        <f t="shared" si="7"/>
        <v>-9.853249475890985E-2</v>
      </c>
    </row>
    <row r="14" spans="2:28" ht="15" customHeight="1" x14ac:dyDescent="0.3">
      <c r="B14" s="20" t="s">
        <v>60</v>
      </c>
      <c r="C14" s="8">
        <v>8</v>
      </c>
      <c r="D14" s="8">
        <v>1</v>
      </c>
      <c r="E14" s="8">
        <v>6</v>
      </c>
      <c r="F14" s="8">
        <v>4</v>
      </c>
      <c r="G14" s="8">
        <v>2</v>
      </c>
      <c r="H14" s="8">
        <v>454</v>
      </c>
      <c r="I14" s="24"/>
      <c r="J14" s="19">
        <f t="shared" si="0"/>
        <v>-0.875</v>
      </c>
      <c r="K14" s="19">
        <f t="shared" si="1"/>
        <v>5</v>
      </c>
      <c r="L14" s="19">
        <f t="shared" si="2"/>
        <v>-0.33333333333333331</v>
      </c>
      <c r="M14" s="19">
        <f t="shared" si="3"/>
        <v>-0.5</v>
      </c>
      <c r="N14" s="19">
        <f t="shared" si="4"/>
        <v>226</v>
      </c>
      <c r="P14" s="20" t="s">
        <v>61</v>
      </c>
      <c r="Q14" s="17">
        <v>3257</v>
      </c>
      <c r="R14" s="17">
        <v>2785</v>
      </c>
      <c r="S14" s="17">
        <v>4095</v>
      </c>
      <c r="T14" s="17">
        <v>4385</v>
      </c>
      <c r="U14" s="17">
        <v>3785</v>
      </c>
      <c r="V14" s="17">
        <v>4411</v>
      </c>
      <c r="X14" s="19">
        <f t="shared" si="6"/>
        <v>-0.14491863678231501</v>
      </c>
      <c r="Y14" s="19">
        <f t="shared" si="6"/>
        <v>0.47037701974865348</v>
      </c>
      <c r="Z14" s="19">
        <f t="shared" si="7"/>
        <v>7.0818070818070816E-2</v>
      </c>
      <c r="AA14" s="19">
        <f t="shared" si="7"/>
        <v>-0.13683010262257697</v>
      </c>
      <c r="AB14" s="19">
        <f t="shared" si="7"/>
        <v>0.1653896961690885</v>
      </c>
    </row>
    <row r="15" spans="2:28" ht="15" customHeight="1" x14ac:dyDescent="0.3">
      <c r="B15" s="20" t="s">
        <v>62</v>
      </c>
      <c r="C15" s="17">
        <v>1184</v>
      </c>
      <c r="D15" s="8">
        <v>787</v>
      </c>
      <c r="E15" s="17">
        <v>1109</v>
      </c>
      <c r="F15" s="8">
        <v>961</v>
      </c>
      <c r="G15" s="8">
        <v>925</v>
      </c>
      <c r="H15" s="8">
        <v>410</v>
      </c>
      <c r="I15" s="24"/>
      <c r="J15" s="19">
        <f t="shared" si="0"/>
        <v>-0.33530405405405406</v>
      </c>
      <c r="K15" s="19">
        <f t="shared" si="1"/>
        <v>0.40914866581956799</v>
      </c>
      <c r="L15" s="19">
        <f t="shared" si="2"/>
        <v>-0.13345356176735798</v>
      </c>
      <c r="M15" s="19">
        <f t="shared" si="3"/>
        <v>-3.7460978147762745E-2</v>
      </c>
      <c r="N15" s="19">
        <f t="shared" si="4"/>
        <v>-0.55675675675675673</v>
      </c>
      <c r="P15" s="20" t="s">
        <v>63</v>
      </c>
      <c r="Q15" s="8">
        <v>400</v>
      </c>
      <c r="R15" s="8">
        <v>0</v>
      </c>
      <c r="S15" s="8">
        <v>0</v>
      </c>
      <c r="T15" s="8">
        <v>0</v>
      </c>
      <c r="U15" s="8">
        <v>0</v>
      </c>
      <c r="V15" s="8">
        <v>0</v>
      </c>
      <c r="X15" s="19">
        <f t="shared" ref="X15:X20" si="8">(R15-Q15)/Q15</f>
        <v>-1</v>
      </c>
      <c r="Y15" s="19"/>
      <c r="Z15" s="19"/>
      <c r="AA15" s="19"/>
      <c r="AB15" s="19"/>
    </row>
    <row r="16" spans="2:28" ht="15" customHeight="1" x14ac:dyDescent="0.3">
      <c r="B16" s="16" t="s">
        <v>64</v>
      </c>
      <c r="C16" s="8">
        <v>192</v>
      </c>
      <c r="D16" s="8">
        <v>174</v>
      </c>
      <c r="E16" s="8">
        <v>163</v>
      </c>
      <c r="F16" s="8">
        <v>326</v>
      </c>
      <c r="G16" s="8">
        <v>392</v>
      </c>
      <c r="H16" s="8">
        <v>322</v>
      </c>
      <c r="I16" s="24"/>
      <c r="J16" s="19">
        <f t="shared" si="0"/>
        <v>-9.375E-2</v>
      </c>
      <c r="K16" s="19">
        <f t="shared" si="1"/>
        <v>-6.3218390804597707E-2</v>
      </c>
      <c r="L16" s="19">
        <f t="shared" si="2"/>
        <v>1</v>
      </c>
      <c r="M16" s="19">
        <f t="shared" si="3"/>
        <v>0.20245398773006135</v>
      </c>
      <c r="N16" s="19">
        <f t="shared" si="4"/>
        <v>-0.17857142857142858</v>
      </c>
      <c r="P16" s="20" t="s">
        <v>65</v>
      </c>
      <c r="Q16" s="17">
        <v>7784</v>
      </c>
      <c r="R16" s="17">
        <v>8672</v>
      </c>
      <c r="S16" s="17">
        <v>10321</v>
      </c>
      <c r="T16" s="17">
        <v>10308</v>
      </c>
      <c r="U16" s="17">
        <v>9680</v>
      </c>
      <c r="V16" s="17">
        <v>10039</v>
      </c>
      <c r="X16" s="19">
        <f t="shared" si="8"/>
        <v>0.11408016443987667</v>
      </c>
      <c r="Y16" s="19">
        <f t="shared" ref="Y16:AB20" si="9">(S16-R16)/R16</f>
        <v>0.19015221402214022</v>
      </c>
      <c r="Z16" s="19">
        <f t="shared" si="9"/>
        <v>-1.2595678713302975E-3</v>
      </c>
      <c r="AA16" s="19">
        <f t="shared" si="9"/>
        <v>-6.0923554520760571E-2</v>
      </c>
      <c r="AB16" s="19">
        <f t="shared" si="9"/>
        <v>3.7086776859504129E-2</v>
      </c>
    </row>
    <row r="17" spans="2:28" ht="15" customHeight="1" x14ac:dyDescent="0.3">
      <c r="B17" s="16" t="s">
        <v>66</v>
      </c>
      <c r="C17" s="17">
        <v>1446</v>
      </c>
      <c r="D17" s="17">
        <v>1458</v>
      </c>
      <c r="E17" s="17">
        <v>1520</v>
      </c>
      <c r="F17" s="17">
        <v>1957</v>
      </c>
      <c r="G17" s="17">
        <v>1817</v>
      </c>
      <c r="H17" s="17">
        <v>1853</v>
      </c>
      <c r="I17" s="18"/>
      <c r="J17" s="19">
        <f t="shared" si="0"/>
        <v>8.2987551867219917E-3</v>
      </c>
      <c r="K17" s="19">
        <f t="shared" si="1"/>
        <v>4.2524005486968448E-2</v>
      </c>
      <c r="L17" s="19">
        <f t="shared" si="2"/>
        <v>0.28749999999999998</v>
      </c>
      <c r="M17" s="19">
        <f t="shared" si="3"/>
        <v>-7.1538068472151245E-2</v>
      </c>
      <c r="N17" s="19">
        <f t="shared" si="4"/>
        <v>1.981287837094111E-2</v>
      </c>
      <c r="P17" s="16" t="s">
        <v>67</v>
      </c>
      <c r="Q17" s="17">
        <v>37318</v>
      </c>
      <c r="R17" s="17">
        <v>39602</v>
      </c>
      <c r="S17" s="17">
        <v>44416</v>
      </c>
      <c r="T17" s="17">
        <v>45827</v>
      </c>
      <c r="U17" s="17">
        <v>43149</v>
      </c>
      <c r="V17" s="17">
        <v>44267</v>
      </c>
      <c r="X17" s="19">
        <f t="shared" si="8"/>
        <v>6.1203708666059273E-2</v>
      </c>
      <c r="Y17" s="19">
        <f t="shared" si="9"/>
        <v>0.12155951719610121</v>
      </c>
      <c r="Z17" s="19">
        <f t="shared" si="9"/>
        <v>3.1767831412103743E-2</v>
      </c>
      <c r="AA17" s="19">
        <f t="shared" si="9"/>
        <v>-5.8437165862919242E-2</v>
      </c>
      <c r="AB17" s="19">
        <f t="shared" si="9"/>
        <v>2.5910218081531437E-2</v>
      </c>
    </row>
    <row r="18" spans="2:28" ht="15" customHeight="1" x14ac:dyDescent="0.3">
      <c r="B18" s="16" t="s">
        <v>68</v>
      </c>
      <c r="C18" s="17">
        <v>5058</v>
      </c>
      <c r="D18" s="17">
        <v>5953</v>
      </c>
      <c r="E18" s="17">
        <v>7452</v>
      </c>
      <c r="F18" s="17">
        <v>6446</v>
      </c>
      <c r="G18" s="17">
        <v>3224</v>
      </c>
      <c r="H18" s="17">
        <v>5653</v>
      </c>
      <c r="I18" s="18"/>
      <c r="J18" s="19">
        <f t="shared" si="0"/>
        <v>0.17694741004349546</v>
      </c>
      <c r="K18" s="19">
        <f t="shared" si="1"/>
        <v>0.25180581219553166</v>
      </c>
      <c r="L18" s="19">
        <f t="shared" si="2"/>
        <v>-0.13499731615673644</v>
      </c>
      <c r="M18" s="19">
        <f t="shared" si="3"/>
        <v>-0.49984486503257836</v>
      </c>
      <c r="N18" s="19">
        <f t="shared" si="4"/>
        <v>0.75341191066997515</v>
      </c>
      <c r="P18" s="16" t="s">
        <v>341</v>
      </c>
      <c r="Q18" s="17">
        <v>8872</v>
      </c>
      <c r="R18" s="17">
        <v>9018</v>
      </c>
      <c r="S18" s="17">
        <v>14784</v>
      </c>
      <c r="T18" s="17">
        <v>14932</v>
      </c>
      <c r="U18" s="17">
        <v>13903</v>
      </c>
      <c r="V18" s="17">
        <v>13982</v>
      </c>
      <c r="X18" s="19">
        <f t="shared" si="8"/>
        <v>1.6456266907123533E-2</v>
      </c>
      <c r="Y18" s="19">
        <f t="shared" si="9"/>
        <v>0.63938789088489689</v>
      </c>
      <c r="Z18" s="19">
        <f t="shared" si="9"/>
        <v>1.001082251082251E-2</v>
      </c>
      <c r="AA18" s="19">
        <f t="shared" si="9"/>
        <v>-6.8912402893115454E-2</v>
      </c>
      <c r="AB18" s="19">
        <f t="shared" si="9"/>
        <v>5.6822268575127668E-3</v>
      </c>
    </row>
    <row r="19" spans="2:28" ht="15" customHeight="1" x14ac:dyDescent="0.3">
      <c r="B19" s="16" t="s">
        <v>69</v>
      </c>
      <c r="C19" s="22">
        <v>0.23</v>
      </c>
      <c r="D19" s="22">
        <v>0.27</v>
      </c>
      <c r="E19" s="22">
        <v>0.24</v>
      </c>
      <c r="F19" s="22">
        <v>0.25</v>
      </c>
      <c r="G19" s="22">
        <v>0.26</v>
      </c>
      <c r="H19" s="22">
        <v>0.25</v>
      </c>
      <c r="I19" s="23"/>
      <c r="J19" s="19">
        <f t="shared" si="0"/>
        <v>0.17391304347826089</v>
      </c>
      <c r="K19" s="19">
        <f t="shared" si="1"/>
        <v>-0.1111111111111112</v>
      </c>
      <c r="L19" s="19">
        <f t="shared" si="2"/>
        <v>4.1666666666666706E-2</v>
      </c>
      <c r="M19" s="19">
        <f t="shared" si="3"/>
        <v>4.0000000000000036E-2</v>
      </c>
      <c r="N19" s="19">
        <f t="shared" si="4"/>
        <v>-3.8461538461538491E-2</v>
      </c>
      <c r="P19" s="20" t="s">
        <v>70</v>
      </c>
      <c r="Q19" s="8">
        <v>494</v>
      </c>
      <c r="R19" s="8">
        <v>441</v>
      </c>
      <c r="S19" s="8">
        <v>204</v>
      </c>
      <c r="T19" s="8">
        <v>206</v>
      </c>
      <c r="U19" s="8">
        <v>197</v>
      </c>
      <c r="V19" s="8">
        <v>210</v>
      </c>
      <c r="X19" s="19">
        <f t="shared" si="8"/>
        <v>-0.10728744939271255</v>
      </c>
      <c r="Y19" s="19">
        <f t="shared" si="9"/>
        <v>-0.5374149659863946</v>
      </c>
      <c r="Z19" s="19">
        <f t="shared" si="9"/>
        <v>9.8039215686274508E-3</v>
      </c>
      <c r="AA19" s="19">
        <f t="shared" si="9"/>
        <v>-4.3689320388349516E-2</v>
      </c>
      <c r="AB19" s="19">
        <f t="shared" si="9"/>
        <v>6.5989847715736044E-2</v>
      </c>
    </row>
    <row r="20" spans="2:28" ht="15" customHeight="1" x14ac:dyDescent="0.3">
      <c r="B20" s="16" t="s">
        <v>347</v>
      </c>
      <c r="C20" s="17">
        <v>3897</v>
      </c>
      <c r="D20" s="17">
        <v>4353</v>
      </c>
      <c r="E20" s="17">
        <v>5630</v>
      </c>
      <c r="F20" s="17">
        <v>4857</v>
      </c>
      <c r="G20" s="17">
        <v>2397</v>
      </c>
      <c r="H20" s="17">
        <v>4253</v>
      </c>
      <c r="I20" s="18"/>
      <c r="J20" s="19">
        <f t="shared" si="0"/>
        <v>0.1170130869899923</v>
      </c>
      <c r="K20" s="19">
        <f t="shared" si="1"/>
        <v>0.29336090052837122</v>
      </c>
      <c r="L20" s="19">
        <f t="shared" si="2"/>
        <v>-0.13730017761989344</v>
      </c>
      <c r="M20" s="19">
        <f t="shared" si="3"/>
        <v>-0.50648548486720202</v>
      </c>
      <c r="N20" s="19">
        <f t="shared" si="4"/>
        <v>0.77430120984564044</v>
      </c>
      <c r="P20" s="20" t="s">
        <v>71</v>
      </c>
      <c r="Q20" s="17">
        <v>4138</v>
      </c>
      <c r="R20" s="17">
        <v>4282</v>
      </c>
      <c r="S20" s="17">
        <v>4687</v>
      </c>
      <c r="T20" s="17">
        <v>5251</v>
      </c>
      <c r="U20" s="17">
        <v>5119</v>
      </c>
      <c r="V20" s="17">
        <v>5718</v>
      </c>
      <c r="X20" s="19">
        <f t="shared" si="8"/>
        <v>3.4799420009666508E-2</v>
      </c>
      <c r="Y20" s="19">
        <f t="shared" si="9"/>
        <v>9.458197104156936E-2</v>
      </c>
      <c r="Z20" s="19">
        <f t="shared" si="9"/>
        <v>0.12033283550245359</v>
      </c>
      <c r="AA20" s="19">
        <f t="shared" si="9"/>
        <v>-2.5138068939249667E-2</v>
      </c>
      <c r="AB20" s="19">
        <f t="shared" si="9"/>
        <v>0.1170150420003907</v>
      </c>
    </row>
    <row r="21" spans="2:28" ht="15" customHeight="1" x14ac:dyDescent="0.3">
      <c r="B21" s="20" t="s">
        <v>72</v>
      </c>
      <c r="C21" s="8">
        <v>0</v>
      </c>
      <c r="D21" s="8">
        <v>0</v>
      </c>
      <c r="E21" s="8">
        <v>0</v>
      </c>
      <c r="F21" s="8">
        <v>0</v>
      </c>
      <c r="G21" s="8">
        <v>0</v>
      </c>
      <c r="H21" s="8">
        <v>0</v>
      </c>
      <c r="I21" s="24"/>
      <c r="J21" s="19"/>
      <c r="K21" s="19"/>
      <c r="L21" s="19"/>
      <c r="M21" s="19"/>
      <c r="N21" s="19"/>
      <c r="P21" s="20" t="s">
        <v>73</v>
      </c>
      <c r="Q21" s="17">
        <v>2640</v>
      </c>
      <c r="R21" s="17">
        <v>2667</v>
      </c>
      <c r="S21" s="17">
        <v>2652</v>
      </c>
      <c r="T21" s="17">
        <v>2826</v>
      </c>
      <c r="U21" s="17">
        <v>2813</v>
      </c>
      <c r="V21" s="17">
        <v>2718</v>
      </c>
      <c r="X21" s="19"/>
      <c r="Y21" s="19"/>
      <c r="Z21" s="19"/>
      <c r="AA21" s="19"/>
      <c r="AB21" s="19"/>
    </row>
    <row r="22" spans="2:28" ht="15" customHeight="1" x14ac:dyDescent="0.3">
      <c r="B22" s="20" t="s">
        <v>74</v>
      </c>
      <c r="C22" s="8">
        <v>136</v>
      </c>
      <c r="D22" s="8">
        <v>75</v>
      </c>
      <c r="E22" s="8">
        <v>-64</v>
      </c>
      <c r="F22" s="8">
        <v>-26</v>
      </c>
      <c r="G22" s="8">
        <v>-39</v>
      </c>
      <c r="H22" s="8">
        <v>-2</v>
      </c>
      <c r="I22" s="24"/>
      <c r="J22" s="19">
        <f t="shared" ref="J22:N29" si="10">(D22-C22)/C22</f>
        <v>-0.4485294117647059</v>
      </c>
      <c r="K22" s="19">
        <f t="shared" si="10"/>
        <v>-1.8533333333333333</v>
      </c>
      <c r="L22" s="19">
        <f t="shared" si="10"/>
        <v>-0.59375</v>
      </c>
      <c r="M22" s="19">
        <f t="shared" si="10"/>
        <v>0.5</v>
      </c>
      <c r="N22" s="19">
        <f t="shared" si="10"/>
        <v>-0.94871794871794868</v>
      </c>
      <c r="P22" s="20" t="s">
        <v>75</v>
      </c>
      <c r="Q22" s="8">
        <v>267</v>
      </c>
      <c r="R22" s="8">
        <v>268</v>
      </c>
      <c r="S22" s="8">
        <v>286</v>
      </c>
      <c r="T22" s="8">
        <v>302</v>
      </c>
      <c r="U22" s="8">
        <v>319</v>
      </c>
      <c r="V22" s="8">
        <v>322</v>
      </c>
      <c r="X22" s="19">
        <f t="shared" ref="X22:X34" si="11">(R22-Q22)/Q22</f>
        <v>3.7453183520599251E-3</v>
      </c>
      <c r="Y22" s="19">
        <f t="shared" ref="Y22:Y34" si="12">(S22-R22)/R22</f>
        <v>6.7164179104477612E-2</v>
      </c>
      <c r="Z22" s="19">
        <f t="shared" ref="Z22:Z34" si="13">(T22-S22)/S22</f>
        <v>5.5944055944055944E-2</v>
      </c>
      <c r="AA22" s="19">
        <f t="shared" ref="AA22:AA34" si="14">(U22-T22)/T22</f>
        <v>5.6291390728476824E-2</v>
      </c>
      <c r="AB22" s="19">
        <f t="shared" ref="AB22:AB34" si="15">(V22-U22)/U22</f>
        <v>9.4043887147335428E-3</v>
      </c>
    </row>
    <row r="23" spans="2:28" ht="15" customHeight="1" x14ac:dyDescent="0.3">
      <c r="B23" s="20" t="s">
        <v>76</v>
      </c>
      <c r="C23" s="8">
        <v>6</v>
      </c>
      <c r="D23" s="8">
        <v>1</v>
      </c>
      <c r="E23" s="8">
        <v>5</v>
      </c>
      <c r="F23" s="8">
        <v>3</v>
      </c>
      <c r="G23" s="8">
        <v>2</v>
      </c>
      <c r="H23" s="8">
        <v>301</v>
      </c>
      <c r="I23" s="24"/>
      <c r="J23" s="19">
        <f t="shared" si="10"/>
        <v>-0.83333333333333337</v>
      </c>
      <c r="K23" s="19">
        <f t="shared" si="10"/>
        <v>4</v>
      </c>
      <c r="L23" s="19">
        <f t="shared" si="10"/>
        <v>-0.4</v>
      </c>
      <c r="M23" s="19">
        <f t="shared" si="10"/>
        <v>-0.33333333333333331</v>
      </c>
      <c r="N23" s="19">
        <f t="shared" si="10"/>
        <v>149.5</v>
      </c>
      <c r="P23" s="20" t="s">
        <v>77</v>
      </c>
      <c r="Q23" s="17">
        <v>3581</v>
      </c>
      <c r="R23" s="17">
        <v>3415</v>
      </c>
      <c r="S23" s="17">
        <v>4259</v>
      </c>
      <c r="T23" s="17">
        <v>4972</v>
      </c>
      <c r="U23" s="17">
        <v>5346</v>
      </c>
      <c r="V23" s="17">
        <v>5520</v>
      </c>
      <c r="X23" s="19">
        <f t="shared" si="11"/>
        <v>-4.6355766545657637E-2</v>
      </c>
      <c r="Y23" s="19">
        <f t="shared" si="12"/>
        <v>0.24714494875549048</v>
      </c>
      <c r="Z23" s="19">
        <f t="shared" si="13"/>
        <v>0.16741019018548955</v>
      </c>
      <c r="AA23" s="19">
        <f t="shared" si="14"/>
        <v>7.5221238938053103E-2</v>
      </c>
      <c r="AB23" s="19">
        <f t="shared" si="15"/>
        <v>3.2547699214365879E-2</v>
      </c>
    </row>
    <row r="24" spans="2:28" ht="15" customHeight="1" x14ac:dyDescent="0.3">
      <c r="B24" s="20" t="s">
        <v>78</v>
      </c>
      <c r="C24" s="17">
        <v>3891</v>
      </c>
      <c r="D24" s="17">
        <v>4352</v>
      </c>
      <c r="E24" s="17">
        <v>5625</v>
      </c>
      <c r="F24" s="17">
        <v>4854</v>
      </c>
      <c r="G24" s="17">
        <v>2395</v>
      </c>
      <c r="H24" s="17">
        <v>3952</v>
      </c>
      <c r="I24" s="18"/>
      <c r="J24" s="19">
        <f t="shared" si="10"/>
        <v>0.11847854022102287</v>
      </c>
      <c r="K24" s="19">
        <f t="shared" si="10"/>
        <v>0.29250919117647056</v>
      </c>
      <c r="L24" s="19">
        <f t="shared" si="10"/>
        <v>-0.13706666666666667</v>
      </c>
      <c r="M24" s="19">
        <f t="shared" si="10"/>
        <v>-0.50659250103007825</v>
      </c>
      <c r="N24" s="19">
        <f t="shared" si="10"/>
        <v>0.65010438413361171</v>
      </c>
      <c r="P24" s="20" t="s">
        <v>79</v>
      </c>
      <c r="Q24" s="8">
        <v>847</v>
      </c>
      <c r="R24" s="8">
        <v>849</v>
      </c>
      <c r="S24" s="8">
        <v>851</v>
      </c>
      <c r="T24" s="8">
        <v>884</v>
      </c>
      <c r="U24" s="8">
        <v>899</v>
      </c>
      <c r="V24" s="8">
        <v>853</v>
      </c>
      <c r="X24" s="19">
        <f t="shared" si="11"/>
        <v>2.3612750885478157E-3</v>
      </c>
      <c r="Y24" s="19">
        <f t="shared" si="12"/>
        <v>2.3557126030624262E-3</v>
      </c>
      <c r="Z24" s="19">
        <f t="shared" si="13"/>
        <v>3.8777908343125736E-2</v>
      </c>
      <c r="AA24" s="19">
        <f t="shared" si="14"/>
        <v>1.6968325791855202E-2</v>
      </c>
      <c r="AB24" s="19">
        <f t="shared" si="15"/>
        <v>-5.116796440489433E-2</v>
      </c>
    </row>
    <row r="25" spans="2:28" ht="15" customHeight="1" x14ac:dyDescent="0.3">
      <c r="B25" s="20" t="s">
        <v>80</v>
      </c>
      <c r="C25" s="17">
        <v>4027</v>
      </c>
      <c r="D25" s="17">
        <v>4427</v>
      </c>
      <c r="E25" s="17">
        <v>5561</v>
      </c>
      <c r="F25" s="17">
        <v>4828</v>
      </c>
      <c r="G25" s="17">
        <v>2356</v>
      </c>
      <c r="H25" s="17">
        <v>3950</v>
      </c>
      <c r="I25" s="18"/>
      <c r="J25" s="19">
        <f t="shared" si="10"/>
        <v>9.9329525701514779E-2</v>
      </c>
      <c r="K25" s="19">
        <f t="shared" si="10"/>
        <v>0.25615540998418795</v>
      </c>
      <c r="L25" s="19">
        <f t="shared" si="10"/>
        <v>-0.13181082539111671</v>
      </c>
      <c r="M25" s="19">
        <f t="shared" si="10"/>
        <v>-0.51201325600662795</v>
      </c>
      <c r="N25" s="19">
        <f t="shared" si="10"/>
        <v>0.6765704584040747</v>
      </c>
      <c r="P25" s="20" t="s">
        <v>81</v>
      </c>
      <c r="Q25" s="8">
        <v>88</v>
      </c>
      <c r="R25" s="8">
        <v>69</v>
      </c>
      <c r="S25" s="8">
        <v>67</v>
      </c>
      <c r="T25" s="8">
        <v>60</v>
      </c>
      <c r="U25" s="8">
        <v>64</v>
      </c>
      <c r="V25" s="8">
        <v>72</v>
      </c>
      <c r="X25" s="19">
        <f t="shared" si="11"/>
        <v>-0.21590909090909091</v>
      </c>
      <c r="Y25" s="19">
        <f t="shared" si="12"/>
        <v>-2.8985507246376812E-2</v>
      </c>
      <c r="Z25" s="19">
        <f t="shared" si="13"/>
        <v>-0.1044776119402985</v>
      </c>
      <c r="AA25" s="19">
        <f t="shared" si="14"/>
        <v>6.6666666666666666E-2</v>
      </c>
      <c r="AB25" s="19">
        <f t="shared" si="15"/>
        <v>0.125</v>
      </c>
    </row>
    <row r="26" spans="2:28" ht="15" customHeight="1" x14ac:dyDescent="0.3">
      <c r="B26" s="20" t="s">
        <v>82</v>
      </c>
      <c r="C26" s="17">
        <v>4033</v>
      </c>
      <c r="D26" s="17">
        <v>4428</v>
      </c>
      <c r="E26" s="17">
        <v>5566</v>
      </c>
      <c r="F26" s="17">
        <v>4831</v>
      </c>
      <c r="G26" s="17">
        <v>2358</v>
      </c>
      <c r="H26" s="17">
        <v>4252</v>
      </c>
      <c r="I26" s="18"/>
      <c r="J26" s="19">
        <f t="shared" si="10"/>
        <v>9.7941978675923635E-2</v>
      </c>
      <c r="K26" s="19">
        <f t="shared" si="10"/>
        <v>0.25700090334236675</v>
      </c>
      <c r="L26" s="19">
        <f t="shared" si="10"/>
        <v>-0.13205174272367948</v>
      </c>
      <c r="M26" s="19">
        <f t="shared" si="10"/>
        <v>-0.51190229766093975</v>
      </c>
      <c r="N26" s="19">
        <f t="shared" si="10"/>
        <v>0.80322307039864294</v>
      </c>
      <c r="P26" s="20" t="s">
        <v>83</v>
      </c>
      <c r="Q26" s="17">
        <v>4776</v>
      </c>
      <c r="R26" s="17">
        <v>5426</v>
      </c>
      <c r="S26" s="17">
        <v>9044</v>
      </c>
      <c r="T26" s="17">
        <v>9369</v>
      </c>
      <c r="U26" s="17">
        <v>9257</v>
      </c>
      <c r="V26" s="17">
        <v>9357</v>
      </c>
      <c r="X26" s="19">
        <f t="shared" si="11"/>
        <v>0.13609715242881071</v>
      </c>
      <c r="Y26" s="19">
        <f t="shared" si="12"/>
        <v>0.66678953188352375</v>
      </c>
      <c r="Z26" s="19">
        <f t="shared" si="13"/>
        <v>3.5935426802299865E-2</v>
      </c>
      <c r="AA26" s="19">
        <f t="shared" si="14"/>
        <v>-1.1954317429821752E-2</v>
      </c>
      <c r="AB26" s="19">
        <f t="shared" si="15"/>
        <v>1.0802635843145728E-2</v>
      </c>
    </row>
    <row r="27" spans="2:28" ht="15" customHeight="1" x14ac:dyDescent="0.3">
      <c r="B27" s="20" t="s">
        <v>84</v>
      </c>
      <c r="C27" s="22">
        <v>-0.06</v>
      </c>
      <c r="D27" s="22">
        <v>0.1</v>
      </c>
      <c r="E27" s="22">
        <v>0.26</v>
      </c>
      <c r="F27" s="22">
        <v>-0.13</v>
      </c>
      <c r="G27" s="22">
        <v>-0.51</v>
      </c>
      <c r="H27" s="22">
        <v>0.68</v>
      </c>
      <c r="I27" s="23"/>
      <c r="J27" s="19">
        <f t="shared" si="10"/>
        <v>-2.666666666666667</v>
      </c>
      <c r="K27" s="19">
        <f t="shared" si="10"/>
        <v>1.5999999999999999</v>
      </c>
      <c r="L27" s="19">
        <f t="shared" si="10"/>
        <v>-1.5</v>
      </c>
      <c r="M27" s="19">
        <f t="shared" si="10"/>
        <v>2.9230769230769229</v>
      </c>
      <c r="N27" s="19">
        <f t="shared" si="10"/>
        <v>-2.333333333333333</v>
      </c>
      <c r="P27" s="20" t="s">
        <v>85</v>
      </c>
      <c r="Q27" s="17">
        <v>1344</v>
      </c>
      <c r="R27" s="17">
        <v>1524</v>
      </c>
      <c r="S27" s="17">
        <v>3920</v>
      </c>
      <c r="T27" s="17">
        <v>4214</v>
      </c>
      <c r="U27" s="17">
        <v>4313</v>
      </c>
      <c r="V27" s="17">
        <v>4350</v>
      </c>
      <c r="X27" s="19">
        <f t="shared" si="11"/>
        <v>0.13392857142857142</v>
      </c>
      <c r="Y27" s="19">
        <f t="shared" si="12"/>
        <v>1.5721784776902887</v>
      </c>
      <c r="Z27" s="19">
        <f t="shared" si="13"/>
        <v>7.4999999999999997E-2</v>
      </c>
      <c r="AA27" s="19">
        <f t="shared" si="14"/>
        <v>2.3493118177503561E-2</v>
      </c>
      <c r="AB27" s="19">
        <f t="shared" si="15"/>
        <v>8.578715511245073E-3</v>
      </c>
    </row>
    <row r="28" spans="2:28" ht="15" customHeight="1" x14ac:dyDescent="0.3">
      <c r="B28" s="16" t="s">
        <v>86</v>
      </c>
      <c r="C28" s="8">
        <v>41.76</v>
      </c>
      <c r="D28" s="8">
        <v>45.73</v>
      </c>
      <c r="E28" s="8">
        <v>57.27</v>
      </c>
      <c r="F28" s="8">
        <v>49.6</v>
      </c>
      <c r="G28" s="8">
        <v>24.14</v>
      </c>
      <c r="H28" s="8">
        <v>43.43</v>
      </c>
      <c r="I28" s="24"/>
      <c r="J28" s="19">
        <f t="shared" si="10"/>
        <v>9.5067049808429102E-2</v>
      </c>
      <c r="K28" s="19">
        <f t="shared" si="10"/>
        <v>0.25235075442816546</v>
      </c>
      <c r="L28" s="19">
        <f t="shared" si="10"/>
        <v>-0.13392701239741578</v>
      </c>
      <c r="M28" s="19">
        <f t="shared" si="10"/>
        <v>-0.51330645161290323</v>
      </c>
      <c r="N28" s="19">
        <f t="shared" si="10"/>
        <v>0.79908864954432468</v>
      </c>
      <c r="P28" s="20" t="s">
        <v>87</v>
      </c>
      <c r="Q28" s="17">
        <v>18177</v>
      </c>
      <c r="R28" s="17">
        <v>18941</v>
      </c>
      <c r="S28" s="17">
        <v>25971</v>
      </c>
      <c r="T28" s="17">
        <v>28085</v>
      </c>
      <c r="U28" s="17">
        <v>28327</v>
      </c>
      <c r="V28" s="17">
        <v>29120</v>
      </c>
      <c r="X28" s="19">
        <f t="shared" si="11"/>
        <v>4.2031138251636686E-2</v>
      </c>
      <c r="Y28" s="19">
        <f t="shared" si="12"/>
        <v>0.37115252626577266</v>
      </c>
      <c r="Z28" s="19">
        <f t="shared" si="13"/>
        <v>8.1398482923260559E-2</v>
      </c>
      <c r="AA28" s="19">
        <f t="shared" si="14"/>
        <v>8.6166993056791888E-3</v>
      </c>
      <c r="AB28" s="19">
        <f t="shared" si="15"/>
        <v>2.799449288664525E-2</v>
      </c>
    </row>
    <row r="29" spans="2:28" ht="15" customHeight="1" x14ac:dyDescent="0.3">
      <c r="B29" s="16" t="s">
        <v>88</v>
      </c>
      <c r="C29" s="22">
        <v>0.32</v>
      </c>
      <c r="D29" s="22">
        <v>0.89</v>
      </c>
      <c r="E29" s="22">
        <v>0.47</v>
      </c>
      <c r="F29" s="22">
        <v>0.91</v>
      </c>
      <c r="G29" s="22">
        <v>1.5</v>
      </c>
      <c r="H29" s="22">
        <v>0.94</v>
      </c>
      <c r="I29" s="23"/>
      <c r="J29" s="19">
        <f t="shared" si="10"/>
        <v>1.7812500000000002</v>
      </c>
      <c r="K29" s="19">
        <f t="shared" si="10"/>
        <v>-0.4719101123595506</v>
      </c>
      <c r="L29" s="19">
        <f t="shared" si="10"/>
        <v>0.93617021276595758</v>
      </c>
      <c r="M29" s="19">
        <f t="shared" si="10"/>
        <v>0.64835164835164827</v>
      </c>
      <c r="N29" s="19">
        <f t="shared" si="10"/>
        <v>-0.37333333333333335</v>
      </c>
      <c r="P29" s="20" t="s">
        <v>89</v>
      </c>
      <c r="Q29" s="17">
        <v>9305</v>
      </c>
      <c r="R29" s="17">
        <v>9923</v>
      </c>
      <c r="S29" s="17">
        <v>11188</v>
      </c>
      <c r="T29" s="17">
        <v>13154</v>
      </c>
      <c r="U29" s="17">
        <v>14424</v>
      </c>
      <c r="V29" s="17">
        <v>15139</v>
      </c>
      <c r="X29" s="19">
        <f t="shared" si="11"/>
        <v>6.6415905427189684E-2</v>
      </c>
      <c r="Y29" s="19">
        <f t="shared" si="12"/>
        <v>0.12748160838456113</v>
      </c>
      <c r="Z29" s="19">
        <f t="shared" si="13"/>
        <v>0.17572398998927422</v>
      </c>
      <c r="AA29" s="19">
        <f t="shared" si="14"/>
        <v>9.6548578379200237E-2</v>
      </c>
      <c r="AB29" s="19">
        <f t="shared" si="15"/>
        <v>4.9570160843039376E-2</v>
      </c>
    </row>
    <row r="30" spans="2:28" ht="15" customHeight="1" x14ac:dyDescent="0.3">
      <c r="P30" s="16" t="s">
        <v>90</v>
      </c>
      <c r="Q30" s="8">
        <v>50</v>
      </c>
      <c r="R30" s="8">
        <v>118</v>
      </c>
      <c r="S30" s="8">
        <v>165</v>
      </c>
      <c r="T30" s="8">
        <v>120</v>
      </c>
      <c r="U30" s="8">
        <v>133</v>
      </c>
      <c r="V30" s="8">
        <v>21</v>
      </c>
      <c r="X30" s="19">
        <f t="shared" si="11"/>
        <v>1.36</v>
      </c>
      <c r="Y30" s="19">
        <f t="shared" si="12"/>
        <v>0.39830508474576271</v>
      </c>
      <c r="Z30" s="19">
        <f t="shared" si="13"/>
        <v>-0.27272727272727271</v>
      </c>
      <c r="AA30" s="19">
        <f t="shared" si="14"/>
        <v>0.10833333333333334</v>
      </c>
      <c r="AB30" s="19">
        <f t="shared" si="15"/>
        <v>-0.84210526315789469</v>
      </c>
    </row>
    <row r="31" spans="2:28" ht="15" customHeight="1" x14ac:dyDescent="0.3">
      <c r="P31" s="16" t="s">
        <v>91</v>
      </c>
      <c r="Q31" s="17">
        <v>5848</v>
      </c>
      <c r="R31" s="17">
        <v>10238</v>
      </c>
      <c r="S31" s="17">
        <v>4884</v>
      </c>
      <c r="T31" s="17">
        <v>3388</v>
      </c>
      <c r="U31" s="17">
        <v>3238</v>
      </c>
      <c r="V31" s="17">
        <v>3182</v>
      </c>
      <c r="X31" s="19">
        <f t="shared" si="11"/>
        <v>0.7506839945280438</v>
      </c>
      <c r="Y31" s="19">
        <f t="shared" si="12"/>
        <v>-0.52295370189490131</v>
      </c>
      <c r="Z31" s="19">
        <f t="shared" si="13"/>
        <v>-0.30630630630630629</v>
      </c>
      <c r="AA31" s="19">
        <f t="shared" si="14"/>
        <v>-4.4273907910271547E-2</v>
      </c>
      <c r="AB31" s="19">
        <f t="shared" si="15"/>
        <v>-1.7294626312538603E-2</v>
      </c>
    </row>
    <row r="32" spans="2:28" ht="15" customHeight="1" x14ac:dyDescent="0.3">
      <c r="P32" s="16" t="s">
        <v>342</v>
      </c>
      <c r="Q32" s="17">
        <v>22548</v>
      </c>
      <c r="R32" s="17">
        <v>20228</v>
      </c>
      <c r="S32" s="17">
        <v>24583</v>
      </c>
      <c r="T32" s="17">
        <v>27388</v>
      </c>
      <c r="U32" s="17">
        <v>25875</v>
      </c>
      <c r="V32" s="17">
        <v>27082</v>
      </c>
      <c r="X32" s="19">
        <f t="shared" si="11"/>
        <v>-0.10289160901188575</v>
      </c>
      <c r="Y32" s="19">
        <f t="shared" si="12"/>
        <v>0.2152956298200514</v>
      </c>
      <c r="Z32" s="19">
        <f t="shared" si="13"/>
        <v>0.11410324207785869</v>
      </c>
      <c r="AA32" s="19">
        <f t="shared" si="14"/>
        <v>-5.5243172192200964E-2</v>
      </c>
      <c r="AB32" s="19">
        <f t="shared" si="15"/>
        <v>4.664734299516908E-2</v>
      </c>
    </row>
    <row r="33" spans="16:28" ht="15" customHeight="1" x14ac:dyDescent="0.3">
      <c r="P33" s="20" t="s">
        <v>92</v>
      </c>
      <c r="Q33" s="8">
        <v>36</v>
      </c>
      <c r="R33" s="8">
        <v>24</v>
      </c>
      <c r="S33" s="8">
        <v>40</v>
      </c>
      <c r="T33" s="8">
        <v>24</v>
      </c>
      <c r="U33" s="8">
        <v>38</v>
      </c>
      <c r="V33" s="8">
        <v>39</v>
      </c>
      <c r="X33" s="19">
        <f t="shared" si="11"/>
        <v>-0.33333333333333331</v>
      </c>
      <c r="Y33" s="19">
        <f t="shared" si="12"/>
        <v>0.66666666666666663</v>
      </c>
      <c r="Z33" s="19">
        <f t="shared" si="13"/>
        <v>-0.4</v>
      </c>
      <c r="AA33" s="19">
        <f t="shared" si="14"/>
        <v>0.58333333333333337</v>
      </c>
      <c r="AB33" s="19">
        <f t="shared" si="15"/>
        <v>2.6315789473684209E-2</v>
      </c>
    </row>
    <row r="34" spans="16:28" ht="15" customHeight="1" x14ac:dyDescent="0.3">
      <c r="P34" s="20" t="s">
        <v>343</v>
      </c>
      <c r="Q34" s="17">
        <v>7577</v>
      </c>
      <c r="R34" s="17">
        <v>6473</v>
      </c>
      <c r="S34" s="17">
        <v>11933</v>
      </c>
      <c r="T34" s="17">
        <v>12882</v>
      </c>
      <c r="U34" s="17">
        <v>11401</v>
      </c>
      <c r="V34" s="17">
        <v>11547</v>
      </c>
      <c r="X34" s="19">
        <f t="shared" si="11"/>
        <v>-0.14570410452685759</v>
      </c>
      <c r="Y34" s="19">
        <f t="shared" si="12"/>
        <v>0.84350378495288125</v>
      </c>
      <c r="Z34" s="19">
        <f t="shared" si="13"/>
        <v>7.9527361099472046E-2</v>
      </c>
      <c r="AA34" s="19">
        <f t="shared" si="14"/>
        <v>-0.11496662009004813</v>
      </c>
      <c r="AB34" s="19">
        <f t="shared" si="15"/>
        <v>1.280589421980528E-2</v>
      </c>
    </row>
    <row r="35" spans="16:28" ht="15" customHeight="1" x14ac:dyDescent="0.3">
      <c r="P35" s="20" t="s">
        <v>93</v>
      </c>
      <c r="Q35" s="8">
        <v>0</v>
      </c>
      <c r="R35" s="8">
        <v>0</v>
      </c>
      <c r="S35" s="8">
        <v>0</v>
      </c>
      <c r="T35" s="17">
        <v>1296</v>
      </c>
      <c r="U35" s="17">
        <v>1195</v>
      </c>
      <c r="V35" s="17">
        <v>1506</v>
      </c>
      <c r="X35" s="19"/>
      <c r="Y35" s="19"/>
      <c r="Z35" s="19"/>
      <c r="AA35" s="19">
        <f t="shared" ref="AA35:AB41" si="16">(U35-T35)/T35</f>
        <v>-7.7932098765432098E-2</v>
      </c>
      <c r="AB35" s="19">
        <f t="shared" si="16"/>
        <v>0.26025104602510463</v>
      </c>
    </row>
    <row r="36" spans="16:28" ht="15" customHeight="1" x14ac:dyDescent="0.3">
      <c r="P36" s="20" t="s">
        <v>94</v>
      </c>
      <c r="Q36" s="17">
        <v>8304</v>
      </c>
      <c r="R36" s="17">
        <v>7164</v>
      </c>
      <c r="S36" s="17">
        <v>12606</v>
      </c>
      <c r="T36" s="17">
        <v>12360</v>
      </c>
      <c r="U36" s="17">
        <v>11140</v>
      </c>
      <c r="V36" s="17">
        <v>11198</v>
      </c>
      <c r="X36" s="19">
        <f t="shared" ref="X36:Z41" si="17">(R36-Q36)/Q36</f>
        <v>-0.13728323699421965</v>
      </c>
      <c r="Y36" s="19">
        <f t="shared" si="17"/>
        <v>0.75963149078726966</v>
      </c>
      <c r="Z36" s="19">
        <f t="shared" si="17"/>
        <v>-1.951451689671585E-2</v>
      </c>
      <c r="AA36" s="19">
        <f t="shared" si="16"/>
        <v>-9.8705501618122971E-2</v>
      </c>
      <c r="AB36" s="19">
        <f t="shared" si="16"/>
        <v>5.2064631956912025E-3</v>
      </c>
    </row>
    <row r="37" spans="16:28" ht="15" customHeight="1" x14ac:dyDescent="0.3">
      <c r="P37" s="20" t="s">
        <v>95</v>
      </c>
      <c r="Q37" s="8">
        <v>-726</v>
      </c>
      <c r="R37" s="8">
        <v>-692</v>
      </c>
      <c r="S37" s="8">
        <v>-673</v>
      </c>
      <c r="T37" s="8">
        <v>-775</v>
      </c>
      <c r="U37" s="8">
        <v>-935</v>
      </c>
      <c r="V37" s="17">
        <v>-1157</v>
      </c>
      <c r="X37" s="19">
        <f t="shared" si="17"/>
        <v>-4.6831955922865015E-2</v>
      </c>
      <c r="Y37" s="19">
        <f t="shared" si="17"/>
        <v>-2.7456647398843931E-2</v>
      </c>
      <c r="Z37" s="19">
        <f t="shared" si="17"/>
        <v>0.15156017830609211</v>
      </c>
      <c r="AA37" s="19">
        <f t="shared" si="16"/>
        <v>0.20645161290322581</v>
      </c>
      <c r="AB37" s="19">
        <f t="shared" si="16"/>
        <v>0.2374331550802139</v>
      </c>
    </row>
    <row r="38" spans="16:28" ht="15" customHeight="1" x14ac:dyDescent="0.3">
      <c r="P38" s="20" t="s">
        <v>96</v>
      </c>
      <c r="Q38" s="17">
        <v>3148</v>
      </c>
      <c r="R38" s="17">
        <v>2835</v>
      </c>
      <c r="S38" s="17">
        <v>3974</v>
      </c>
      <c r="T38" s="17">
        <v>4255</v>
      </c>
      <c r="U38" s="17">
        <v>4736</v>
      </c>
      <c r="V38" s="17">
        <v>4542</v>
      </c>
      <c r="X38" s="19">
        <f t="shared" si="17"/>
        <v>-9.9428208386277001E-2</v>
      </c>
      <c r="Y38" s="19">
        <f t="shared" si="17"/>
        <v>0.40176366843033512</v>
      </c>
      <c r="Z38" s="19">
        <f t="shared" si="17"/>
        <v>7.0709612481127324E-2</v>
      </c>
      <c r="AA38" s="19">
        <f t="shared" si="16"/>
        <v>0.11304347826086956</v>
      </c>
      <c r="AB38" s="19">
        <f t="shared" si="16"/>
        <v>-4.0962837837837836E-2</v>
      </c>
    </row>
    <row r="39" spans="16:28" ht="15" customHeight="1" x14ac:dyDescent="0.3">
      <c r="P39" s="20" t="s">
        <v>97</v>
      </c>
      <c r="Q39" s="8">
        <v>570</v>
      </c>
      <c r="R39" s="8">
        <v>801</v>
      </c>
      <c r="S39" s="17">
        <v>1219</v>
      </c>
      <c r="T39" s="17">
        <v>1128</v>
      </c>
      <c r="U39" s="17">
        <v>1202</v>
      </c>
      <c r="V39" s="17">
        <v>1220</v>
      </c>
      <c r="X39" s="19">
        <f t="shared" si="17"/>
        <v>0.40526315789473683</v>
      </c>
      <c r="Y39" s="19">
        <f t="shared" si="17"/>
        <v>0.52184769038701628</v>
      </c>
      <c r="Z39" s="19">
        <f t="shared" si="17"/>
        <v>-7.4651353568498766E-2</v>
      </c>
      <c r="AA39" s="19">
        <f t="shared" si="16"/>
        <v>6.5602836879432622E-2</v>
      </c>
      <c r="AB39" s="19">
        <f t="shared" si="16"/>
        <v>1.4975041597337771E-2</v>
      </c>
    </row>
    <row r="40" spans="16:28" ht="15" customHeight="1" x14ac:dyDescent="0.3">
      <c r="P40" s="20" t="s">
        <v>98</v>
      </c>
      <c r="Q40" s="17">
        <v>11217</v>
      </c>
      <c r="R40" s="17">
        <v>10094</v>
      </c>
      <c r="S40" s="17">
        <v>7416</v>
      </c>
      <c r="T40" s="17">
        <v>9100</v>
      </c>
      <c r="U40" s="17">
        <v>8499</v>
      </c>
      <c r="V40" s="17">
        <v>9734</v>
      </c>
      <c r="X40" s="19">
        <f t="shared" si="17"/>
        <v>-0.10011589551573505</v>
      </c>
      <c r="Y40" s="19">
        <f t="shared" si="17"/>
        <v>-0.26530612244897961</v>
      </c>
      <c r="Z40" s="19">
        <f t="shared" si="17"/>
        <v>0.22707659115426107</v>
      </c>
      <c r="AA40" s="19">
        <f t="shared" si="16"/>
        <v>-6.6043956043956048E-2</v>
      </c>
      <c r="AB40" s="19">
        <f t="shared" si="16"/>
        <v>0.14531121308389222</v>
      </c>
    </row>
    <row r="41" spans="16:28" ht="15" customHeight="1" x14ac:dyDescent="0.3">
      <c r="P41" s="16" t="s">
        <v>99</v>
      </c>
      <c r="Q41" s="17">
        <v>37318</v>
      </c>
      <c r="R41" s="17">
        <v>39602</v>
      </c>
      <c r="S41" s="17">
        <v>44416</v>
      </c>
      <c r="T41" s="17">
        <v>45827</v>
      </c>
      <c r="U41" s="17">
        <v>43149</v>
      </c>
      <c r="V41" s="17">
        <v>44267</v>
      </c>
      <c r="X41" s="19">
        <f t="shared" si="17"/>
        <v>6.1203708666059273E-2</v>
      </c>
      <c r="Y41" s="19">
        <f t="shared" si="17"/>
        <v>0.12155951719610121</v>
      </c>
      <c r="Z41" s="19">
        <f t="shared" si="17"/>
        <v>3.1767831412103743E-2</v>
      </c>
      <c r="AA41" s="19">
        <f t="shared" si="16"/>
        <v>-5.8437165862919242E-2</v>
      </c>
      <c r="AB41" s="19">
        <f t="shared" si="16"/>
        <v>2.5910218081531437E-2</v>
      </c>
    </row>
    <row r="42" spans="16:28" ht="15" customHeight="1" x14ac:dyDescent="0.3"/>
  </sheetData>
  <mergeCells count="6">
    <mergeCell ref="B2:N2"/>
    <mergeCell ref="P2:AB2"/>
    <mergeCell ref="B3:H3"/>
    <mergeCell ref="J3:N3"/>
    <mergeCell ref="P3:V3"/>
    <mergeCell ref="X3:AB3"/>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484"/>
  <sheetViews>
    <sheetView zoomScale="87" zoomScaleNormal="87" workbookViewId="0">
      <selection activeCell="J8" sqref="J8:R24"/>
    </sheetView>
  </sheetViews>
  <sheetFormatPr defaultColWidth="8.7265625" defaultRowHeight="13" x14ac:dyDescent="0.3"/>
  <cols>
    <col min="1" max="1" width="13.26953125" style="149" customWidth="1"/>
    <col min="2" max="3" width="8.7265625" style="149"/>
    <col min="4" max="4" width="5.36328125" style="149" customWidth="1"/>
    <col min="5" max="5" width="11.36328125" style="149" customWidth="1"/>
    <col min="6" max="9" width="8.7265625" style="149"/>
    <col min="10" max="10" width="16.453125" style="149" customWidth="1"/>
    <col min="11" max="16384" width="8.7265625" style="149"/>
  </cols>
  <sheetData>
    <row r="1" spans="1:15" ht="13.5" customHeight="1" x14ac:dyDescent="0.3">
      <c r="A1" s="216" t="s">
        <v>100</v>
      </c>
      <c r="B1" s="216"/>
      <c r="C1" s="216"/>
      <c r="E1" s="216" t="s">
        <v>101</v>
      </c>
      <c r="F1" s="216"/>
      <c r="G1" s="216"/>
      <c r="I1" s="217" t="s">
        <v>102</v>
      </c>
      <c r="J1" s="217"/>
      <c r="K1" s="217"/>
      <c r="L1" s="217"/>
      <c r="M1" s="217"/>
      <c r="N1" s="217"/>
      <c r="O1" s="217"/>
    </row>
    <row r="2" spans="1:15" ht="13.5" customHeight="1" x14ac:dyDescent="0.3">
      <c r="A2" s="172" t="s">
        <v>103</v>
      </c>
      <c r="B2" s="173" t="s">
        <v>104</v>
      </c>
      <c r="C2" s="172" t="s">
        <v>105</v>
      </c>
      <c r="E2" s="172" t="s">
        <v>103</v>
      </c>
      <c r="F2" s="173" t="s">
        <v>104</v>
      </c>
      <c r="G2" s="172" t="s">
        <v>105</v>
      </c>
    </row>
    <row r="3" spans="1:15" ht="13.5" customHeight="1" x14ac:dyDescent="0.3">
      <c r="A3" s="174">
        <v>43922</v>
      </c>
      <c r="B3" s="155">
        <v>511.2</v>
      </c>
      <c r="C3" s="155"/>
      <c r="E3" s="174">
        <v>43922</v>
      </c>
      <c r="F3" s="175">
        <v>8253.7998046875</v>
      </c>
      <c r="G3" s="155"/>
      <c r="I3" s="176" t="s">
        <v>106</v>
      </c>
      <c r="J3" s="177" t="s">
        <v>107</v>
      </c>
      <c r="K3" s="177" t="s">
        <v>108</v>
      </c>
      <c r="L3" s="218" t="s">
        <v>109</v>
      </c>
      <c r="M3" s="218"/>
      <c r="N3" s="218"/>
      <c r="O3" s="218"/>
    </row>
    <row r="4" spans="1:15" ht="13.5" customHeight="1" x14ac:dyDescent="0.3">
      <c r="A4" s="174">
        <v>43924</v>
      </c>
      <c r="B4" s="155">
        <v>520.9</v>
      </c>
      <c r="C4" s="155">
        <f t="shared" ref="C4:C67" si="0">(B4-B3)/B3</f>
        <v>1.8974960876369306E-2</v>
      </c>
      <c r="E4" s="174">
        <v>43924</v>
      </c>
      <c r="F4" s="175">
        <v>8083.7998046875</v>
      </c>
      <c r="G4" s="155">
        <f t="shared" ref="G4:G67" si="1">(F4-F3)/F3</f>
        <v>-2.0596574186770748E-2</v>
      </c>
      <c r="I4" s="256">
        <v>1</v>
      </c>
      <c r="J4" s="178" t="s">
        <v>110</v>
      </c>
      <c r="K4" s="179">
        <f>SLOPE(C4:C1484,G4:G1484)</f>
        <v>0.88898841473358059</v>
      </c>
      <c r="L4" s="212" t="str">
        <f ca="1">+_xlfn.FORMULATEXT(K4)</f>
        <v>=SLOPE(C4:C1484,G4:G1484)</v>
      </c>
      <c r="M4" s="212"/>
      <c r="N4" s="212"/>
      <c r="O4" s="212"/>
    </row>
    <row r="5" spans="1:15" ht="13.5" customHeight="1" x14ac:dyDescent="0.3">
      <c r="A5" s="174">
        <v>43928</v>
      </c>
      <c r="B5" s="155">
        <v>549.85</v>
      </c>
      <c r="C5" s="155">
        <f t="shared" si="0"/>
        <v>5.5576886158571794E-2</v>
      </c>
      <c r="E5" s="174">
        <v>43928</v>
      </c>
      <c r="F5" s="175">
        <v>8792.2001953125</v>
      </c>
      <c r="G5" s="155">
        <f t="shared" si="1"/>
        <v>8.7632104671150374E-2</v>
      </c>
      <c r="I5" s="160"/>
    </row>
    <row r="6" spans="1:15" ht="13.5" customHeight="1" x14ac:dyDescent="0.3">
      <c r="A6" s="174">
        <v>43929</v>
      </c>
      <c r="B6" s="155">
        <v>558.9</v>
      </c>
      <c r="C6" s="155">
        <f t="shared" si="0"/>
        <v>1.6459034282076845E-2</v>
      </c>
      <c r="E6" s="174">
        <v>43929</v>
      </c>
      <c r="F6" s="175">
        <v>8748.75</v>
      </c>
      <c r="G6" s="155">
        <f t="shared" si="1"/>
        <v>-4.9419024075071866E-3</v>
      </c>
      <c r="I6" s="255">
        <v>2</v>
      </c>
      <c r="J6" s="180" t="s">
        <v>111</v>
      </c>
      <c r="K6" s="181">
        <f>_xlfn.COVARIANCE.S(C4:C1484,G4:G1484)/_xlfn.VAR.S(G4:G1484)</f>
        <v>0.88898841473357937</v>
      </c>
      <c r="L6" s="212" t="str">
        <f ca="1">+_xlfn.FORMULATEXT(K6)</f>
        <v>=COVARIANCE.S(C4:C1484,G4:G1484)/VAR.S(G4:G1484)</v>
      </c>
      <c r="M6" s="212"/>
      <c r="N6" s="212"/>
      <c r="O6" s="212"/>
    </row>
    <row r="7" spans="1:15" ht="13.5" customHeight="1" x14ac:dyDescent="0.3">
      <c r="A7" s="174">
        <v>43930</v>
      </c>
      <c r="B7" s="155">
        <v>545.25</v>
      </c>
      <c r="C7" s="155">
        <f t="shared" si="0"/>
        <v>-2.4422973698335976E-2</v>
      </c>
      <c r="E7" s="174">
        <v>43930</v>
      </c>
      <c r="F7" s="175">
        <v>9111.900390625</v>
      </c>
      <c r="G7" s="155">
        <f t="shared" si="1"/>
        <v>4.1508831618802686E-2</v>
      </c>
    </row>
    <row r="8" spans="1:15" ht="14.25" customHeight="1" x14ac:dyDescent="0.3">
      <c r="A8" s="174">
        <v>43934</v>
      </c>
      <c r="B8" s="155">
        <v>526.85</v>
      </c>
      <c r="C8" s="155">
        <f t="shared" si="0"/>
        <v>-3.3745988078862865E-2</v>
      </c>
      <c r="E8" s="174">
        <v>43934</v>
      </c>
      <c r="F8" s="175">
        <v>8993.849609375</v>
      </c>
      <c r="G8" s="155">
        <f t="shared" si="1"/>
        <v>-1.2955670737079107E-2</v>
      </c>
      <c r="I8" s="254">
        <v>3</v>
      </c>
      <c r="J8" s="213" t="s">
        <v>112</v>
      </c>
      <c r="K8" s="213"/>
      <c r="L8" s="182"/>
    </row>
    <row r="9" spans="1:15" ht="14.25" customHeight="1" x14ac:dyDescent="0.3">
      <c r="A9" s="174">
        <v>43936</v>
      </c>
      <c r="B9" s="155">
        <v>538.65</v>
      </c>
      <c r="C9" s="155">
        <f t="shared" si="0"/>
        <v>2.2397266774224076E-2</v>
      </c>
      <c r="E9" s="174">
        <v>43936</v>
      </c>
      <c r="F9" s="175">
        <v>8925.2998046875</v>
      </c>
      <c r="G9" s="155">
        <f t="shared" si="1"/>
        <v>-7.6218535626885646E-3</v>
      </c>
      <c r="J9" s="214" t="s">
        <v>113</v>
      </c>
      <c r="K9" s="214"/>
      <c r="L9" s="183"/>
    </row>
    <row r="10" spans="1:15" ht="13.5" customHeight="1" x14ac:dyDescent="0.3">
      <c r="A10" s="174">
        <v>43937</v>
      </c>
      <c r="B10" s="155">
        <v>517.65</v>
      </c>
      <c r="C10" s="155">
        <f t="shared" si="0"/>
        <v>-3.8986354775828465E-2</v>
      </c>
      <c r="E10" s="174">
        <v>43937</v>
      </c>
      <c r="F10" s="175">
        <v>8992.7998046875</v>
      </c>
      <c r="G10" s="155">
        <f t="shared" si="1"/>
        <v>7.5627711647903986E-3</v>
      </c>
      <c r="J10" s="184" t="s">
        <v>114</v>
      </c>
      <c r="K10" s="185">
        <v>0.48871497864566299</v>
      </c>
      <c r="L10" s="186"/>
    </row>
    <row r="11" spans="1:15" ht="13.5" customHeight="1" x14ac:dyDescent="0.3">
      <c r="A11" s="174">
        <v>43938</v>
      </c>
      <c r="B11" s="155">
        <v>509.85</v>
      </c>
      <c r="C11" s="155">
        <f t="shared" si="0"/>
        <v>-1.5068096203998753E-2</v>
      </c>
      <c r="E11" s="174">
        <v>43938</v>
      </c>
      <c r="F11" s="175">
        <v>9266.75</v>
      </c>
      <c r="G11" s="155">
        <f t="shared" si="1"/>
        <v>3.0463281876874804E-2</v>
      </c>
      <c r="J11" s="187" t="s">
        <v>115</v>
      </c>
      <c r="K11" s="96">
        <v>0.238842330352631</v>
      </c>
      <c r="L11" s="186"/>
    </row>
    <row r="12" spans="1:15" ht="13.5" customHeight="1" x14ac:dyDescent="0.3">
      <c r="A12" s="174">
        <v>43941</v>
      </c>
      <c r="B12" s="155">
        <v>524.85</v>
      </c>
      <c r="C12" s="155">
        <f t="shared" si="0"/>
        <v>2.942041776993233E-2</v>
      </c>
      <c r="E12" s="174">
        <v>43941</v>
      </c>
      <c r="F12" s="175">
        <v>9261.849609375</v>
      </c>
      <c r="G12" s="155">
        <f t="shared" si="1"/>
        <v>-5.2881437666927461E-4</v>
      </c>
      <c r="J12" s="187" t="s">
        <v>116</v>
      </c>
      <c r="K12" s="96">
        <v>0.23832768689783199</v>
      </c>
      <c r="L12" s="186"/>
    </row>
    <row r="13" spans="1:15" ht="13.5" customHeight="1" x14ac:dyDescent="0.3">
      <c r="A13" s="174">
        <v>43942</v>
      </c>
      <c r="B13" s="155">
        <v>512.95000000000005</v>
      </c>
      <c r="C13" s="155">
        <f t="shared" si="0"/>
        <v>-2.267314470801177E-2</v>
      </c>
      <c r="E13" s="174">
        <v>43942</v>
      </c>
      <c r="F13" s="175">
        <v>8981.4501953125</v>
      </c>
      <c r="G13" s="155">
        <f t="shared" si="1"/>
        <v>-3.0274667144095602E-2</v>
      </c>
      <c r="J13" s="187" t="s">
        <v>117</v>
      </c>
      <c r="K13" s="96">
        <v>1.5554075141879601E-2</v>
      </c>
      <c r="L13" s="186"/>
    </row>
    <row r="14" spans="1:15" ht="14.25" customHeight="1" x14ac:dyDescent="0.3">
      <c r="A14" s="174">
        <v>43943</v>
      </c>
      <c r="B14" s="155">
        <v>518.29999999999995</v>
      </c>
      <c r="C14" s="155">
        <f t="shared" si="0"/>
        <v>1.0429866458718995E-2</v>
      </c>
      <c r="E14" s="174">
        <v>43943</v>
      </c>
      <c r="F14" s="175">
        <v>9187.2998046875</v>
      </c>
      <c r="G14" s="155">
        <f t="shared" si="1"/>
        <v>2.2919417788725787E-2</v>
      </c>
      <c r="J14" s="188" t="s">
        <v>118</v>
      </c>
      <c r="K14" s="189">
        <v>1481</v>
      </c>
      <c r="L14" s="186"/>
    </row>
    <row r="15" spans="1:15" ht="13.5" customHeight="1" x14ac:dyDescent="0.3">
      <c r="A15" s="174">
        <v>43944</v>
      </c>
      <c r="B15" s="155">
        <v>523.70000000000005</v>
      </c>
      <c r="C15" s="155">
        <f t="shared" si="0"/>
        <v>1.041867644221511E-2</v>
      </c>
      <c r="E15" s="174">
        <v>43944</v>
      </c>
      <c r="F15" s="175">
        <v>9313.900390625</v>
      </c>
      <c r="G15" s="155">
        <f t="shared" si="1"/>
        <v>1.3779955877014752E-2</v>
      </c>
    </row>
    <row r="16" spans="1:15" ht="13.5" customHeight="1" x14ac:dyDescent="0.3">
      <c r="A16" s="174">
        <v>43945</v>
      </c>
      <c r="B16" s="155">
        <v>503.45</v>
      </c>
      <c r="C16" s="155">
        <f t="shared" si="0"/>
        <v>-3.8667175864044404E-2</v>
      </c>
      <c r="E16" s="174">
        <v>43945</v>
      </c>
      <c r="F16" s="175">
        <v>9154.400390625</v>
      </c>
      <c r="G16" s="155">
        <f t="shared" si="1"/>
        <v>-1.7124941572334865E-2</v>
      </c>
      <c r="J16" s="215" t="s">
        <v>119</v>
      </c>
      <c r="K16" s="215"/>
      <c r="L16" s="215"/>
      <c r="M16" s="215"/>
      <c r="N16" s="215"/>
      <c r="O16" s="215"/>
    </row>
    <row r="17" spans="1:18" ht="13.5" customHeight="1" x14ac:dyDescent="0.3">
      <c r="A17" s="174">
        <v>43948</v>
      </c>
      <c r="B17" s="155">
        <v>511.7</v>
      </c>
      <c r="C17" s="155">
        <f t="shared" si="0"/>
        <v>1.6386930181745953E-2</v>
      </c>
      <c r="E17" s="174">
        <v>43948</v>
      </c>
      <c r="F17" s="175">
        <v>9282.2998046875</v>
      </c>
      <c r="G17" s="155">
        <f t="shared" si="1"/>
        <v>1.3971358975458566E-2</v>
      </c>
      <c r="J17" s="190"/>
      <c r="K17" s="191" t="s">
        <v>120</v>
      </c>
      <c r="L17" s="191" t="s">
        <v>121</v>
      </c>
      <c r="M17" s="191" t="s">
        <v>122</v>
      </c>
      <c r="N17" s="191" t="s">
        <v>123</v>
      </c>
      <c r="O17" s="192" t="s">
        <v>124</v>
      </c>
    </row>
    <row r="18" spans="1:18" ht="12.75" customHeight="1" x14ac:dyDescent="0.3">
      <c r="A18" s="174">
        <v>43949</v>
      </c>
      <c r="B18" s="155">
        <v>520.4</v>
      </c>
      <c r="C18" s="155">
        <f t="shared" si="0"/>
        <v>1.7002149697088114E-2</v>
      </c>
      <c r="E18" s="174">
        <v>43949</v>
      </c>
      <c r="F18" s="175">
        <v>9380.900390625</v>
      </c>
      <c r="G18" s="155">
        <f t="shared" si="1"/>
        <v>1.0622430648890199E-2</v>
      </c>
      <c r="J18" s="193" t="s">
        <v>125</v>
      </c>
      <c r="K18" s="194">
        <v>1</v>
      </c>
      <c r="L18" s="194">
        <v>0.11227762862271699</v>
      </c>
      <c r="M18" s="194">
        <v>0.11227762862271699</v>
      </c>
      <c r="N18" s="194">
        <v>464.092816348018</v>
      </c>
      <c r="O18" s="195">
        <v>9.49258779037062E-90</v>
      </c>
    </row>
    <row r="19" spans="1:18" ht="12.75" customHeight="1" x14ac:dyDescent="0.3">
      <c r="A19" s="174">
        <v>43950</v>
      </c>
      <c r="B19" s="155">
        <v>528.70000000000005</v>
      </c>
      <c r="C19" s="155">
        <f t="shared" si="0"/>
        <v>1.5949269792467465E-2</v>
      </c>
      <c r="E19" s="174">
        <v>43950</v>
      </c>
      <c r="F19" s="175">
        <v>9553.349609375</v>
      </c>
      <c r="G19" s="155">
        <f t="shared" si="1"/>
        <v>1.838301352419654E-2</v>
      </c>
      <c r="J19" s="196" t="s">
        <v>126</v>
      </c>
      <c r="K19" s="149">
        <v>1479</v>
      </c>
      <c r="L19" s="149">
        <v>0.357813365954952</v>
      </c>
      <c r="M19" s="149">
        <v>2.4192925351923801E-4</v>
      </c>
      <c r="O19" s="197"/>
    </row>
    <row r="20" spans="1:18" ht="13.5" customHeight="1" x14ac:dyDescent="0.3">
      <c r="A20" s="174">
        <v>43951</v>
      </c>
      <c r="B20" s="155">
        <v>546.25</v>
      </c>
      <c r="C20" s="155">
        <f t="shared" si="0"/>
        <v>3.3194628333648481E-2</v>
      </c>
      <c r="E20" s="174">
        <v>43951</v>
      </c>
      <c r="F20" s="175">
        <v>9859.900390625</v>
      </c>
      <c r="G20" s="155">
        <f t="shared" si="1"/>
        <v>3.2088303452139151E-2</v>
      </c>
      <c r="J20" s="198" t="s">
        <v>127</v>
      </c>
      <c r="K20" s="199">
        <v>1480</v>
      </c>
      <c r="L20" s="199">
        <v>0.47009099457766901</v>
      </c>
      <c r="M20" s="199"/>
      <c r="N20" s="199"/>
      <c r="O20" s="200"/>
    </row>
    <row r="21" spans="1:18" ht="13.5" customHeight="1" x14ac:dyDescent="0.3">
      <c r="A21" s="174">
        <v>43955</v>
      </c>
      <c r="B21" s="155">
        <v>502.45</v>
      </c>
      <c r="C21" s="155">
        <f t="shared" si="0"/>
        <v>-8.0183066361556088E-2</v>
      </c>
      <c r="E21" s="174">
        <v>43955</v>
      </c>
      <c r="F21" s="175">
        <v>9293.5</v>
      </c>
      <c r="G21" s="155">
        <f t="shared" si="1"/>
        <v>-5.7444839013134998E-2</v>
      </c>
    </row>
    <row r="22" spans="1:18" ht="13.5" customHeight="1" x14ac:dyDescent="0.3">
      <c r="A22" s="174">
        <v>43956</v>
      </c>
      <c r="B22" s="155">
        <v>499.95</v>
      </c>
      <c r="C22" s="155">
        <f t="shared" si="0"/>
        <v>-4.9756194646233456E-3</v>
      </c>
      <c r="E22" s="174">
        <v>43956</v>
      </c>
      <c r="F22" s="175">
        <v>9205.599609375</v>
      </c>
      <c r="G22" s="155">
        <f t="shared" si="1"/>
        <v>-9.4582655216011186E-3</v>
      </c>
      <c r="J22" s="201"/>
      <c r="K22" s="202" t="s">
        <v>128</v>
      </c>
      <c r="L22" s="202" t="s">
        <v>117</v>
      </c>
      <c r="M22" s="202" t="s">
        <v>129</v>
      </c>
      <c r="N22" s="202" t="s">
        <v>130</v>
      </c>
      <c r="O22" s="202" t="s">
        <v>131</v>
      </c>
      <c r="P22" s="202" t="s">
        <v>132</v>
      </c>
      <c r="Q22" s="202" t="s">
        <v>133</v>
      </c>
      <c r="R22" s="203" t="s">
        <v>134</v>
      </c>
    </row>
    <row r="23" spans="1:18" ht="12.75" customHeight="1" x14ac:dyDescent="0.3">
      <c r="A23" s="174">
        <v>43957</v>
      </c>
      <c r="B23" s="155">
        <v>506.85</v>
      </c>
      <c r="C23" s="155">
        <f t="shared" si="0"/>
        <v>1.380138013801387E-2</v>
      </c>
      <c r="E23" s="174">
        <v>43957</v>
      </c>
      <c r="F23" s="175">
        <v>9270.900390625</v>
      </c>
      <c r="G23" s="155">
        <f t="shared" si="1"/>
        <v>7.0935934671216378E-3</v>
      </c>
      <c r="J23" s="196" t="s">
        <v>135</v>
      </c>
      <c r="K23" s="149">
        <v>1.91169362168656E-4</v>
      </c>
      <c r="L23" s="149">
        <v>4.0526369958906701E-4</v>
      </c>
      <c r="M23" s="149">
        <v>0.47171597743025101</v>
      </c>
      <c r="N23" s="149">
        <v>0.63719911115201699</v>
      </c>
      <c r="O23" s="149">
        <v>-6.0378344721417801E-4</v>
      </c>
      <c r="P23" s="149">
        <v>9.8612217155149098E-4</v>
      </c>
      <c r="Q23" s="149">
        <v>-6.0378344721417801E-4</v>
      </c>
      <c r="R23" s="197">
        <v>9.8612217155149098E-4</v>
      </c>
    </row>
    <row r="24" spans="1:18" ht="13.5" customHeight="1" x14ac:dyDescent="0.3">
      <c r="A24" s="174">
        <v>43958</v>
      </c>
      <c r="B24" s="155">
        <v>516.35</v>
      </c>
      <c r="C24" s="155">
        <f t="shared" si="0"/>
        <v>1.8743217914570384E-2</v>
      </c>
      <c r="E24" s="174">
        <v>43958</v>
      </c>
      <c r="F24" s="175">
        <v>9199.0498046875</v>
      </c>
      <c r="G24" s="155">
        <f t="shared" si="1"/>
        <v>-7.7501195040513404E-3</v>
      </c>
      <c r="J24" s="198" t="s">
        <v>136</v>
      </c>
      <c r="K24" s="199">
        <v>0.88898841473358303</v>
      </c>
      <c r="L24" s="199">
        <v>4.1266123944386203E-2</v>
      </c>
      <c r="M24" s="199">
        <v>21.5428135661993</v>
      </c>
      <c r="N24" s="199">
        <v>9.4925877903676498E-90</v>
      </c>
      <c r="O24" s="199">
        <v>0.80804205512823502</v>
      </c>
      <c r="P24" s="199">
        <v>0.96993477433893005</v>
      </c>
      <c r="Q24" s="199">
        <v>0.80804205512823502</v>
      </c>
      <c r="R24" s="200">
        <v>0.96993477433893005</v>
      </c>
    </row>
    <row r="25" spans="1:18" ht="12.75" customHeight="1" x14ac:dyDescent="0.3">
      <c r="A25" s="174">
        <v>43959</v>
      </c>
      <c r="B25" s="155">
        <v>536.20000000000005</v>
      </c>
      <c r="C25" s="155">
        <f t="shared" si="0"/>
        <v>3.84429166263194E-2</v>
      </c>
      <c r="E25" s="174">
        <v>43959</v>
      </c>
      <c r="F25" s="175">
        <v>9251.5</v>
      </c>
      <c r="G25" s="155">
        <f t="shared" si="1"/>
        <v>5.7016970693835461E-3</v>
      </c>
    </row>
    <row r="26" spans="1:18" ht="12.75" customHeight="1" x14ac:dyDescent="0.3">
      <c r="A26" s="174">
        <v>43962</v>
      </c>
      <c r="B26" s="155">
        <v>530.20000000000005</v>
      </c>
      <c r="C26" s="155">
        <f t="shared" si="0"/>
        <v>-1.1189854531891084E-2</v>
      </c>
      <c r="E26" s="174">
        <v>43962</v>
      </c>
      <c r="F26" s="175">
        <v>9239.2001953125</v>
      </c>
      <c r="G26" s="155">
        <f t="shared" si="1"/>
        <v>-1.3294930214019349E-3</v>
      </c>
    </row>
    <row r="27" spans="1:18" ht="12.75" customHeight="1" x14ac:dyDescent="0.3">
      <c r="A27" s="174">
        <v>43963</v>
      </c>
      <c r="B27" s="155">
        <v>533.25</v>
      </c>
      <c r="C27" s="155">
        <f t="shared" si="0"/>
        <v>5.752546208977658E-3</v>
      </c>
      <c r="E27" s="174">
        <v>43963</v>
      </c>
      <c r="F27" s="175">
        <v>9196.5498046875</v>
      </c>
      <c r="G27" s="155">
        <f t="shared" si="1"/>
        <v>-4.6162427183511663E-3</v>
      </c>
    </row>
    <row r="28" spans="1:18" ht="12.75" customHeight="1" x14ac:dyDescent="0.3">
      <c r="A28" s="174">
        <v>43964</v>
      </c>
      <c r="B28" s="155">
        <v>544.75</v>
      </c>
      <c r="C28" s="155">
        <f t="shared" si="0"/>
        <v>2.1565869667135491E-2</v>
      </c>
      <c r="E28" s="174">
        <v>43964</v>
      </c>
      <c r="F28" s="175">
        <v>9383.5498046875</v>
      </c>
      <c r="G28" s="155">
        <f t="shared" si="1"/>
        <v>2.0333712530397619E-2</v>
      </c>
    </row>
    <row r="29" spans="1:18" ht="12.75" customHeight="1" x14ac:dyDescent="0.3">
      <c r="A29" s="174">
        <v>43965</v>
      </c>
      <c r="B29" s="155">
        <v>515.70000000000005</v>
      </c>
      <c r="C29" s="155">
        <f t="shared" si="0"/>
        <v>-5.3327214318494638E-2</v>
      </c>
      <c r="E29" s="174">
        <v>43965</v>
      </c>
      <c r="F29" s="175">
        <v>9142.75</v>
      </c>
      <c r="G29" s="155">
        <f t="shared" si="1"/>
        <v>-2.5661909373274686E-2</v>
      </c>
    </row>
    <row r="30" spans="1:18" ht="12.75" customHeight="1" x14ac:dyDescent="0.3">
      <c r="A30" s="174">
        <v>43966</v>
      </c>
      <c r="B30" s="155">
        <v>510.55</v>
      </c>
      <c r="C30" s="155">
        <f t="shared" si="0"/>
        <v>-9.9864262167927743E-3</v>
      </c>
      <c r="E30" s="174">
        <v>43966</v>
      </c>
      <c r="F30" s="175">
        <v>9136.849609375</v>
      </c>
      <c r="G30" s="155">
        <f t="shared" si="1"/>
        <v>-6.453627874545405E-4</v>
      </c>
    </row>
    <row r="31" spans="1:18" ht="12.75" customHeight="1" x14ac:dyDescent="0.3">
      <c r="A31" s="174">
        <v>43969</v>
      </c>
      <c r="B31" s="155">
        <v>504.05</v>
      </c>
      <c r="C31" s="155">
        <f t="shared" si="0"/>
        <v>-1.2731368132406228E-2</v>
      </c>
      <c r="E31" s="174">
        <v>43969</v>
      </c>
      <c r="F31" s="175">
        <v>8823.25</v>
      </c>
      <c r="G31" s="155">
        <f t="shared" si="1"/>
        <v>-3.4322509703259917E-2</v>
      </c>
    </row>
    <row r="32" spans="1:18" ht="12.75" customHeight="1" x14ac:dyDescent="0.3">
      <c r="A32" s="174">
        <v>43970</v>
      </c>
      <c r="B32" s="155">
        <v>512.6</v>
      </c>
      <c r="C32" s="155">
        <f t="shared" si="0"/>
        <v>1.6962602916377367E-2</v>
      </c>
      <c r="E32" s="174">
        <v>43970</v>
      </c>
      <c r="F32" s="175">
        <v>8879.099609375</v>
      </c>
      <c r="G32" s="155">
        <f t="shared" si="1"/>
        <v>6.3298228402232735E-3</v>
      </c>
    </row>
    <row r="33" spans="1:7" ht="12.75" customHeight="1" x14ac:dyDescent="0.3">
      <c r="A33" s="174">
        <v>43971</v>
      </c>
      <c r="B33" s="155">
        <v>519.20000000000005</v>
      </c>
      <c r="C33" s="155">
        <f t="shared" si="0"/>
        <v>1.2875536480686739E-2</v>
      </c>
      <c r="E33" s="174">
        <v>43971</v>
      </c>
      <c r="F33" s="175">
        <v>9066.5498046875</v>
      </c>
      <c r="G33" s="155">
        <f t="shared" si="1"/>
        <v>2.1111396826157987E-2</v>
      </c>
    </row>
    <row r="34" spans="1:7" ht="12.75" customHeight="1" x14ac:dyDescent="0.3">
      <c r="A34" s="174">
        <v>43972</v>
      </c>
      <c r="B34" s="155">
        <v>520.04999999999995</v>
      </c>
      <c r="C34" s="155">
        <f t="shared" si="0"/>
        <v>1.6371340523881144E-3</v>
      </c>
      <c r="E34" s="174">
        <v>43972</v>
      </c>
      <c r="F34" s="175">
        <v>9106.25</v>
      </c>
      <c r="G34" s="155">
        <f t="shared" si="1"/>
        <v>4.378754451001261E-3</v>
      </c>
    </row>
    <row r="35" spans="1:7" ht="12.75" customHeight="1" x14ac:dyDescent="0.3">
      <c r="A35" s="174">
        <v>43973</v>
      </c>
      <c r="B35" s="155">
        <v>529.65</v>
      </c>
      <c r="C35" s="155">
        <f t="shared" si="0"/>
        <v>1.8459763484280405E-2</v>
      </c>
      <c r="E35" s="174">
        <v>43973</v>
      </c>
      <c r="F35" s="175">
        <v>9039.25</v>
      </c>
      <c r="G35" s="155">
        <f t="shared" si="1"/>
        <v>-7.3575840768702813E-3</v>
      </c>
    </row>
    <row r="36" spans="1:7" ht="12.75" customHeight="1" x14ac:dyDescent="0.3">
      <c r="A36" s="174">
        <v>43977</v>
      </c>
      <c r="B36" s="155">
        <v>520.45000000000005</v>
      </c>
      <c r="C36" s="155">
        <f t="shared" si="0"/>
        <v>-1.7369961295194813E-2</v>
      </c>
      <c r="E36" s="174">
        <v>43977</v>
      </c>
      <c r="F36" s="175">
        <v>9029.0498046875</v>
      </c>
      <c r="G36" s="155">
        <f t="shared" si="1"/>
        <v>-1.1284338094974694E-3</v>
      </c>
    </row>
    <row r="37" spans="1:7" ht="12.75" customHeight="1" x14ac:dyDescent="0.3">
      <c r="A37" s="174">
        <v>43978</v>
      </c>
      <c r="B37" s="155">
        <v>523.75</v>
      </c>
      <c r="C37" s="155">
        <f t="shared" si="0"/>
        <v>6.3406667307137178E-3</v>
      </c>
      <c r="E37" s="174">
        <v>43978</v>
      </c>
      <c r="F37" s="175">
        <v>9314.9501953125</v>
      </c>
      <c r="G37" s="155">
        <f t="shared" si="1"/>
        <v>3.1664504771761547E-2</v>
      </c>
    </row>
    <row r="38" spans="1:7" ht="12.75" customHeight="1" x14ac:dyDescent="0.3">
      <c r="A38" s="174">
        <v>43979</v>
      </c>
      <c r="B38" s="155">
        <v>529.70000000000005</v>
      </c>
      <c r="C38" s="155">
        <f t="shared" si="0"/>
        <v>1.1360381861575265E-2</v>
      </c>
      <c r="E38" s="174">
        <v>43979</v>
      </c>
      <c r="F38" s="175">
        <v>9490.099609375</v>
      </c>
      <c r="G38" s="155">
        <f t="shared" si="1"/>
        <v>1.8803043536468854E-2</v>
      </c>
    </row>
    <row r="39" spans="1:7" ht="12.75" customHeight="1" x14ac:dyDescent="0.3">
      <c r="A39" s="174">
        <v>43980</v>
      </c>
      <c r="B39" s="155">
        <v>530.45000000000005</v>
      </c>
      <c r="C39" s="155">
        <f t="shared" si="0"/>
        <v>1.4158957900698508E-3</v>
      </c>
      <c r="E39" s="174">
        <v>43980</v>
      </c>
      <c r="F39" s="175">
        <v>9580.2998046875</v>
      </c>
      <c r="G39" s="155">
        <f t="shared" si="1"/>
        <v>9.5046626511057671E-3</v>
      </c>
    </row>
    <row r="40" spans="1:7" ht="12.75" customHeight="1" x14ac:dyDescent="0.3">
      <c r="A40" s="174">
        <v>43983</v>
      </c>
      <c r="B40" s="155">
        <v>543.54999999999995</v>
      </c>
      <c r="C40" s="155">
        <f t="shared" si="0"/>
        <v>2.469601281930419E-2</v>
      </c>
      <c r="E40" s="174">
        <v>43983</v>
      </c>
      <c r="F40" s="175">
        <v>9826.150390625</v>
      </c>
      <c r="G40" s="155">
        <f t="shared" si="1"/>
        <v>2.5662097319460599E-2</v>
      </c>
    </row>
    <row r="41" spans="1:7" ht="12.75" customHeight="1" x14ac:dyDescent="0.3">
      <c r="A41" s="174">
        <v>43984</v>
      </c>
      <c r="B41" s="155">
        <v>547.5</v>
      </c>
      <c r="C41" s="155">
        <f t="shared" si="0"/>
        <v>7.2670407506210026E-3</v>
      </c>
      <c r="E41" s="174">
        <v>43984</v>
      </c>
      <c r="F41" s="175">
        <v>9979.099609375</v>
      </c>
      <c r="G41" s="155">
        <f t="shared" si="1"/>
        <v>1.556552797074293E-2</v>
      </c>
    </row>
    <row r="42" spans="1:7" ht="12.75" customHeight="1" x14ac:dyDescent="0.3">
      <c r="A42" s="174">
        <v>43985</v>
      </c>
      <c r="B42" s="155">
        <v>553.25</v>
      </c>
      <c r="C42" s="155">
        <f t="shared" si="0"/>
        <v>1.0502283105022832E-2</v>
      </c>
      <c r="E42" s="174">
        <v>43985</v>
      </c>
      <c r="F42" s="175">
        <v>10061.5498046875</v>
      </c>
      <c r="G42" s="155">
        <f t="shared" si="1"/>
        <v>8.262288035990847E-3</v>
      </c>
    </row>
    <row r="43" spans="1:7" ht="12.75" customHeight="1" x14ac:dyDescent="0.3">
      <c r="A43" s="174">
        <v>43986</v>
      </c>
      <c r="B43" s="155">
        <v>582.1</v>
      </c>
      <c r="C43" s="155">
        <f t="shared" si="0"/>
        <v>5.2146407591504788E-2</v>
      </c>
      <c r="E43" s="174">
        <v>43986</v>
      </c>
      <c r="F43" s="175">
        <v>10029.099609375</v>
      </c>
      <c r="G43" s="155">
        <f t="shared" si="1"/>
        <v>-3.2251686810099594E-3</v>
      </c>
    </row>
    <row r="44" spans="1:7" ht="12.75" customHeight="1" x14ac:dyDescent="0.3">
      <c r="A44" s="174">
        <v>43987</v>
      </c>
      <c r="B44" s="155">
        <v>579.85</v>
      </c>
      <c r="C44" s="155">
        <f t="shared" si="0"/>
        <v>-3.8653152379316269E-3</v>
      </c>
      <c r="E44" s="174">
        <v>43987</v>
      </c>
      <c r="F44" s="175">
        <v>10142.150390625</v>
      </c>
      <c r="G44" s="155">
        <f t="shared" si="1"/>
        <v>1.1272276241460641E-2</v>
      </c>
    </row>
    <row r="45" spans="1:7" ht="12.75" customHeight="1" x14ac:dyDescent="0.3">
      <c r="A45" s="174">
        <v>43990</v>
      </c>
      <c r="B45" s="155">
        <v>590</v>
      </c>
      <c r="C45" s="155">
        <f t="shared" si="0"/>
        <v>1.7504527032853285E-2</v>
      </c>
      <c r="E45" s="174">
        <v>43990</v>
      </c>
      <c r="F45" s="175">
        <v>10167.4501953125</v>
      </c>
      <c r="G45" s="155">
        <f t="shared" si="1"/>
        <v>2.4945207587225419E-3</v>
      </c>
    </row>
    <row r="46" spans="1:7" ht="12.75" customHeight="1" x14ac:dyDescent="0.3">
      <c r="A46" s="174">
        <v>43991</v>
      </c>
      <c r="B46" s="155">
        <v>586.20000000000005</v>
      </c>
      <c r="C46" s="155">
        <f t="shared" si="0"/>
        <v>-6.4406779661016177E-3</v>
      </c>
      <c r="E46" s="174">
        <v>43991</v>
      </c>
      <c r="F46" s="175">
        <v>10046.650390625</v>
      </c>
      <c r="G46" s="155">
        <f t="shared" si="1"/>
        <v>-1.1881032349997872E-2</v>
      </c>
    </row>
    <row r="47" spans="1:7" ht="12.75" customHeight="1" x14ac:dyDescent="0.3">
      <c r="A47" s="174">
        <v>43992</v>
      </c>
      <c r="B47" s="155">
        <v>590.5</v>
      </c>
      <c r="C47" s="155">
        <f t="shared" si="0"/>
        <v>7.3353804162401125E-3</v>
      </c>
      <c r="E47" s="174">
        <v>43992</v>
      </c>
      <c r="F47" s="175">
        <v>10116.150390625</v>
      </c>
      <c r="G47" s="155">
        <f t="shared" si="1"/>
        <v>6.9177285262014996E-3</v>
      </c>
    </row>
    <row r="48" spans="1:7" ht="12.75" customHeight="1" x14ac:dyDescent="0.3">
      <c r="A48" s="174">
        <v>43993</v>
      </c>
      <c r="B48" s="155">
        <v>571.85</v>
      </c>
      <c r="C48" s="155">
        <f t="shared" si="0"/>
        <v>-3.1583403895004192E-2</v>
      </c>
      <c r="E48" s="174">
        <v>43993</v>
      </c>
      <c r="F48" s="175">
        <v>9902</v>
      </c>
      <c r="G48" s="155">
        <f t="shared" si="1"/>
        <v>-2.1169158460066079E-2</v>
      </c>
    </row>
    <row r="49" spans="1:7" ht="12.75" customHeight="1" x14ac:dyDescent="0.3">
      <c r="A49" s="174">
        <v>43994</v>
      </c>
      <c r="B49" s="155">
        <v>554.70000000000005</v>
      </c>
      <c r="C49" s="155">
        <f t="shared" si="0"/>
        <v>-2.999038209320622E-2</v>
      </c>
      <c r="E49" s="174">
        <v>43994</v>
      </c>
      <c r="F49" s="175">
        <v>9972.900390625</v>
      </c>
      <c r="G49" s="155">
        <f t="shared" si="1"/>
        <v>7.1602091117955969E-3</v>
      </c>
    </row>
    <row r="50" spans="1:7" ht="12.75" customHeight="1" x14ac:dyDescent="0.3">
      <c r="A50" s="174">
        <v>43997</v>
      </c>
      <c r="B50" s="155">
        <v>548.79999999999995</v>
      </c>
      <c r="C50" s="155">
        <f t="shared" si="0"/>
        <v>-1.063638002523903E-2</v>
      </c>
      <c r="E50" s="174">
        <v>43997</v>
      </c>
      <c r="F50" s="175">
        <v>9813.7001953125</v>
      </c>
      <c r="G50" s="155">
        <f t="shared" si="1"/>
        <v>-1.5963279394844428E-2</v>
      </c>
    </row>
    <row r="51" spans="1:7" ht="12.75" customHeight="1" x14ac:dyDescent="0.3">
      <c r="A51" s="174">
        <v>43998</v>
      </c>
      <c r="B51" s="155">
        <v>533.29999999999995</v>
      </c>
      <c r="C51" s="155">
        <f t="shared" si="0"/>
        <v>-2.8243440233236154E-2</v>
      </c>
      <c r="E51" s="174">
        <v>43998</v>
      </c>
      <c r="F51" s="175">
        <v>9914</v>
      </c>
      <c r="G51" s="155">
        <f t="shared" si="1"/>
        <v>1.0220386061458048E-2</v>
      </c>
    </row>
    <row r="52" spans="1:7" ht="12.75" customHeight="1" x14ac:dyDescent="0.3">
      <c r="A52" s="174">
        <v>43999</v>
      </c>
      <c r="B52" s="155">
        <v>535.54999999999995</v>
      </c>
      <c r="C52" s="155">
        <f t="shared" si="0"/>
        <v>4.2190136883555225E-3</v>
      </c>
      <c r="E52" s="174">
        <v>43999</v>
      </c>
      <c r="F52" s="175">
        <v>9881.150390625</v>
      </c>
      <c r="G52" s="155">
        <f t="shared" si="1"/>
        <v>-3.3134566648174301E-3</v>
      </c>
    </row>
    <row r="53" spans="1:7" ht="12.75" customHeight="1" x14ac:dyDescent="0.3">
      <c r="A53" s="174">
        <v>44000</v>
      </c>
      <c r="B53" s="155">
        <v>535.9</v>
      </c>
      <c r="C53" s="155">
        <f t="shared" si="0"/>
        <v>6.5353375035014983E-4</v>
      </c>
      <c r="E53" s="174">
        <v>44000</v>
      </c>
      <c r="F53" s="175">
        <v>10091.650390625</v>
      </c>
      <c r="G53" s="155">
        <f t="shared" si="1"/>
        <v>2.1303187551898549E-2</v>
      </c>
    </row>
    <row r="54" spans="1:7" ht="12.75" customHeight="1" x14ac:dyDescent="0.3">
      <c r="A54" s="174">
        <v>44001</v>
      </c>
      <c r="B54" s="155">
        <v>538.85</v>
      </c>
      <c r="C54" s="155">
        <f t="shared" si="0"/>
        <v>5.5047583504385994E-3</v>
      </c>
      <c r="E54" s="174">
        <v>44001</v>
      </c>
      <c r="F54" s="175">
        <v>10244.400390625</v>
      </c>
      <c r="G54" s="155">
        <f t="shared" si="1"/>
        <v>1.5136275444292302E-2</v>
      </c>
    </row>
    <row r="55" spans="1:7" ht="12.75" customHeight="1" x14ac:dyDescent="0.3">
      <c r="A55" s="174">
        <v>44004</v>
      </c>
      <c r="B55" s="155">
        <v>548.5</v>
      </c>
      <c r="C55" s="155">
        <f t="shared" si="0"/>
        <v>1.7908508861464185E-2</v>
      </c>
      <c r="E55" s="174">
        <v>44004</v>
      </c>
      <c r="F55" s="175">
        <v>10311.2001953125</v>
      </c>
      <c r="G55" s="155">
        <f t="shared" si="1"/>
        <v>6.5206163504338216E-3</v>
      </c>
    </row>
    <row r="56" spans="1:7" ht="12.75" customHeight="1" x14ac:dyDescent="0.3">
      <c r="A56" s="174">
        <v>44005</v>
      </c>
      <c r="B56" s="155">
        <v>558.79999999999995</v>
      </c>
      <c r="C56" s="155">
        <f t="shared" si="0"/>
        <v>1.8778486782133008E-2</v>
      </c>
      <c r="E56" s="174">
        <v>44005</v>
      </c>
      <c r="F56" s="175">
        <v>10471</v>
      </c>
      <c r="G56" s="155">
        <f t="shared" si="1"/>
        <v>1.5497691991291706E-2</v>
      </c>
    </row>
    <row r="57" spans="1:7" ht="12.75" customHeight="1" x14ac:dyDescent="0.3">
      <c r="A57" s="174">
        <v>44006</v>
      </c>
      <c r="B57" s="155">
        <v>560.95000000000005</v>
      </c>
      <c r="C57" s="155">
        <f t="shared" si="0"/>
        <v>3.8475304223337349E-3</v>
      </c>
      <c r="E57" s="174">
        <v>44006</v>
      </c>
      <c r="F57" s="175">
        <v>10305.2998046875</v>
      </c>
      <c r="G57" s="155">
        <f t="shared" si="1"/>
        <v>-1.5824677233549803E-2</v>
      </c>
    </row>
    <row r="58" spans="1:7" ht="12.75" customHeight="1" x14ac:dyDescent="0.3">
      <c r="A58" s="174">
        <v>44007</v>
      </c>
      <c r="B58" s="155">
        <v>554.15</v>
      </c>
      <c r="C58" s="155">
        <f t="shared" si="0"/>
        <v>-1.2122292539442138E-2</v>
      </c>
      <c r="E58" s="174">
        <v>44007</v>
      </c>
      <c r="F58" s="175">
        <v>10288.900390625</v>
      </c>
      <c r="G58" s="155">
        <f t="shared" si="1"/>
        <v>-1.5913572989929427E-3</v>
      </c>
    </row>
    <row r="59" spans="1:7" ht="12.75" customHeight="1" x14ac:dyDescent="0.3">
      <c r="A59" s="174">
        <v>44008</v>
      </c>
      <c r="B59" s="155">
        <v>560.85</v>
      </c>
      <c r="C59" s="155">
        <f t="shared" si="0"/>
        <v>1.2090589190652434E-2</v>
      </c>
      <c r="E59" s="174">
        <v>44008</v>
      </c>
      <c r="F59" s="175">
        <v>10383</v>
      </c>
      <c r="G59" s="155">
        <f t="shared" si="1"/>
        <v>9.1457401473865295E-3</v>
      </c>
    </row>
    <row r="60" spans="1:7" ht="12.75" customHeight="1" x14ac:dyDescent="0.3">
      <c r="A60" s="174">
        <v>44011</v>
      </c>
      <c r="B60" s="155">
        <v>541.54999999999995</v>
      </c>
      <c r="C60" s="155">
        <f t="shared" si="0"/>
        <v>-3.4412053133636565E-2</v>
      </c>
      <c r="E60" s="174">
        <v>44011</v>
      </c>
      <c r="F60" s="175">
        <v>10312.400390625</v>
      </c>
      <c r="G60" s="155">
        <f t="shared" si="1"/>
        <v>-6.7995386087835886E-3</v>
      </c>
    </row>
    <row r="61" spans="1:7" ht="12.75" customHeight="1" x14ac:dyDescent="0.3">
      <c r="A61" s="174">
        <v>44012</v>
      </c>
      <c r="B61" s="155">
        <v>543.4</v>
      </c>
      <c r="C61" s="155">
        <f t="shared" si="0"/>
        <v>3.416120395162077E-3</v>
      </c>
      <c r="E61" s="174">
        <v>44012</v>
      </c>
      <c r="F61" s="175">
        <v>10302.099609375</v>
      </c>
      <c r="G61" s="155">
        <f t="shared" si="1"/>
        <v>-9.9887328457149869E-4</v>
      </c>
    </row>
    <row r="62" spans="1:7" ht="12.75" customHeight="1" x14ac:dyDescent="0.3">
      <c r="A62" s="174">
        <v>44013</v>
      </c>
      <c r="B62" s="155">
        <v>545.9</v>
      </c>
      <c r="C62" s="155">
        <f t="shared" si="0"/>
        <v>4.600662495399338E-3</v>
      </c>
      <c r="E62" s="174">
        <v>44013</v>
      </c>
      <c r="F62" s="175">
        <v>10430.0498046875</v>
      </c>
      <c r="G62" s="155">
        <f t="shared" si="1"/>
        <v>1.2419817334717306E-2</v>
      </c>
    </row>
    <row r="63" spans="1:7" ht="12.75" customHeight="1" x14ac:dyDescent="0.3">
      <c r="A63" s="174">
        <v>44014</v>
      </c>
      <c r="B63" s="155">
        <v>560.85</v>
      </c>
      <c r="C63" s="155">
        <f t="shared" si="0"/>
        <v>2.7385968126030492E-2</v>
      </c>
      <c r="E63" s="174">
        <v>44014</v>
      </c>
      <c r="F63" s="175">
        <v>10551.7001953125</v>
      </c>
      <c r="G63" s="155">
        <f t="shared" si="1"/>
        <v>1.1663452514898594E-2</v>
      </c>
    </row>
    <row r="64" spans="1:7" ht="12.75" customHeight="1" x14ac:dyDescent="0.3">
      <c r="A64" s="174">
        <v>44015</v>
      </c>
      <c r="B64" s="155">
        <v>567.20000000000005</v>
      </c>
      <c r="C64" s="155">
        <f t="shared" si="0"/>
        <v>1.1322100383346747E-2</v>
      </c>
      <c r="E64" s="174">
        <v>44015</v>
      </c>
      <c r="F64" s="175">
        <v>10607.349609375</v>
      </c>
      <c r="G64" s="155">
        <f t="shared" si="1"/>
        <v>5.2739760448483703E-3</v>
      </c>
    </row>
    <row r="65" spans="1:7" ht="12.75" customHeight="1" x14ac:dyDescent="0.3">
      <c r="A65" s="174">
        <v>44018</v>
      </c>
      <c r="B65" s="155">
        <v>581.54999999999995</v>
      </c>
      <c r="C65" s="155">
        <f t="shared" si="0"/>
        <v>2.5299717912552731E-2</v>
      </c>
      <c r="E65" s="174">
        <v>44018</v>
      </c>
      <c r="F65" s="175">
        <v>10763.650390625</v>
      </c>
      <c r="G65" s="155">
        <f t="shared" si="1"/>
        <v>1.4735139974255027E-2</v>
      </c>
    </row>
    <row r="66" spans="1:7" ht="12.75" customHeight="1" x14ac:dyDescent="0.3">
      <c r="A66" s="174">
        <v>44019</v>
      </c>
      <c r="B66" s="155">
        <v>586.85</v>
      </c>
      <c r="C66" s="155">
        <f t="shared" si="0"/>
        <v>9.113575788840287E-3</v>
      </c>
      <c r="E66" s="174">
        <v>44019</v>
      </c>
      <c r="F66" s="175">
        <v>10799.650390625</v>
      </c>
      <c r="G66" s="155">
        <f t="shared" si="1"/>
        <v>3.3445902359812369E-3</v>
      </c>
    </row>
    <row r="67" spans="1:7" ht="12.75" customHeight="1" x14ac:dyDescent="0.3">
      <c r="A67" s="174">
        <v>44020</v>
      </c>
      <c r="B67" s="155">
        <v>583.45000000000005</v>
      </c>
      <c r="C67" s="155">
        <f t="shared" si="0"/>
        <v>-5.7936440316946015E-3</v>
      </c>
      <c r="E67" s="174">
        <v>44020</v>
      </c>
      <c r="F67" s="175">
        <v>10705.75</v>
      </c>
      <c r="G67" s="155">
        <f t="shared" si="1"/>
        <v>-8.6947620736420681E-3</v>
      </c>
    </row>
    <row r="68" spans="1:7" ht="12.75" customHeight="1" x14ac:dyDescent="0.3">
      <c r="A68" s="174">
        <v>44021</v>
      </c>
      <c r="B68" s="155">
        <v>577.29999999999995</v>
      </c>
      <c r="C68" s="155">
        <f t="shared" ref="C68:C131" si="2">(B68-B67)/B67</f>
        <v>-1.0540748993058686E-2</v>
      </c>
      <c r="E68" s="174">
        <v>44021</v>
      </c>
      <c r="F68" s="175">
        <v>10813.4501953125</v>
      </c>
      <c r="G68" s="155">
        <f t="shared" ref="G68:G131" si="3">(F68-F67)/F67</f>
        <v>1.0060032721901781E-2</v>
      </c>
    </row>
    <row r="69" spans="1:7" ht="12.75" customHeight="1" x14ac:dyDescent="0.3">
      <c r="A69" s="174">
        <v>44022</v>
      </c>
      <c r="B69" s="155">
        <v>569</v>
      </c>
      <c r="C69" s="155">
        <f t="shared" si="2"/>
        <v>-1.4377273514637027E-2</v>
      </c>
      <c r="E69" s="174">
        <v>44022</v>
      </c>
      <c r="F69" s="175">
        <v>10768.0498046875</v>
      </c>
      <c r="G69" s="155">
        <f t="shared" si="3"/>
        <v>-4.198511095439319E-3</v>
      </c>
    </row>
    <row r="70" spans="1:7" ht="12.75" customHeight="1" x14ac:dyDescent="0.3">
      <c r="A70" s="174">
        <v>44025</v>
      </c>
      <c r="B70" s="155">
        <v>600.04999999999995</v>
      </c>
      <c r="C70" s="155">
        <f t="shared" si="2"/>
        <v>5.4569420035149308E-2</v>
      </c>
      <c r="E70" s="174">
        <v>44025</v>
      </c>
      <c r="F70" s="175">
        <v>10802.7001953125</v>
      </c>
      <c r="G70" s="155">
        <f t="shared" si="3"/>
        <v>3.2178891492418752E-3</v>
      </c>
    </row>
    <row r="71" spans="1:7" ht="12.75" customHeight="1" x14ac:dyDescent="0.3">
      <c r="A71" s="174">
        <v>44026</v>
      </c>
      <c r="B71" s="155">
        <v>598.29999999999995</v>
      </c>
      <c r="C71" s="155">
        <f t="shared" si="2"/>
        <v>-2.9164236313640531E-3</v>
      </c>
      <c r="E71" s="174">
        <v>44026</v>
      </c>
      <c r="F71" s="175">
        <v>10607.349609375</v>
      </c>
      <c r="G71" s="155">
        <f t="shared" si="3"/>
        <v>-1.8083496015400519E-2</v>
      </c>
    </row>
    <row r="72" spans="1:7" ht="12.75" customHeight="1" x14ac:dyDescent="0.3">
      <c r="A72" s="174">
        <v>44027</v>
      </c>
      <c r="B72" s="155">
        <v>615.29999999999995</v>
      </c>
      <c r="C72" s="155">
        <f t="shared" si="2"/>
        <v>2.8413839211098114E-2</v>
      </c>
      <c r="E72" s="174">
        <v>44027</v>
      </c>
      <c r="F72" s="175">
        <v>10618.2001953125</v>
      </c>
      <c r="G72" s="155">
        <f t="shared" si="3"/>
        <v>1.0229309240368605E-3</v>
      </c>
    </row>
    <row r="73" spans="1:7" ht="12.75" customHeight="1" x14ac:dyDescent="0.3">
      <c r="A73" s="174">
        <v>44028</v>
      </c>
      <c r="B73" s="155">
        <v>599.4</v>
      </c>
      <c r="C73" s="155">
        <f t="shared" si="2"/>
        <v>-2.5841053144807377E-2</v>
      </c>
      <c r="E73" s="174">
        <v>44028</v>
      </c>
      <c r="F73" s="175">
        <v>10739.9501953125</v>
      </c>
      <c r="G73" s="155">
        <f t="shared" si="3"/>
        <v>1.1466161662100478E-2</v>
      </c>
    </row>
    <row r="74" spans="1:7" ht="12.75" customHeight="1" x14ac:dyDescent="0.3">
      <c r="A74" s="174">
        <v>44029</v>
      </c>
      <c r="B74" s="155">
        <v>599.70000000000005</v>
      </c>
      <c r="C74" s="155">
        <f t="shared" si="2"/>
        <v>5.0050050050061434E-4</v>
      </c>
      <c r="E74" s="174">
        <v>44029</v>
      </c>
      <c r="F74" s="175">
        <v>10901.7001953125</v>
      </c>
      <c r="G74" s="155">
        <f t="shared" si="3"/>
        <v>1.5060591255869745E-2</v>
      </c>
    </row>
    <row r="75" spans="1:7" ht="12.75" customHeight="1" x14ac:dyDescent="0.3">
      <c r="A75" s="174">
        <v>44032</v>
      </c>
      <c r="B75" s="155">
        <v>622.85</v>
      </c>
      <c r="C75" s="155">
        <f t="shared" si="2"/>
        <v>3.8602634650658621E-2</v>
      </c>
      <c r="E75" s="174">
        <v>44032</v>
      </c>
      <c r="F75" s="175">
        <v>11022.2001953125</v>
      </c>
      <c r="G75" s="155">
        <f t="shared" si="3"/>
        <v>1.1053321760931606E-2</v>
      </c>
    </row>
    <row r="76" spans="1:7" ht="12.75" customHeight="1" x14ac:dyDescent="0.3">
      <c r="A76" s="174">
        <v>44033</v>
      </c>
      <c r="B76" s="155">
        <v>620.70000000000005</v>
      </c>
      <c r="C76" s="155">
        <f t="shared" si="2"/>
        <v>-3.4518744481014324E-3</v>
      </c>
      <c r="E76" s="174">
        <v>44033</v>
      </c>
      <c r="F76" s="175">
        <v>11162.25</v>
      </c>
      <c r="G76" s="155">
        <f t="shared" si="3"/>
        <v>1.2706156865764434E-2</v>
      </c>
    </row>
    <row r="77" spans="1:7" ht="12.75" customHeight="1" x14ac:dyDescent="0.3">
      <c r="A77" s="174">
        <v>44034</v>
      </c>
      <c r="B77" s="155">
        <v>617.95000000000005</v>
      </c>
      <c r="C77" s="155">
        <f t="shared" si="2"/>
        <v>-4.4304817141936521E-3</v>
      </c>
      <c r="E77" s="174">
        <v>44034</v>
      </c>
      <c r="F77" s="175">
        <v>11132.599609375</v>
      </c>
      <c r="G77" s="155">
        <f t="shared" si="3"/>
        <v>-2.6563094918139263E-3</v>
      </c>
    </row>
    <row r="78" spans="1:7" ht="12.75" customHeight="1" x14ac:dyDescent="0.3">
      <c r="A78" s="174">
        <v>44035</v>
      </c>
      <c r="B78" s="155">
        <v>632.45000000000005</v>
      </c>
      <c r="C78" s="155">
        <f t="shared" si="2"/>
        <v>2.3464681608544379E-2</v>
      </c>
      <c r="E78" s="174">
        <v>44035</v>
      </c>
      <c r="F78" s="175">
        <v>11215.4501953125</v>
      </c>
      <c r="G78" s="155">
        <f t="shared" si="3"/>
        <v>7.4421598588464239E-3</v>
      </c>
    </row>
    <row r="79" spans="1:7" ht="12.75" customHeight="1" x14ac:dyDescent="0.3">
      <c r="A79" s="174">
        <v>44036</v>
      </c>
      <c r="B79" s="155">
        <v>652.6</v>
      </c>
      <c r="C79" s="155">
        <f t="shared" si="2"/>
        <v>3.1860226104830386E-2</v>
      </c>
      <c r="E79" s="174">
        <v>44036</v>
      </c>
      <c r="F79" s="175">
        <v>11194.150390625</v>
      </c>
      <c r="G79" s="155">
        <f t="shared" si="3"/>
        <v>-1.8991484351116158E-3</v>
      </c>
    </row>
    <row r="80" spans="1:7" ht="12.75" customHeight="1" x14ac:dyDescent="0.3">
      <c r="A80" s="174">
        <v>44039</v>
      </c>
      <c r="B80" s="155">
        <v>664.55</v>
      </c>
      <c r="C80" s="155">
        <f t="shared" si="2"/>
        <v>1.8311369904995298E-2</v>
      </c>
      <c r="E80" s="174">
        <v>44039</v>
      </c>
      <c r="F80" s="175">
        <v>11131.7998046875</v>
      </c>
      <c r="G80" s="155">
        <f t="shared" si="3"/>
        <v>-5.5699256988469672E-3</v>
      </c>
    </row>
    <row r="81" spans="1:7" ht="12.75" customHeight="1" x14ac:dyDescent="0.3">
      <c r="A81" s="174">
        <v>44040</v>
      </c>
      <c r="B81" s="155">
        <v>684.35</v>
      </c>
      <c r="C81" s="155">
        <f t="shared" si="2"/>
        <v>2.9794597848168038E-2</v>
      </c>
      <c r="E81" s="174">
        <v>44040</v>
      </c>
      <c r="F81" s="175">
        <v>11300.5498046875</v>
      </c>
      <c r="G81" s="155">
        <f t="shared" si="3"/>
        <v>1.515927369884436E-2</v>
      </c>
    </row>
    <row r="82" spans="1:7" ht="12.75" customHeight="1" x14ac:dyDescent="0.3">
      <c r="A82" s="174">
        <v>44041</v>
      </c>
      <c r="B82" s="155">
        <v>676.4</v>
      </c>
      <c r="C82" s="155">
        <f t="shared" si="2"/>
        <v>-1.161686271644633E-2</v>
      </c>
      <c r="E82" s="174">
        <v>44041</v>
      </c>
      <c r="F82" s="175">
        <v>11202.849609375</v>
      </c>
      <c r="G82" s="155">
        <f t="shared" si="3"/>
        <v>-8.6456143286031701E-3</v>
      </c>
    </row>
    <row r="83" spans="1:7" ht="12.75" customHeight="1" x14ac:dyDescent="0.3">
      <c r="A83" s="174">
        <v>44042</v>
      </c>
      <c r="B83" s="155">
        <v>674.75</v>
      </c>
      <c r="C83" s="155">
        <f t="shared" si="2"/>
        <v>-2.4393849793021547E-3</v>
      </c>
      <c r="E83" s="174">
        <v>44042</v>
      </c>
      <c r="F83" s="175">
        <v>11102.150390625</v>
      </c>
      <c r="G83" s="155">
        <f t="shared" si="3"/>
        <v>-8.988714680747906E-3</v>
      </c>
    </row>
    <row r="84" spans="1:7" ht="12.75" customHeight="1" x14ac:dyDescent="0.3">
      <c r="A84" s="174">
        <v>44043</v>
      </c>
      <c r="B84" s="155">
        <v>681.65</v>
      </c>
      <c r="C84" s="155">
        <f t="shared" si="2"/>
        <v>1.0226009633197447E-2</v>
      </c>
      <c r="E84" s="174">
        <v>44043</v>
      </c>
      <c r="F84" s="175">
        <v>11073.4501953125</v>
      </c>
      <c r="G84" s="155">
        <f t="shared" si="3"/>
        <v>-2.5851023723057593E-3</v>
      </c>
    </row>
    <row r="85" spans="1:7" ht="12.75" customHeight="1" x14ac:dyDescent="0.3">
      <c r="A85" s="174">
        <v>44046</v>
      </c>
      <c r="B85" s="155">
        <v>673.6</v>
      </c>
      <c r="C85" s="155">
        <f t="shared" si="2"/>
        <v>-1.1809579696325028E-2</v>
      </c>
      <c r="E85" s="174">
        <v>44046</v>
      </c>
      <c r="F85" s="175">
        <v>10891.599609375</v>
      </c>
      <c r="G85" s="155">
        <f t="shared" si="3"/>
        <v>-1.6422215545294015E-2</v>
      </c>
    </row>
    <row r="86" spans="1:7" ht="12.75" customHeight="1" x14ac:dyDescent="0.3">
      <c r="A86" s="174">
        <v>44047</v>
      </c>
      <c r="B86" s="155">
        <v>652.65</v>
      </c>
      <c r="C86" s="155">
        <f t="shared" si="2"/>
        <v>-3.110154394299294E-2</v>
      </c>
      <c r="E86" s="174">
        <v>44047</v>
      </c>
      <c r="F86" s="175">
        <v>11095.25</v>
      </c>
      <c r="G86" s="155">
        <f t="shared" si="3"/>
        <v>1.8697932161379389E-2</v>
      </c>
    </row>
    <row r="87" spans="1:7" ht="12.75" customHeight="1" x14ac:dyDescent="0.3">
      <c r="A87" s="174">
        <v>44048</v>
      </c>
      <c r="B87" s="155">
        <v>648.54999999999995</v>
      </c>
      <c r="C87" s="155">
        <f t="shared" si="2"/>
        <v>-6.2820807477208659E-3</v>
      </c>
      <c r="E87" s="174">
        <v>44048</v>
      </c>
      <c r="F87" s="175">
        <v>11101.650390625</v>
      </c>
      <c r="G87" s="155">
        <f t="shared" si="3"/>
        <v>5.7685862193280904E-4</v>
      </c>
    </row>
    <row r="88" spans="1:7" ht="12.75" customHeight="1" x14ac:dyDescent="0.3">
      <c r="A88" s="174">
        <v>44049</v>
      </c>
      <c r="B88" s="155">
        <v>660.35</v>
      </c>
      <c r="C88" s="155">
        <f t="shared" si="2"/>
        <v>1.8194433736797577E-2</v>
      </c>
      <c r="E88" s="174">
        <v>44049</v>
      </c>
      <c r="F88" s="175">
        <v>11200.150390625</v>
      </c>
      <c r="G88" s="155">
        <f t="shared" si="3"/>
        <v>8.872554668374371E-3</v>
      </c>
    </row>
    <row r="89" spans="1:7" ht="12.75" customHeight="1" x14ac:dyDescent="0.3">
      <c r="A89" s="174">
        <v>44050</v>
      </c>
      <c r="B89" s="155">
        <v>662.45</v>
      </c>
      <c r="C89" s="155">
        <f t="shared" si="2"/>
        <v>3.1801317483153217E-3</v>
      </c>
      <c r="E89" s="174">
        <v>44050</v>
      </c>
      <c r="F89" s="175">
        <v>11214.0498046875</v>
      </c>
      <c r="G89" s="155">
        <f t="shared" si="3"/>
        <v>1.2410024488719721E-3</v>
      </c>
    </row>
    <row r="90" spans="1:7" ht="12.75" customHeight="1" x14ac:dyDescent="0.3">
      <c r="A90" s="174">
        <v>44053</v>
      </c>
      <c r="B90" s="155">
        <v>681.85</v>
      </c>
      <c r="C90" s="155">
        <f t="shared" si="2"/>
        <v>2.9285229073892333E-2</v>
      </c>
      <c r="E90" s="174">
        <v>44053</v>
      </c>
      <c r="F90" s="175">
        <v>11270.150390625</v>
      </c>
      <c r="G90" s="155">
        <f t="shared" si="3"/>
        <v>5.0027052594371233E-3</v>
      </c>
    </row>
    <row r="91" spans="1:7" ht="12.75" customHeight="1" x14ac:dyDescent="0.3">
      <c r="A91" s="174">
        <v>44054</v>
      </c>
      <c r="B91" s="155">
        <v>674.8</v>
      </c>
      <c r="C91" s="155">
        <f t="shared" si="2"/>
        <v>-1.0339517489183938E-2</v>
      </c>
      <c r="E91" s="174">
        <v>44054</v>
      </c>
      <c r="F91" s="175">
        <v>11322.5</v>
      </c>
      <c r="G91" s="155">
        <f t="shared" si="3"/>
        <v>4.6449787767292505E-3</v>
      </c>
    </row>
    <row r="92" spans="1:7" ht="12.75" customHeight="1" x14ac:dyDescent="0.3">
      <c r="A92" s="174">
        <v>44055</v>
      </c>
      <c r="B92" s="155">
        <v>692.05</v>
      </c>
      <c r="C92" s="155">
        <f t="shared" si="2"/>
        <v>2.5563129816241852E-2</v>
      </c>
      <c r="E92" s="174">
        <v>44055</v>
      </c>
      <c r="F92" s="175">
        <v>11308.400390625</v>
      </c>
      <c r="G92" s="155">
        <f t="shared" si="3"/>
        <v>-1.2452735151247515E-3</v>
      </c>
    </row>
    <row r="93" spans="1:7" ht="12.75" customHeight="1" x14ac:dyDescent="0.3">
      <c r="A93" s="174">
        <v>44056</v>
      </c>
      <c r="B93" s="155">
        <v>697.05</v>
      </c>
      <c r="C93" s="155">
        <f t="shared" si="2"/>
        <v>7.2249114948341889E-3</v>
      </c>
      <c r="E93" s="174">
        <v>44056</v>
      </c>
      <c r="F93" s="175">
        <v>11300.4501953125</v>
      </c>
      <c r="G93" s="155">
        <f t="shared" si="3"/>
        <v>-7.0303447330101151E-4</v>
      </c>
    </row>
    <row r="94" spans="1:7" ht="12.75" customHeight="1" x14ac:dyDescent="0.3">
      <c r="A94" s="174">
        <v>44057</v>
      </c>
      <c r="B94" s="155">
        <v>695.9</v>
      </c>
      <c r="C94" s="155">
        <f t="shared" si="2"/>
        <v>-1.64980991320562E-3</v>
      </c>
      <c r="E94" s="174">
        <v>44057</v>
      </c>
      <c r="F94" s="175">
        <v>11178.400390625</v>
      </c>
      <c r="G94" s="155">
        <f t="shared" si="3"/>
        <v>-1.0800437378868946E-2</v>
      </c>
    </row>
    <row r="95" spans="1:7" ht="12.75" customHeight="1" x14ac:dyDescent="0.3">
      <c r="A95" s="174">
        <v>44060</v>
      </c>
      <c r="B95" s="155">
        <v>721.05</v>
      </c>
      <c r="C95" s="155">
        <f t="shared" si="2"/>
        <v>3.6140250035924672E-2</v>
      </c>
      <c r="E95" s="174">
        <v>44060</v>
      </c>
      <c r="F95" s="175">
        <v>11247.099609375</v>
      </c>
      <c r="G95" s="155">
        <f t="shared" si="3"/>
        <v>6.1457110453492112E-3</v>
      </c>
    </row>
    <row r="96" spans="1:7" ht="12.75" customHeight="1" x14ac:dyDescent="0.3">
      <c r="A96" s="174">
        <v>44061</v>
      </c>
      <c r="B96" s="155">
        <v>713.05</v>
      </c>
      <c r="C96" s="155">
        <f t="shared" si="2"/>
        <v>-1.1094931003397823E-2</v>
      </c>
      <c r="E96" s="174">
        <v>44061</v>
      </c>
      <c r="F96" s="175">
        <v>11385.349609375</v>
      </c>
      <c r="G96" s="155">
        <f t="shared" si="3"/>
        <v>1.2292057935075276E-2</v>
      </c>
    </row>
    <row r="97" spans="1:7" ht="12.75" customHeight="1" x14ac:dyDescent="0.3">
      <c r="A97" s="174">
        <v>44062</v>
      </c>
      <c r="B97" s="155">
        <v>726.7</v>
      </c>
      <c r="C97" s="155">
        <f t="shared" si="2"/>
        <v>1.9143117593436773E-2</v>
      </c>
      <c r="E97" s="174">
        <v>44062</v>
      </c>
      <c r="F97" s="175">
        <v>11408.400390625</v>
      </c>
      <c r="G97" s="155">
        <f t="shared" si="3"/>
        <v>2.0246002135076617E-3</v>
      </c>
    </row>
    <row r="98" spans="1:7" ht="12.75" customHeight="1" x14ac:dyDescent="0.3">
      <c r="A98" s="174">
        <v>44063</v>
      </c>
      <c r="B98" s="155">
        <v>726.4</v>
      </c>
      <c r="C98" s="155">
        <f t="shared" si="2"/>
        <v>-4.128250997661596E-4</v>
      </c>
      <c r="E98" s="174">
        <v>44063</v>
      </c>
      <c r="F98" s="175">
        <v>11312.2001953125</v>
      </c>
      <c r="G98" s="155">
        <f t="shared" si="3"/>
        <v>-8.432399987605076E-3</v>
      </c>
    </row>
    <row r="99" spans="1:7" ht="12.75" customHeight="1" x14ac:dyDescent="0.3">
      <c r="A99" s="174">
        <v>44064</v>
      </c>
      <c r="B99" s="155">
        <v>732.6</v>
      </c>
      <c r="C99" s="155">
        <f t="shared" si="2"/>
        <v>8.5352422907489615E-3</v>
      </c>
      <c r="E99" s="174">
        <v>44064</v>
      </c>
      <c r="F99" s="175">
        <v>11371.599609375</v>
      </c>
      <c r="G99" s="155">
        <f t="shared" si="3"/>
        <v>5.2509160938571144E-3</v>
      </c>
    </row>
    <row r="100" spans="1:7" ht="12.75" customHeight="1" x14ac:dyDescent="0.3">
      <c r="A100" s="174">
        <v>44067</v>
      </c>
      <c r="B100" s="155">
        <v>722.5</v>
      </c>
      <c r="C100" s="155">
        <f t="shared" si="2"/>
        <v>-1.3786513786513818E-2</v>
      </c>
      <c r="E100" s="174">
        <v>44067</v>
      </c>
      <c r="F100" s="175">
        <v>11466.4501953125</v>
      </c>
      <c r="G100" s="155">
        <f t="shared" si="3"/>
        <v>8.341006471886599E-3</v>
      </c>
    </row>
    <row r="101" spans="1:7" ht="12.75" customHeight="1" x14ac:dyDescent="0.3">
      <c r="A101" s="174">
        <v>44068</v>
      </c>
      <c r="B101" s="155">
        <v>738.6</v>
      </c>
      <c r="C101" s="155">
        <f t="shared" si="2"/>
        <v>2.2283737024221484E-2</v>
      </c>
      <c r="E101" s="174">
        <v>44068</v>
      </c>
      <c r="F101" s="175">
        <v>11472.25</v>
      </c>
      <c r="G101" s="155">
        <f t="shared" si="3"/>
        <v>5.0580646919575584E-4</v>
      </c>
    </row>
    <row r="102" spans="1:7" ht="12.75" customHeight="1" x14ac:dyDescent="0.3">
      <c r="A102" s="174">
        <v>44069</v>
      </c>
      <c r="B102" s="155">
        <v>732.85</v>
      </c>
      <c r="C102" s="155">
        <f t="shared" si="2"/>
        <v>-7.784998646087192E-3</v>
      </c>
      <c r="E102" s="174">
        <v>44069</v>
      </c>
      <c r="F102" s="175">
        <v>11549.599609375</v>
      </c>
      <c r="G102" s="155">
        <f t="shared" si="3"/>
        <v>6.7423225064830354E-3</v>
      </c>
    </row>
    <row r="103" spans="1:7" ht="12.75" customHeight="1" x14ac:dyDescent="0.3">
      <c r="A103" s="174">
        <v>44070</v>
      </c>
      <c r="B103" s="155">
        <v>735.6</v>
      </c>
      <c r="C103" s="155">
        <f t="shared" si="2"/>
        <v>3.752473220986559E-3</v>
      </c>
      <c r="E103" s="174">
        <v>44070</v>
      </c>
      <c r="F103" s="175">
        <v>11559.25</v>
      </c>
      <c r="G103" s="155">
        <f t="shared" si="3"/>
        <v>8.3556062126747827E-4</v>
      </c>
    </row>
    <row r="104" spans="1:7" ht="12.75" customHeight="1" x14ac:dyDescent="0.3">
      <c r="A104" s="174">
        <v>44071</v>
      </c>
      <c r="B104" s="155">
        <v>752.35</v>
      </c>
      <c r="C104" s="155">
        <f t="shared" si="2"/>
        <v>2.2770527460576399E-2</v>
      </c>
      <c r="E104" s="174">
        <v>44071</v>
      </c>
      <c r="F104" s="175">
        <v>11647.599609375</v>
      </c>
      <c r="G104" s="155">
        <f t="shared" si="3"/>
        <v>7.6431956549949179E-3</v>
      </c>
    </row>
    <row r="105" spans="1:7" ht="12.75" customHeight="1" x14ac:dyDescent="0.3">
      <c r="A105" s="174">
        <v>44074</v>
      </c>
      <c r="B105" s="155">
        <v>741</v>
      </c>
      <c r="C105" s="155">
        <f t="shared" si="2"/>
        <v>-1.508606366717621E-2</v>
      </c>
      <c r="E105" s="174">
        <v>44074</v>
      </c>
      <c r="F105" s="175">
        <v>11387.5</v>
      </c>
      <c r="G105" s="155">
        <f t="shared" si="3"/>
        <v>-2.2330747801946185E-2</v>
      </c>
    </row>
    <row r="106" spans="1:7" ht="12.75" customHeight="1" x14ac:dyDescent="0.3">
      <c r="A106" s="174">
        <v>44075</v>
      </c>
      <c r="B106" s="155">
        <v>727.85</v>
      </c>
      <c r="C106" s="155">
        <f t="shared" si="2"/>
        <v>-1.7746288798920345E-2</v>
      </c>
      <c r="E106" s="174">
        <v>44075</v>
      </c>
      <c r="F106" s="175">
        <v>11470.25</v>
      </c>
      <c r="G106" s="155">
        <f t="shared" si="3"/>
        <v>7.2667398463227223E-3</v>
      </c>
    </row>
    <row r="107" spans="1:7" ht="12.75" customHeight="1" x14ac:dyDescent="0.3">
      <c r="A107" s="174">
        <v>44076</v>
      </c>
      <c r="B107" s="155">
        <v>735.2</v>
      </c>
      <c r="C107" s="155">
        <f t="shared" si="2"/>
        <v>1.0098234526344745E-2</v>
      </c>
      <c r="E107" s="174">
        <v>44076</v>
      </c>
      <c r="F107" s="175">
        <v>11535</v>
      </c>
      <c r="G107" s="155">
        <f t="shared" si="3"/>
        <v>5.6450382511279177E-3</v>
      </c>
    </row>
    <row r="108" spans="1:7" ht="12.75" customHeight="1" x14ac:dyDescent="0.3">
      <c r="A108" s="174">
        <v>44077</v>
      </c>
      <c r="B108" s="155">
        <v>759.55</v>
      </c>
      <c r="C108" s="155">
        <f t="shared" si="2"/>
        <v>3.3120239390641876E-2</v>
      </c>
      <c r="E108" s="174">
        <v>44077</v>
      </c>
      <c r="F108" s="175">
        <v>11527.4501953125</v>
      </c>
      <c r="G108" s="155">
        <f t="shared" si="3"/>
        <v>-6.5451276007802341E-4</v>
      </c>
    </row>
    <row r="109" spans="1:7" ht="12.75" customHeight="1" x14ac:dyDescent="0.3">
      <c r="A109" s="174">
        <v>44078</v>
      </c>
      <c r="B109" s="155">
        <v>748.2</v>
      </c>
      <c r="C109" s="155">
        <f t="shared" si="2"/>
        <v>-1.4943058389835968E-2</v>
      </c>
      <c r="E109" s="174">
        <v>44078</v>
      </c>
      <c r="F109" s="175">
        <v>11333.849609375</v>
      </c>
      <c r="G109" s="155">
        <f t="shared" si="3"/>
        <v>-1.6794744948559863E-2</v>
      </c>
    </row>
    <row r="110" spans="1:7" ht="12.75" customHeight="1" x14ac:dyDescent="0.3">
      <c r="A110" s="174">
        <v>44081</v>
      </c>
      <c r="B110" s="155">
        <v>747.1</v>
      </c>
      <c r="C110" s="155">
        <f t="shared" si="2"/>
        <v>-1.4701951349906746E-3</v>
      </c>
      <c r="E110" s="174">
        <v>44081</v>
      </c>
      <c r="F110" s="175">
        <v>11355.0498046875</v>
      </c>
      <c r="G110" s="155">
        <f t="shared" si="3"/>
        <v>1.870520259503344E-3</v>
      </c>
    </row>
    <row r="111" spans="1:7" ht="12.75" customHeight="1" x14ac:dyDescent="0.3">
      <c r="A111" s="174">
        <v>44082</v>
      </c>
      <c r="B111" s="155">
        <v>752.25</v>
      </c>
      <c r="C111" s="155">
        <f t="shared" si="2"/>
        <v>6.893320840583559E-3</v>
      </c>
      <c r="E111" s="174">
        <v>44082</v>
      </c>
      <c r="F111" s="175">
        <v>11317.349609375</v>
      </c>
      <c r="G111" s="155">
        <f t="shared" si="3"/>
        <v>-3.3201259317186711E-3</v>
      </c>
    </row>
    <row r="112" spans="1:7" ht="12.75" customHeight="1" x14ac:dyDescent="0.3">
      <c r="A112" s="174">
        <v>44083</v>
      </c>
      <c r="B112" s="155">
        <v>753.35</v>
      </c>
      <c r="C112" s="155">
        <f t="shared" si="2"/>
        <v>1.4622798271851415E-3</v>
      </c>
      <c r="E112" s="174">
        <v>44083</v>
      </c>
      <c r="F112" s="175">
        <v>11278</v>
      </c>
      <c r="G112" s="155">
        <f t="shared" si="3"/>
        <v>-3.4769279675166877E-3</v>
      </c>
    </row>
    <row r="113" spans="1:7" ht="12.75" customHeight="1" x14ac:dyDescent="0.3">
      <c r="A113" s="174">
        <v>44084</v>
      </c>
      <c r="B113" s="155">
        <v>750</v>
      </c>
      <c r="C113" s="155">
        <f t="shared" si="2"/>
        <v>-4.4468042742417504E-3</v>
      </c>
      <c r="E113" s="174">
        <v>44084</v>
      </c>
      <c r="F113" s="175">
        <v>11449.25</v>
      </c>
      <c r="G113" s="155">
        <f t="shared" si="3"/>
        <v>1.5184429863450966E-2</v>
      </c>
    </row>
    <row r="114" spans="1:7" ht="12.75" customHeight="1" x14ac:dyDescent="0.3">
      <c r="A114" s="174">
        <v>44085</v>
      </c>
      <c r="B114" s="155">
        <v>765.15</v>
      </c>
      <c r="C114" s="155">
        <f t="shared" si="2"/>
        <v>2.0199999999999968E-2</v>
      </c>
      <c r="E114" s="174">
        <v>44085</v>
      </c>
      <c r="F114" s="175">
        <v>11464.4501953125</v>
      </c>
      <c r="G114" s="155">
        <f t="shared" si="3"/>
        <v>1.3276149365678974E-3</v>
      </c>
    </row>
    <row r="115" spans="1:7" ht="12.75" customHeight="1" x14ac:dyDescent="0.3">
      <c r="A115" s="174">
        <v>44088</v>
      </c>
      <c r="B115" s="155">
        <v>790.75</v>
      </c>
      <c r="C115" s="155">
        <f t="shared" si="2"/>
        <v>3.3457491995033686E-2</v>
      </c>
      <c r="E115" s="174">
        <v>44088</v>
      </c>
      <c r="F115" s="175">
        <v>11440.0498046875</v>
      </c>
      <c r="G115" s="155">
        <f t="shared" si="3"/>
        <v>-2.1283524468514552E-3</v>
      </c>
    </row>
    <row r="116" spans="1:7" ht="12.75" customHeight="1" x14ac:dyDescent="0.3">
      <c r="A116" s="174">
        <v>44089</v>
      </c>
      <c r="B116" s="155">
        <v>791.15</v>
      </c>
      <c r="C116" s="155">
        <f t="shared" si="2"/>
        <v>5.0584887764777394E-4</v>
      </c>
      <c r="E116" s="174">
        <v>44089</v>
      </c>
      <c r="F116" s="175">
        <v>11521.7998046875</v>
      </c>
      <c r="G116" s="155">
        <f t="shared" si="3"/>
        <v>7.1459479106903336E-3</v>
      </c>
    </row>
    <row r="117" spans="1:7" ht="12.75" customHeight="1" x14ac:dyDescent="0.3">
      <c r="A117" s="174">
        <v>44090</v>
      </c>
      <c r="B117" s="155">
        <v>792</v>
      </c>
      <c r="C117" s="155">
        <f t="shared" si="2"/>
        <v>1.074385388358747E-3</v>
      </c>
      <c r="E117" s="174">
        <v>44090</v>
      </c>
      <c r="F117" s="175">
        <v>11604.5498046875</v>
      </c>
      <c r="G117" s="155">
        <f t="shared" si="3"/>
        <v>7.1820376506050903E-3</v>
      </c>
    </row>
    <row r="118" spans="1:7" ht="12.75" customHeight="1" x14ac:dyDescent="0.3">
      <c r="A118" s="174">
        <v>44091</v>
      </c>
      <c r="B118" s="155">
        <v>786.95</v>
      </c>
      <c r="C118" s="155">
        <f t="shared" si="2"/>
        <v>-6.3762626262625684E-3</v>
      </c>
      <c r="E118" s="174">
        <v>44091</v>
      </c>
      <c r="F118" s="175">
        <v>11516.099609375</v>
      </c>
      <c r="G118" s="155">
        <f t="shared" si="3"/>
        <v>-7.6220272911209138E-3</v>
      </c>
    </row>
    <row r="119" spans="1:7" ht="12.75" customHeight="1" x14ac:dyDescent="0.3">
      <c r="A119" s="174">
        <v>44092</v>
      </c>
      <c r="B119" s="155">
        <v>804.65</v>
      </c>
      <c r="C119" s="155">
        <f t="shared" si="2"/>
        <v>2.2491899104136133E-2</v>
      </c>
      <c r="E119" s="174">
        <v>44092</v>
      </c>
      <c r="F119" s="175">
        <v>11504.9501953125</v>
      </c>
      <c r="G119" s="155">
        <f t="shared" si="3"/>
        <v>-9.6815887676271147E-4</v>
      </c>
    </row>
    <row r="120" spans="1:7" ht="12.75" customHeight="1" x14ac:dyDescent="0.3">
      <c r="A120" s="174">
        <v>44095</v>
      </c>
      <c r="B120" s="155">
        <v>787.25</v>
      </c>
      <c r="C120" s="155">
        <f t="shared" si="2"/>
        <v>-2.1624308705648392E-2</v>
      </c>
      <c r="E120" s="174">
        <v>44095</v>
      </c>
      <c r="F120" s="175">
        <v>11250.5498046875</v>
      </c>
      <c r="G120" s="155">
        <f t="shared" si="3"/>
        <v>-2.2112254838673809E-2</v>
      </c>
    </row>
    <row r="121" spans="1:7" ht="12.75" customHeight="1" x14ac:dyDescent="0.3">
      <c r="A121" s="174">
        <v>44096</v>
      </c>
      <c r="B121" s="155">
        <v>800.45</v>
      </c>
      <c r="C121" s="155">
        <f t="shared" si="2"/>
        <v>1.6767227691330638E-2</v>
      </c>
      <c r="E121" s="174">
        <v>44096</v>
      </c>
      <c r="F121" s="175">
        <v>11153.650390625</v>
      </c>
      <c r="G121" s="155">
        <f t="shared" si="3"/>
        <v>-8.6128603263573144E-3</v>
      </c>
    </row>
    <row r="122" spans="1:7" ht="12.75" customHeight="1" x14ac:dyDescent="0.3">
      <c r="A122" s="174">
        <v>44097</v>
      </c>
      <c r="B122" s="155">
        <v>793.05</v>
      </c>
      <c r="C122" s="155">
        <f t="shared" si="2"/>
        <v>-9.2447998001125506E-3</v>
      </c>
      <c r="E122" s="174">
        <v>44097</v>
      </c>
      <c r="F122" s="175">
        <v>11131.849609375</v>
      </c>
      <c r="G122" s="155">
        <f t="shared" si="3"/>
        <v>-1.9545871070447262E-3</v>
      </c>
    </row>
    <row r="123" spans="1:7" ht="12.75" customHeight="1" x14ac:dyDescent="0.3">
      <c r="A123" s="174">
        <v>44098</v>
      </c>
      <c r="B123" s="155">
        <v>751.85</v>
      </c>
      <c r="C123" s="155">
        <f t="shared" si="2"/>
        <v>-5.1951327154655995E-2</v>
      </c>
      <c r="E123" s="174">
        <v>44098</v>
      </c>
      <c r="F123" s="175">
        <v>10805.5498046875</v>
      </c>
      <c r="G123" s="155">
        <f t="shared" si="3"/>
        <v>-2.9312272096516417E-2</v>
      </c>
    </row>
    <row r="124" spans="1:7" ht="12.75" customHeight="1" x14ac:dyDescent="0.3">
      <c r="A124" s="174">
        <v>44099</v>
      </c>
      <c r="B124" s="155">
        <v>772.35</v>
      </c>
      <c r="C124" s="155">
        <f t="shared" si="2"/>
        <v>2.7266077010041898E-2</v>
      </c>
      <c r="E124" s="174">
        <v>44099</v>
      </c>
      <c r="F124" s="175">
        <v>11050.25</v>
      </c>
      <c r="G124" s="155">
        <f t="shared" si="3"/>
        <v>2.264578848235449E-2</v>
      </c>
    </row>
    <row r="125" spans="1:7" ht="12.75" customHeight="1" x14ac:dyDescent="0.3">
      <c r="A125" s="174">
        <v>44102</v>
      </c>
      <c r="B125" s="155">
        <v>779.4</v>
      </c>
      <c r="C125" s="155">
        <f t="shared" si="2"/>
        <v>9.1279860167022137E-3</v>
      </c>
      <c r="E125" s="174">
        <v>44102</v>
      </c>
      <c r="F125" s="175">
        <v>11227.5498046875</v>
      </c>
      <c r="G125" s="155">
        <f t="shared" si="3"/>
        <v>1.6044868187371327E-2</v>
      </c>
    </row>
    <row r="126" spans="1:7" ht="12.75" customHeight="1" x14ac:dyDescent="0.3">
      <c r="A126" s="174">
        <v>44103</v>
      </c>
      <c r="B126" s="155">
        <v>768.15</v>
      </c>
      <c r="C126" s="155">
        <f t="shared" si="2"/>
        <v>-1.4434180138568131E-2</v>
      </c>
      <c r="E126" s="174">
        <v>44103</v>
      </c>
      <c r="F126" s="175">
        <v>11222.400390625</v>
      </c>
      <c r="G126" s="155">
        <f t="shared" si="3"/>
        <v>-4.5864094589454597E-4</v>
      </c>
    </row>
    <row r="127" spans="1:7" ht="12.75" customHeight="1" x14ac:dyDescent="0.3">
      <c r="A127" s="174">
        <v>44104</v>
      </c>
      <c r="B127" s="155">
        <v>791.75</v>
      </c>
      <c r="C127" s="155">
        <f t="shared" si="2"/>
        <v>3.072316604829789E-2</v>
      </c>
      <c r="E127" s="174">
        <v>44104</v>
      </c>
      <c r="F127" s="175">
        <v>11247.5498046875</v>
      </c>
      <c r="G127" s="155">
        <f t="shared" si="3"/>
        <v>2.2410013176422921E-3</v>
      </c>
    </row>
    <row r="128" spans="1:7" ht="12.75" customHeight="1" x14ac:dyDescent="0.3">
      <c r="A128" s="174">
        <v>44105</v>
      </c>
      <c r="B128" s="155">
        <v>822.5</v>
      </c>
      <c r="C128" s="155">
        <f t="shared" si="2"/>
        <v>3.8838017050836754E-2</v>
      </c>
      <c r="E128" s="174">
        <v>44105</v>
      </c>
      <c r="F128" s="175">
        <v>11416.9501953125</v>
      </c>
      <c r="G128" s="155">
        <f t="shared" si="3"/>
        <v>1.5061092732783554E-2</v>
      </c>
    </row>
    <row r="129" spans="1:7" ht="12.75" customHeight="1" x14ac:dyDescent="0.3">
      <c r="A129" s="174">
        <v>44109</v>
      </c>
      <c r="B129" s="155">
        <v>841.25</v>
      </c>
      <c r="C129" s="155">
        <f t="shared" si="2"/>
        <v>2.2796352583586626E-2</v>
      </c>
      <c r="E129" s="174">
        <v>44109</v>
      </c>
      <c r="F129" s="175">
        <v>11503.349609375</v>
      </c>
      <c r="G129" s="155">
        <f t="shared" si="3"/>
        <v>7.5676439490796176E-3</v>
      </c>
    </row>
    <row r="130" spans="1:7" ht="12.75" customHeight="1" x14ac:dyDescent="0.3">
      <c r="A130" s="174">
        <v>44110</v>
      </c>
      <c r="B130" s="155">
        <v>847.4</v>
      </c>
      <c r="C130" s="155">
        <f t="shared" si="2"/>
        <v>7.3105497771173578E-3</v>
      </c>
      <c r="E130" s="174">
        <v>44110</v>
      </c>
      <c r="F130" s="175">
        <v>11662.400390625</v>
      </c>
      <c r="G130" s="155">
        <f t="shared" si="3"/>
        <v>1.3826475474619739E-2</v>
      </c>
    </row>
    <row r="131" spans="1:7" ht="12.75" customHeight="1" x14ac:dyDescent="0.3">
      <c r="A131" s="174">
        <v>44111</v>
      </c>
      <c r="B131" s="155">
        <v>846.35</v>
      </c>
      <c r="C131" s="155">
        <f t="shared" si="2"/>
        <v>-1.239084257729472E-3</v>
      </c>
      <c r="E131" s="174">
        <v>44111</v>
      </c>
      <c r="F131" s="175">
        <v>11738.849609375</v>
      </c>
      <c r="G131" s="155">
        <f t="shared" si="3"/>
        <v>6.5551872847252682E-3</v>
      </c>
    </row>
    <row r="132" spans="1:7" ht="12.75" customHeight="1" x14ac:dyDescent="0.3">
      <c r="A132" s="174">
        <v>44112</v>
      </c>
      <c r="B132" s="155">
        <v>860.3</v>
      </c>
      <c r="C132" s="155">
        <f t="shared" ref="C132:C195" si="4">(B132-B131)/B131</f>
        <v>1.6482542683286975E-2</v>
      </c>
      <c r="E132" s="174">
        <v>44112</v>
      </c>
      <c r="F132" s="175">
        <v>11834.599609375</v>
      </c>
      <c r="G132" s="155">
        <f t="shared" ref="G132:G195" si="5">(F132-F131)/F131</f>
        <v>8.1566766068398352E-3</v>
      </c>
    </row>
    <row r="133" spans="1:7" ht="12.75" customHeight="1" x14ac:dyDescent="0.3">
      <c r="A133" s="174">
        <v>44113</v>
      </c>
      <c r="B133" s="155">
        <v>854.15</v>
      </c>
      <c r="C133" s="155">
        <f t="shared" si="4"/>
        <v>-7.1486690689294176E-3</v>
      </c>
      <c r="E133" s="174">
        <v>44113</v>
      </c>
      <c r="F133" s="175">
        <v>11914.2001953125</v>
      </c>
      <c r="G133" s="155">
        <f t="shared" si="5"/>
        <v>6.7260903253915667E-3</v>
      </c>
    </row>
    <row r="134" spans="1:7" ht="12.75" customHeight="1" x14ac:dyDescent="0.3">
      <c r="A134" s="174">
        <v>44116</v>
      </c>
      <c r="B134" s="155">
        <v>856.9</v>
      </c>
      <c r="C134" s="155">
        <f t="shared" si="4"/>
        <v>3.2195750160978753E-3</v>
      </c>
      <c r="E134" s="174">
        <v>44116</v>
      </c>
      <c r="F134" s="175">
        <v>11930.9501953125</v>
      </c>
      <c r="G134" s="155">
        <f t="shared" si="5"/>
        <v>1.4058853909967107E-3</v>
      </c>
    </row>
    <row r="135" spans="1:7" ht="12.75" customHeight="1" x14ac:dyDescent="0.3">
      <c r="A135" s="174">
        <v>44117</v>
      </c>
      <c r="B135" s="155">
        <v>868.2</v>
      </c>
      <c r="C135" s="155">
        <f t="shared" si="4"/>
        <v>1.3187069669739839E-2</v>
      </c>
      <c r="E135" s="174">
        <v>44117</v>
      </c>
      <c r="F135" s="175">
        <v>11934.5</v>
      </c>
      <c r="G135" s="155">
        <f t="shared" si="5"/>
        <v>2.9752908438882491E-4</v>
      </c>
    </row>
    <row r="136" spans="1:7" ht="12.75" customHeight="1" x14ac:dyDescent="0.3">
      <c r="A136" s="174">
        <v>44118</v>
      </c>
      <c r="B136" s="155">
        <v>848.85</v>
      </c>
      <c r="C136" s="155">
        <f t="shared" si="4"/>
        <v>-2.228749136143748E-2</v>
      </c>
      <c r="E136" s="174">
        <v>44118</v>
      </c>
      <c r="F136" s="175">
        <v>11971.0498046875</v>
      </c>
      <c r="G136" s="155">
        <f t="shared" si="5"/>
        <v>3.0625333853533873E-3</v>
      </c>
    </row>
    <row r="137" spans="1:7" ht="12.75" customHeight="1" x14ac:dyDescent="0.3">
      <c r="A137" s="174">
        <v>44119</v>
      </c>
      <c r="B137" s="155">
        <v>812.4</v>
      </c>
      <c r="C137" s="155">
        <f t="shared" si="4"/>
        <v>-4.2940448842551743E-2</v>
      </c>
      <c r="E137" s="174">
        <v>44119</v>
      </c>
      <c r="F137" s="175">
        <v>11680.349609375</v>
      </c>
      <c r="G137" s="155">
        <f t="shared" si="5"/>
        <v>-2.4283600858353342E-2</v>
      </c>
    </row>
    <row r="138" spans="1:7" ht="12.75" customHeight="1" x14ac:dyDescent="0.3">
      <c r="A138" s="174">
        <v>44120</v>
      </c>
      <c r="B138" s="155">
        <v>822.75</v>
      </c>
      <c r="C138" s="155">
        <f t="shared" si="4"/>
        <v>1.2740029542097518E-2</v>
      </c>
      <c r="E138" s="174">
        <v>44120</v>
      </c>
      <c r="F138" s="175">
        <v>11762.4501953125</v>
      </c>
      <c r="G138" s="155">
        <f t="shared" si="5"/>
        <v>7.0289493622351512E-3</v>
      </c>
    </row>
    <row r="139" spans="1:7" ht="12.75" customHeight="1" x14ac:dyDescent="0.3">
      <c r="A139" s="174">
        <v>44123</v>
      </c>
      <c r="B139" s="155">
        <v>824.15</v>
      </c>
      <c r="C139" s="155">
        <f t="shared" si="4"/>
        <v>1.7016104527498965E-3</v>
      </c>
      <c r="E139" s="174">
        <v>44123</v>
      </c>
      <c r="F139" s="175">
        <v>11873.0498046875</v>
      </c>
      <c r="G139" s="155">
        <f t="shared" si="5"/>
        <v>9.4027696218493221E-3</v>
      </c>
    </row>
    <row r="140" spans="1:7" ht="12.75" customHeight="1" x14ac:dyDescent="0.3">
      <c r="A140" s="174">
        <v>44124</v>
      </c>
      <c r="B140" s="155">
        <v>849.85</v>
      </c>
      <c r="C140" s="155">
        <f t="shared" si="4"/>
        <v>3.1183643754171021E-2</v>
      </c>
      <c r="E140" s="174">
        <v>44124</v>
      </c>
      <c r="F140" s="175">
        <v>11896.7998046875</v>
      </c>
      <c r="G140" s="155">
        <f t="shared" si="5"/>
        <v>2.000328507897226E-3</v>
      </c>
    </row>
    <row r="141" spans="1:7" ht="12.75" customHeight="1" x14ac:dyDescent="0.3">
      <c r="A141" s="174">
        <v>44125</v>
      </c>
      <c r="B141" s="155">
        <v>845.9</v>
      </c>
      <c r="C141" s="155">
        <f t="shared" si="4"/>
        <v>-4.6478790374772554E-3</v>
      </c>
      <c r="E141" s="174">
        <v>44125</v>
      </c>
      <c r="F141" s="175">
        <v>11937.650390625</v>
      </c>
      <c r="G141" s="155">
        <f t="shared" si="5"/>
        <v>3.4337457642520234E-3</v>
      </c>
    </row>
    <row r="142" spans="1:7" ht="12.75" customHeight="1" x14ac:dyDescent="0.3">
      <c r="A142" s="174">
        <v>44126</v>
      </c>
      <c r="B142" s="155">
        <v>837.45</v>
      </c>
      <c r="C142" s="155">
        <f t="shared" si="4"/>
        <v>-9.9893604444969055E-3</v>
      </c>
      <c r="E142" s="174">
        <v>44126</v>
      </c>
      <c r="F142" s="175">
        <v>11896.4501953125</v>
      </c>
      <c r="G142" s="155">
        <f t="shared" si="5"/>
        <v>-3.4512817819539903E-3</v>
      </c>
    </row>
    <row r="143" spans="1:7" ht="12.75" customHeight="1" x14ac:dyDescent="0.3">
      <c r="A143" s="174">
        <v>44127</v>
      </c>
      <c r="B143" s="155">
        <v>848.25</v>
      </c>
      <c r="C143" s="155">
        <f t="shared" si="4"/>
        <v>1.2896292315959106E-2</v>
      </c>
      <c r="E143" s="174">
        <v>44127</v>
      </c>
      <c r="F143" s="175">
        <v>11930.349609375</v>
      </c>
      <c r="G143" s="155">
        <f t="shared" si="5"/>
        <v>2.8495402835256875E-3</v>
      </c>
    </row>
    <row r="144" spans="1:7" ht="12.75" customHeight="1" x14ac:dyDescent="0.3">
      <c r="A144" s="174">
        <v>44130</v>
      </c>
      <c r="B144" s="155">
        <v>819.25</v>
      </c>
      <c r="C144" s="155">
        <f t="shared" si="4"/>
        <v>-3.4188034188034191E-2</v>
      </c>
      <c r="E144" s="174">
        <v>44130</v>
      </c>
      <c r="F144" s="175">
        <v>11767.75</v>
      </c>
      <c r="G144" s="155">
        <f t="shared" si="5"/>
        <v>-1.3629073304543183E-2</v>
      </c>
    </row>
    <row r="145" spans="1:7" ht="12.75" customHeight="1" x14ac:dyDescent="0.3">
      <c r="A145" s="174">
        <v>44131</v>
      </c>
      <c r="B145" s="155">
        <v>828.65</v>
      </c>
      <c r="C145" s="155">
        <f t="shared" si="4"/>
        <v>1.1473909063167503E-2</v>
      </c>
      <c r="E145" s="174">
        <v>44131</v>
      </c>
      <c r="F145" s="175">
        <v>11889.400390625</v>
      </c>
      <c r="G145" s="155">
        <f t="shared" si="5"/>
        <v>1.0337608346965222E-2</v>
      </c>
    </row>
    <row r="146" spans="1:7" ht="12.75" customHeight="1" x14ac:dyDescent="0.3">
      <c r="A146" s="174">
        <v>44132</v>
      </c>
      <c r="B146" s="155">
        <v>804.3</v>
      </c>
      <c r="C146" s="155">
        <f t="shared" si="4"/>
        <v>-2.9385144512158359E-2</v>
      </c>
      <c r="E146" s="174">
        <v>44132</v>
      </c>
      <c r="F146" s="175">
        <v>11729.599609375</v>
      </c>
      <c r="G146" s="155">
        <f t="shared" si="5"/>
        <v>-1.3440608945763632E-2</v>
      </c>
    </row>
    <row r="147" spans="1:7" ht="12.75" customHeight="1" x14ac:dyDescent="0.3">
      <c r="A147" s="174">
        <v>44133</v>
      </c>
      <c r="B147" s="155">
        <v>804.25</v>
      </c>
      <c r="C147" s="155">
        <f t="shared" si="4"/>
        <v>-6.2165858510449497E-5</v>
      </c>
      <c r="E147" s="174">
        <v>44133</v>
      </c>
      <c r="F147" s="175">
        <v>11670.7998046875</v>
      </c>
      <c r="G147" s="155">
        <f t="shared" si="5"/>
        <v>-5.012942184360979E-3</v>
      </c>
    </row>
    <row r="148" spans="1:7" ht="12.75" customHeight="1" x14ac:dyDescent="0.3">
      <c r="A148" s="174">
        <v>44134</v>
      </c>
      <c r="B148" s="155">
        <v>813.3</v>
      </c>
      <c r="C148" s="155">
        <f t="shared" si="4"/>
        <v>1.1252719925396275E-2</v>
      </c>
      <c r="E148" s="174">
        <v>44134</v>
      </c>
      <c r="F148" s="175">
        <v>11642.400390625</v>
      </c>
      <c r="G148" s="155">
        <f t="shared" si="5"/>
        <v>-2.4333734223676395E-3</v>
      </c>
    </row>
    <row r="149" spans="1:7" ht="12.75" customHeight="1" x14ac:dyDescent="0.3">
      <c r="A149" s="174">
        <v>44137</v>
      </c>
      <c r="B149" s="155">
        <v>814.65</v>
      </c>
      <c r="C149" s="155">
        <f t="shared" si="4"/>
        <v>1.6599040944301276E-3</v>
      </c>
      <c r="E149" s="174">
        <v>44137</v>
      </c>
      <c r="F149" s="175">
        <v>11669.150390625</v>
      </c>
      <c r="G149" s="155">
        <f t="shared" si="5"/>
        <v>2.2976361491175257E-3</v>
      </c>
    </row>
    <row r="150" spans="1:7" ht="12.75" customHeight="1" x14ac:dyDescent="0.3">
      <c r="A150" s="174">
        <v>44138</v>
      </c>
      <c r="B150" s="155">
        <v>808.1</v>
      </c>
      <c r="C150" s="155">
        <f t="shared" si="4"/>
        <v>-8.0402626894985028E-3</v>
      </c>
      <c r="E150" s="174">
        <v>44138</v>
      </c>
      <c r="F150" s="175">
        <v>11813.5</v>
      </c>
      <c r="G150" s="155">
        <f t="shared" si="5"/>
        <v>1.2370190163199074E-2</v>
      </c>
    </row>
    <row r="151" spans="1:7" ht="12.75" customHeight="1" x14ac:dyDescent="0.3">
      <c r="A151" s="174">
        <v>44139</v>
      </c>
      <c r="B151" s="155">
        <v>826.85</v>
      </c>
      <c r="C151" s="155">
        <f t="shared" si="4"/>
        <v>2.3202573938868952E-2</v>
      </c>
      <c r="E151" s="174">
        <v>44139</v>
      </c>
      <c r="F151" s="175">
        <v>11908.5</v>
      </c>
      <c r="G151" s="155">
        <f t="shared" si="5"/>
        <v>8.041647267956151E-3</v>
      </c>
    </row>
    <row r="152" spans="1:7" ht="12.75" customHeight="1" x14ac:dyDescent="0.3">
      <c r="A152" s="174">
        <v>44140</v>
      </c>
      <c r="B152" s="155">
        <v>840.7</v>
      </c>
      <c r="C152" s="155">
        <f t="shared" si="4"/>
        <v>1.6750317469915971E-2</v>
      </c>
      <c r="E152" s="174">
        <v>44140</v>
      </c>
      <c r="F152" s="175">
        <v>12120.2998046875</v>
      </c>
      <c r="G152" s="155">
        <f t="shared" si="5"/>
        <v>1.7785598915690475E-2</v>
      </c>
    </row>
    <row r="153" spans="1:7" ht="12.75" customHeight="1" x14ac:dyDescent="0.3">
      <c r="A153" s="174">
        <v>44141</v>
      </c>
      <c r="B153" s="155">
        <v>851.15</v>
      </c>
      <c r="C153" s="155">
        <f t="shared" si="4"/>
        <v>1.2430117759010267E-2</v>
      </c>
      <c r="E153" s="174">
        <v>44141</v>
      </c>
      <c r="F153" s="175">
        <v>12263.5498046875</v>
      </c>
      <c r="G153" s="155">
        <f t="shared" si="5"/>
        <v>1.1819014571289595E-2</v>
      </c>
    </row>
    <row r="154" spans="1:7" ht="12.75" customHeight="1" x14ac:dyDescent="0.3">
      <c r="A154" s="174">
        <v>44144</v>
      </c>
      <c r="B154" s="155">
        <v>872.75</v>
      </c>
      <c r="C154" s="155">
        <f t="shared" si="4"/>
        <v>2.5377430535158344E-2</v>
      </c>
      <c r="E154" s="174">
        <v>44144</v>
      </c>
      <c r="F154" s="175">
        <v>12461.0498046875</v>
      </c>
      <c r="G154" s="155">
        <f t="shared" si="5"/>
        <v>1.6104635537461554E-2</v>
      </c>
    </row>
    <row r="155" spans="1:7" ht="12.75" customHeight="1" x14ac:dyDescent="0.3">
      <c r="A155" s="174">
        <v>44145</v>
      </c>
      <c r="B155" s="155">
        <v>821.3</v>
      </c>
      <c r="C155" s="155">
        <f t="shared" si="4"/>
        <v>-5.895158980234895E-2</v>
      </c>
      <c r="E155" s="174">
        <v>44145</v>
      </c>
      <c r="F155" s="175">
        <v>12631.099609375</v>
      </c>
      <c r="G155" s="155">
        <f t="shared" si="5"/>
        <v>1.3646507104363872E-2</v>
      </c>
    </row>
    <row r="156" spans="1:7" ht="12.75" customHeight="1" x14ac:dyDescent="0.3">
      <c r="A156" s="174">
        <v>44146</v>
      </c>
      <c r="B156" s="155">
        <v>837.5</v>
      </c>
      <c r="C156" s="155">
        <f t="shared" si="4"/>
        <v>1.9724826494581817E-2</v>
      </c>
      <c r="E156" s="174">
        <v>44146</v>
      </c>
      <c r="F156" s="175">
        <v>12749.150390625</v>
      </c>
      <c r="G156" s="155">
        <f t="shared" si="5"/>
        <v>9.3460415087203378E-3</v>
      </c>
    </row>
    <row r="157" spans="1:7" ht="12.75" customHeight="1" x14ac:dyDescent="0.3">
      <c r="A157" s="174">
        <v>44147</v>
      </c>
      <c r="B157" s="155">
        <v>843.25</v>
      </c>
      <c r="C157" s="155">
        <f t="shared" si="4"/>
        <v>6.8656716417910451E-3</v>
      </c>
      <c r="E157" s="174">
        <v>44147</v>
      </c>
      <c r="F157" s="175">
        <v>12690.7998046875</v>
      </c>
      <c r="G157" s="155">
        <f t="shared" si="5"/>
        <v>-4.5768215253314216E-3</v>
      </c>
    </row>
    <row r="158" spans="1:7" ht="12.75" customHeight="1" x14ac:dyDescent="0.3">
      <c r="A158" s="174">
        <v>44148</v>
      </c>
      <c r="B158" s="155">
        <v>838.85</v>
      </c>
      <c r="C158" s="155">
        <f t="shared" si="4"/>
        <v>-5.217906907797186E-3</v>
      </c>
      <c r="E158" s="174">
        <v>44148</v>
      </c>
      <c r="F158" s="175">
        <v>12719.9501953125</v>
      </c>
      <c r="G158" s="155">
        <f t="shared" si="5"/>
        <v>2.2969703307614193E-3</v>
      </c>
    </row>
    <row r="159" spans="1:7" ht="12.75" customHeight="1" x14ac:dyDescent="0.3">
      <c r="A159" s="174">
        <v>44152</v>
      </c>
      <c r="B159" s="155">
        <v>845.25</v>
      </c>
      <c r="C159" s="155">
        <f t="shared" si="4"/>
        <v>7.6294927579423936E-3</v>
      </c>
      <c r="E159" s="174">
        <v>44152</v>
      </c>
      <c r="F159" s="175">
        <v>12874.2001953125</v>
      </c>
      <c r="G159" s="155">
        <f t="shared" si="5"/>
        <v>1.2126619808373427E-2</v>
      </c>
    </row>
    <row r="160" spans="1:7" ht="12.75" customHeight="1" x14ac:dyDescent="0.3">
      <c r="A160" s="174">
        <v>44153</v>
      </c>
      <c r="B160" s="155">
        <v>836.1</v>
      </c>
      <c r="C160" s="155">
        <f t="shared" si="4"/>
        <v>-1.0825199645075395E-2</v>
      </c>
      <c r="E160" s="174">
        <v>44153</v>
      </c>
      <c r="F160" s="175">
        <v>12938.25</v>
      </c>
      <c r="G160" s="155">
        <f t="shared" si="5"/>
        <v>4.9750511655722541E-3</v>
      </c>
    </row>
    <row r="161" spans="1:7" ht="12.75" customHeight="1" x14ac:dyDescent="0.3">
      <c r="A161" s="174">
        <v>44154</v>
      </c>
      <c r="B161" s="155">
        <v>822.9</v>
      </c>
      <c r="C161" s="155">
        <f t="shared" si="4"/>
        <v>-1.5787585217079351E-2</v>
      </c>
      <c r="E161" s="174">
        <v>44154</v>
      </c>
      <c r="F161" s="175">
        <v>12771.7001953125</v>
      </c>
      <c r="G161" s="155">
        <f t="shared" si="5"/>
        <v>-1.2872668613413716E-2</v>
      </c>
    </row>
    <row r="162" spans="1:7" ht="12.75" customHeight="1" x14ac:dyDescent="0.3">
      <c r="A162" s="174">
        <v>44155</v>
      </c>
      <c r="B162" s="155">
        <v>837.55</v>
      </c>
      <c r="C162" s="155">
        <f t="shared" si="4"/>
        <v>1.7802892210475121E-2</v>
      </c>
      <c r="E162" s="174">
        <v>44155</v>
      </c>
      <c r="F162" s="175">
        <v>12859.0498046875</v>
      </c>
      <c r="G162" s="155">
        <f t="shared" si="5"/>
        <v>6.83930941371919E-3</v>
      </c>
    </row>
    <row r="163" spans="1:7" ht="12.75" customHeight="1" x14ac:dyDescent="0.3">
      <c r="A163" s="174">
        <v>44158</v>
      </c>
      <c r="B163" s="155">
        <v>865.75</v>
      </c>
      <c r="C163" s="155">
        <f t="shared" si="4"/>
        <v>3.366963166378132E-2</v>
      </c>
      <c r="E163" s="174">
        <v>44158</v>
      </c>
      <c r="F163" s="175">
        <v>12926.4501953125</v>
      </c>
      <c r="G163" s="155">
        <f t="shared" si="5"/>
        <v>5.241475198302023E-3</v>
      </c>
    </row>
    <row r="164" spans="1:7" ht="12.75" customHeight="1" x14ac:dyDescent="0.3">
      <c r="A164" s="174">
        <v>44159</v>
      </c>
      <c r="B164" s="155">
        <v>877.65</v>
      </c>
      <c r="C164" s="155">
        <f t="shared" si="4"/>
        <v>1.3745307536817762E-2</v>
      </c>
      <c r="E164" s="174">
        <v>44159</v>
      </c>
      <c r="F164" s="175">
        <v>13055.150390625</v>
      </c>
      <c r="G164" s="155">
        <f t="shared" si="5"/>
        <v>9.9563448098976444E-3</v>
      </c>
    </row>
    <row r="165" spans="1:7" ht="12.75" customHeight="1" x14ac:dyDescent="0.3">
      <c r="A165" s="174">
        <v>44160</v>
      </c>
      <c r="B165" s="155">
        <v>862.25</v>
      </c>
      <c r="C165" s="155">
        <f t="shared" si="4"/>
        <v>-1.7546858086936682E-2</v>
      </c>
      <c r="E165" s="174">
        <v>44160</v>
      </c>
      <c r="F165" s="175">
        <v>12858.400390625</v>
      </c>
      <c r="G165" s="155">
        <f t="shared" si="5"/>
        <v>-1.507068046809232E-2</v>
      </c>
    </row>
    <row r="166" spans="1:7" ht="12.75" customHeight="1" x14ac:dyDescent="0.3">
      <c r="A166" s="174">
        <v>44161</v>
      </c>
      <c r="B166" s="155">
        <v>857.05</v>
      </c>
      <c r="C166" s="155">
        <f t="shared" si="4"/>
        <v>-6.0307335459554023E-3</v>
      </c>
      <c r="E166" s="174">
        <v>44161</v>
      </c>
      <c r="F166" s="175">
        <v>12987</v>
      </c>
      <c r="G166" s="155">
        <f t="shared" si="5"/>
        <v>1.0001213639976662E-2</v>
      </c>
    </row>
    <row r="167" spans="1:7" ht="12.75" customHeight="1" x14ac:dyDescent="0.3">
      <c r="A167" s="174">
        <v>44162</v>
      </c>
      <c r="B167" s="155">
        <v>876.85</v>
      </c>
      <c r="C167" s="155">
        <f t="shared" si="4"/>
        <v>2.3102502771133619E-2</v>
      </c>
      <c r="E167" s="174">
        <v>44162</v>
      </c>
      <c r="F167" s="175">
        <v>12968.9501953125</v>
      </c>
      <c r="G167" s="155">
        <f t="shared" si="5"/>
        <v>-1.3898363507738507E-3</v>
      </c>
    </row>
    <row r="168" spans="1:7" ht="12.75" customHeight="1" x14ac:dyDescent="0.3">
      <c r="A168" s="174">
        <v>44166</v>
      </c>
      <c r="B168" s="155">
        <v>907.3</v>
      </c>
      <c r="C168" s="155">
        <f t="shared" si="4"/>
        <v>3.4726578092033909E-2</v>
      </c>
      <c r="E168" s="174">
        <v>44166</v>
      </c>
      <c r="F168" s="175">
        <v>13109.0498046875</v>
      </c>
      <c r="G168" s="155">
        <f t="shared" si="5"/>
        <v>1.0802694687318455E-2</v>
      </c>
    </row>
    <row r="169" spans="1:7" ht="12.75" customHeight="1" x14ac:dyDescent="0.3">
      <c r="A169" s="174">
        <v>44167</v>
      </c>
      <c r="B169" s="155">
        <v>908.7</v>
      </c>
      <c r="C169" s="155">
        <f t="shared" si="4"/>
        <v>1.543039788383215E-3</v>
      </c>
      <c r="E169" s="174">
        <v>44167</v>
      </c>
      <c r="F169" s="175">
        <v>13113.75</v>
      </c>
      <c r="G169" s="155">
        <f t="shared" si="5"/>
        <v>3.5854584295036521E-4</v>
      </c>
    </row>
    <row r="170" spans="1:7" ht="12.75" customHeight="1" x14ac:dyDescent="0.3">
      <c r="A170" s="174">
        <v>44168</v>
      </c>
      <c r="B170" s="155">
        <v>915.15</v>
      </c>
      <c r="C170" s="155">
        <f t="shared" si="4"/>
        <v>7.0980521624297698E-3</v>
      </c>
      <c r="E170" s="174">
        <v>44168</v>
      </c>
      <c r="F170" s="175">
        <v>13133.900390625</v>
      </c>
      <c r="G170" s="155">
        <f t="shared" si="5"/>
        <v>1.5365849299399485E-3</v>
      </c>
    </row>
    <row r="171" spans="1:7" ht="12.75" customHeight="1" x14ac:dyDescent="0.3">
      <c r="A171" s="174">
        <v>44169</v>
      </c>
      <c r="B171" s="155">
        <v>923.1</v>
      </c>
      <c r="C171" s="155">
        <f t="shared" si="4"/>
        <v>8.6871004753319627E-3</v>
      </c>
      <c r="E171" s="174">
        <v>44169</v>
      </c>
      <c r="F171" s="175">
        <v>13258.5498046875</v>
      </c>
      <c r="G171" s="155">
        <f t="shared" si="5"/>
        <v>9.4906623588736031E-3</v>
      </c>
    </row>
    <row r="172" spans="1:7" ht="12.75" customHeight="1" x14ac:dyDescent="0.3">
      <c r="A172" s="174">
        <v>44172</v>
      </c>
      <c r="B172" s="155">
        <v>944.3</v>
      </c>
      <c r="C172" s="155">
        <f t="shared" si="4"/>
        <v>2.2966092514353734E-2</v>
      </c>
      <c r="E172" s="174">
        <v>44172</v>
      </c>
      <c r="F172" s="175">
        <v>13355.75</v>
      </c>
      <c r="G172" s="155">
        <f t="shared" si="5"/>
        <v>7.3311332494399436E-3</v>
      </c>
    </row>
    <row r="173" spans="1:7" ht="12.75" customHeight="1" x14ac:dyDescent="0.3">
      <c r="A173" s="174">
        <v>44173</v>
      </c>
      <c r="B173" s="155">
        <v>932.3</v>
      </c>
      <c r="C173" s="155">
        <f t="shared" si="4"/>
        <v>-1.2707825902785132E-2</v>
      </c>
      <c r="E173" s="174">
        <v>44173</v>
      </c>
      <c r="F173" s="175">
        <v>13392.9501953125</v>
      </c>
      <c r="G173" s="155">
        <f t="shared" si="5"/>
        <v>2.7853318093330587E-3</v>
      </c>
    </row>
    <row r="174" spans="1:7" ht="12.75" customHeight="1" x14ac:dyDescent="0.3">
      <c r="A174" s="174">
        <v>44174</v>
      </c>
      <c r="B174" s="155">
        <v>929.5</v>
      </c>
      <c r="C174" s="155">
        <f t="shared" si="4"/>
        <v>-3.0033251099431026E-3</v>
      </c>
      <c r="E174" s="174">
        <v>44174</v>
      </c>
      <c r="F174" s="175">
        <v>13529.099609375</v>
      </c>
      <c r="G174" s="155">
        <f t="shared" si="5"/>
        <v>1.0165752285866931E-2</v>
      </c>
    </row>
    <row r="175" spans="1:7" ht="12.75" customHeight="1" x14ac:dyDescent="0.3">
      <c r="A175" s="174">
        <v>44175</v>
      </c>
      <c r="B175" s="155">
        <v>927.3</v>
      </c>
      <c r="C175" s="155">
        <f t="shared" si="4"/>
        <v>-2.3668639053254928E-3</v>
      </c>
      <c r="E175" s="174">
        <v>44175</v>
      </c>
      <c r="F175" s="175">
        <v>13478.2998046875</v>
      </c>
      <c r="G175" s="155">
        <f t="shared" si="5"/>
        <v>-3.7548548058806688E-3</v>
      </c>
    </row>
    <row r="176" spans="1:7" ht="12.75" customHeight="1" x14ac:dyDescent="0.3">
      <c r="A176" s="174">
        <v>44176</v>
      </c>
      <c r="B176" s="155">
        <v>919.4</v>
      </c>
      <c r="C176" s="155">
        <f t="shared" si="4"/>
        <v>-8.5193572738056483E-3</v>
      </c>
      <c r="E176" s="174">
        <v>44176</v>
      </c>
      <c r="F176" s="175">
        <v>13513.849609375</v>
      </c>
      <c r="G176" s="155">
        <f t="shared" si="5"/>
        <v>2.6375585350265351E-3</v>
      </c>
    </row>
    <row r="177" spans="1:7" ht="12.75" customHeight="1" x14ac:dyDescent="0.3">
      <c r="A177" s="174">
        <v>44179</v>
      </c>
      <c r="B177" s="155">
        <v>909.4</v>
      </c>
      <c r="C177" s="155">
        <f t="shared" si="4"/>
        <v>-1.0876658690450293E-2</v>
      </c>
      <c r="E177" s="174">
        <v>44179</v>
      </c>
      <c r="F177" s="175">
        <v>13558.150390625</v>
      </c>
      <c r="G177" s="155">
        <f t="shared" si="5"/>
        <v>3.2781762806703943E-3</v>
      </c>
    </row>
    <row r="178" spans="1:7" ht="12.75" customHeight="1" x14ac:dyDescent="0.3">
      <c r="A178" s="174">
        <v>44180</v>
      </c>
      <c r="B178" s="155">
        <v>927.05</v>
      </c>
      <c r="C178" s="155">
        <f t="shared" si="4"/>
        <v>1.9408401143611146E-2</v>
      </c>
      <c r="E178" s="174">
        <v>44180</v>
      </c>
      <c r="F178" s="175">
        <v>13567.849609375</v>
      </c>
      <c r="G178" s="155">
        <f t="shared" si="5"/>
        <v>7.1537919779284052E-4</v>
      </c>
    </row>
    <row r="179" spans="1:7" ht="12.75" customHeight="1" x14ac:dyDescent="0.3">
      <c r="A179" s="174">
        <v>44181</v>
      </c>
      <c r="B179" s="155">
        <v>921.55</v>
      </c>
      <c r="C179" s="155">
        <f t="shared" si="4"/>
        <v>-5.9327975837333482E-3</v>
      </c>
      <c r="E179" s="174">
        <v>44181</v>
      </c>
      <c r="F179" s="175">
        <v>13682.7001953125</v>
      </c>
      <c r="G179" s="155">
        <f t="shared" si="5"/>
        <v>8.4649070592691042E-3</v>
      </c>
    </row>
    <row r="180" spans="1:7" ht="12.75" customHeight="1" x14ac:dyDescent="0.3">
      <c r="A180" s="174">
        <v>44182</v>
      </c>
      <c r="B180" s="155">
        <v>930.1</v>
      </c>
      <c r="C180" s="155">
        <f t="shared" si="4"/>
        <v>9.2778471054202911E-3</v>
      </c>
      <c r="E180" s="174">
        <v>44182</v>
      </c>
      <c r="F180" s="175">
        <v>13740.7001953125</v>
      </c>
      <c r="G180" s="155">
        <f t="shared" si="5"/>
        <v>4.2389293905504104E-3</v>
      </c>
    </row>
    <row r="181" spans="1:7" ht="12.75" customHeight="1" x14ac:dyDescent="0.3">
      <c r="A181" s="174">
        <v>44183</v>
      </c>
      <c r="B181" s="155">
        <v>933.8</v>
      </c>
      <c r="C181" s="155">
        <f t="shared" si="4"/>
        <v>3.9780668745295475E-3</v>
      </c>
      <c r="E181" s="174">
        <v>44183</v>
      </c>
      <c r="F181" s="175">
        <v>13760.5498046875</v>
      </c>
      <c r="G181" s="155">
        <f t="shared" si="5"/>
        <v>1.4445849987885983E-3</v>
      </c>
    </row>
    <row r="182" spans="1:7" ht="12.75" customHeight="1" x14ac:dyDescent="0.3">
      <c r="A182" s="174">
        <v>44186</v>
      </c>
      <c r="B182" s="155">
        <v>906.85</v>
      </c>
      <c r="C182" s="155">
        <f t="shared" si="4"/>
        <v>-2.8860569715142358E-2</v>
      </c>
      <c r="E182" s="174">
        <v>44186</v>
      </c>
      <c r="F182" s="175">
        <v>13328.400390625</v>
      </c>
      <c r="G182" s="155">
        <f t="shared" si="5"/>
        <v>-3.1404952577933277E-2</v>
      </c>
    </row>
    <row r="183" spans="1:7" ht="12.75" customHeight="1" x14ac:dyDescent="0.3">
      <c r="A183" s="174">
        <v>44187</v>
      </c>
      <c r="B183" s="155">
        <v>944.65</v>
      </c>
      <c r="C183" s="155">
        <f t="shared" si="4"/>
        <v>4.1682747973755256E-2</v>
      </c>
      <c r="E183" s="174">
        <v>44187</v>
      </c>
      <c r="F183" s="175">
        <v>13466.2998046875</v>
      </c>
      <c r="G183" s="155">
        <f t="shared" si="5"/>
        <v>1.034628387660806E-2</v>
      </c>
    </row>
    <row r="184" spans="1:7" ht="12.75" customHeight="1" x14ac:dyDescent="0.3">
      <c r="A184" s="174">
        <v>44188</v>
      </c>
      <c r="B184" s="155">
        <v>948.15</v>
      </c>
      <c r="C184" s="155">
        <f t="shared" si="4"/>
        <v>3.7050759540570581E-3</v>
      </c>
      <c r="E184" s="174">
        <v>44188</v>
      </c>
      <c r="F184" s="175">
        <v>13601.099609375</v>
      </c>
      <c r="G184" s="155">
        <f t="shared" si="5"/>
        <v>1.0010159185716136E-2</v>
      </c>
    </row>
    <row r="185" spans="1:7" ht="12.75" customHeight="1" x14ac:dyDescent="0.3">
      <c r="A185" s="174">
        <v>44189</v>
      </c>
      <c r="B185" s="155">
        <v>947.25</v>
      </c>
      <c r="C185" s="155">
        <f t="shared" si="4"/>
        <v>-9.4921689606072596E-4</v>
      </c>
      <c r="E185" s="174">
        <v>44189</v>
      </c>
      <c r="F185" s="175">
        <v>13749.25</v>
      </c>
      <c r="G185" s="155">
        <f t="shared" si="5"/>
        <v>1.0892530374741357E-2</v>
      </c>
    </row>
    <row r="186" spans="1:7" ht="12.75" customHeight="1" x14ac:dyDescent="0.3">
      <c r="A186" s="174">
        <v>44193</v>
      </c>
      <c r="B186" s="155">
        <v>947.1</v>
      </c>
      <c r="C186" s="155">
        <f t="shared" si="4"/>
        <v>-1.5835312747424361E-4</v>
      </c>
      <c r="E186" s="174">
        <v>44193</v>
      </c>
      <c r="F186" s="175">
        <v>13873.2001953125</v>
      </c>
      <c r="G186" s="155">
        <f t="shared" si="5"/>
        <v>9.0150513891666811E-3</v>
      </c>
    </row>
    <row r="187" spans="1:7" ht="12.75" customHeight="1" x14ac:dyDescent="0.3">
      <c r="A187" s="174">
        <v>44194</v>
      </c>
      <c r="B187" s="155">
        <v>965.65</v>
      </c>
      <c r="C187" s="155">
        <f t="shared" si="4"/>
        <v>1.9586104951958561E-2</v>
      </c>
      <c r="E187" s="174">
        <v>44194</v>
      </c>
      <c r="F187" s="175">
        <v>13932.599609375</v>
      </c>
      <c r="G187" s="155">
        <f t="shared" si="5"/>
        <v>4.281594241144878E-3</v>
      </c>
    </row>
    <row r="188" spans="1:7" ht="12.75" customHeight="1" x14ac:dyDescent="0.3">
      <c r="A188" s="174">
        <v>44195</v>
      </c>
      <c r="B188" s="155">
        <v>983.25</v>
      </c>
      <c r="C188" s="155">
        <f t="shared" si="4"/>
        <v>1.8226065344586571E-2</v>
      </c>
      <c r="E188" s="174">
        <v>44195</v>
      </c>
      <c r="F188" s="175">
        <v>13981.9501953125</v>
      </c>
      <c r="G188" s="155">
        <f t="shared" si="5"/>
        <v>3.542094606974341E-3</v>
      </c>
    </row>
    <row r="189" spans="1:7" ht="12.75" customHeight="1" x14ac:dyDescent="0.3">
      <c r="A189" s="174">
        <v>44196</v>
      </c>
      <c r="B189" s="155">
        <v>973.2</v>
      </c>
      <c r="C189" s="155">
        <f t="shared" si="4"/>
        <v>-1.0221205186880198E-2</v>
      </c>
      <c r="E189" s="174">
        <v>44196</v>
      </c>
      <c r="F189" s="175">
        <v>13981.75</v>
      </c>
      <c r="G189" s="155">
        <f t="shared" si="5"/>
        <v>-1.4318125133010144E-5</v>
      </c>
    </row>
    <row r="190" spans="1:7" ht="12.75" customHeight="1" x14ac:dyDescent="0.3">
      <c r="A190" s="174">
        <v>44197</v>
      </c>
      <c r="B190" s="155">
        <v>977.95</v>
      </c>
      <c r="C190" s="155">
        <f t="shared" si="4"/>
        <v>4.8808055898068225E-3</v>
      </c>
      <c r="E190" s="174">
        <v>44197</v>
      </c>
      <c r="F190" s="175">
        <v>14018.5</v>
      </c>
      <c r="G190" s="155">
        <f t="shared" si="5"/>
        <v>2.6284263414808589E-3</v>
      </c>
    </row>
    <row r="191" spans="1:7" ht="12.75" customHeight="1" x14ac:dyDescent="0.3">
      <c r="A191" s="174">
        <v>44200</v>
      </c>
      <c r="B191" s="155">
        <v>1001.95</v>
      </c>
      <c r="C191" s="155">
        <f t="shared" si="4"/>
        <v>2.4541131959711641E-2</v>
      </c>
      <c r="E191" s="174">
        <v>44200</v>
      </c>
      <c r="F191" s="175">
        <v>14132.900390625</v>
      </c>
      <c r="G191" s="155">
        <f t="shared" si="5"/>
        <v>8.1606727271106034E-3</v>
      </c>
    </row>
    <row r="192" spans="1:7" ht="12.75" customHeight="1" x14ac:dyDescent="0.3">
      <c r="A192" s="174">
        <v>44201</v>
      </c>
      <c r="B192" s="155">
        <v>1003.85</v>
      </c>
      <c r="C192" s="155">
        <f t="shared" si="4"/>
        <v>1.8963022106891333E-3</v>
      </c>
      <c r="E192" s="174">
        <v>44201</v>
      </c>
      <c r="F192" s="175">
        <v>14199.5</v>
      </c>
      <c r="G192" s="155">
        <f t="shared" si="5"/>
        <v>4.7123808655142414E-3</v>
      </c>
    </row>
    <row r="193" spans="1:7" ht="12.75" customHeight="1" x14ac:dyDescent="0.3">
      <c r="A193" s="174">
        <v>44202</v>
      </c>
      <c r="B193" s="155">
        <v>997.15</v>
      </c>
      <c r="C193" s="155">
        <f t="shared" si="4"/>
        <v>-6.6743039298700459E-3</v>
      </c>
      <c r="E193" s="174">
        <v>44202</v>
      </c>
      <c r="F193" s="175">
        <v>14146.25</v>
      </c>
      <c r="G193" s="155">
        <f t="shared" si="5"/>
        <v>-3.7501320469030598E-3</v>
      </c>
    </row>
    <row r="194" spans="1:7" ht="12.75" customHeight="1" x14ac:dyDescent="0.3">
      <c r="A194" s="174">
        <v>44203</v>
      </c>
      <c r="B194" s="155">
        <v>994.75</v>
      </c>
      <c r="C194" s="155">
        <f t="shared" si="4"/>
        <v>-2.4068595497166697E-3</v>
      </c>
      <c r="E194" s="174">
        <v>44203</v>
      </c>
      <c r="F194" s="175">
        <v>14137.349609375</v>
      </c>
      <c r="G194" s="155">
        <f t="shared" si="5"/>
        <v>-6.2916961208800914E-4</v>
      </c>
    </row>
    <row r="195" spans="1:7" ht="12.75" customHeight="1" x14ac:dyDescent="0.3">
      <c r="A195" s="174">
        <v>44204</v>
      </c>
      <c r="B195" s="155">
        <v>1051.0999999999999</v>
      </c>
      <c r="C195" s="155">
        <f t="shared" si="4"/>
        <v>5.6647398843930545E-2</v>
      </c>
      <c r="E195" s="174">
        <v>44204</v>
      </c>
      <c r="F195" s="175">
        <v>14347.25</v>
      </c>
      <c r="G195" s="155">
        <f t="shared" si="5"/>
        <v>1.4847223590326102E-2</v>
      </c>
    </row>
    <row r="196" spans="1:7" ht="12.75" customHeight="1" x14ac:dyDescent="0.3">
      <c r="A196" s="174">
        <v>44207</v>
      </c>
      <c r="B196" s="155">
        <v>1077.5999999999999</v>
      </c>
      <c r="C196" s="155">
        <f t="shared" ref="C196:C259" si="6">(B196-B195)/B195</f>
        <v>2.5211682998763203E-2</v>
      </c>
      <c r="E196" s="174">
        <v>44207</v>
      </c>
      <c r="F196" s="175">
        <v>14484.75</v>
      </c>
      <c r="G196" s="155">
        <f t="shared" ref="G196:G259" si="7">(F196-F195)/F195</f>
        <v>9.5837181341372046E-3</v>
      </c>
    </row>
    <row r="197" spans="1:7" ht="12.75" customHeight="1" x14ac:dyDescent="0.3">
      <c r="A197" s="174">
        <v>44208</v>
      </c>
      <c r="B197" s="155">
        <v>1064.2</v>
      </c>
      <c r="C197" s="155">
        <f t="shared" si="6"/>
        <v>-1.2435040831477232E-2</v>
      </c>
      <c r="E197" s="174">
        <v>44208</v>
      </c>
      <c r="F197" s="175">
        <v>14563.4501953125</v>
      </c>
      <c r="G197" s="155">
        <f t="shared" si="7"/>
        <v>5.4333140242323824E-3</v>
      </c>
    </row>
    <row r="198" spans="1:7" ht="12.75" customHeight="1" x14ac:dyDescent="0.3">
      <c r="A198" s="174">
        <v>44209</v>
      </c>
      <c r="B198" s="155">
        <v>1069.6500000000001</v>
      </c>
      <c r="C198" s="155">
        <f t="shared" si="6"/>
        <v>5.1212178162000051E-3</v>
      </c>
      <c r="E198" s="174">
        <v>44209</v>
      </c>
      <c r="F198" s="175">
        <v>14564.849609375</v>
      </c>
      <c r="G198" s="155">
        <f t="shared" si="7"/>
        <v>9.6090833128981056E-5</v>
      </c>
    </row>
    <row r="199" spans="1:7" ht="12.75" customHeight="1" x14ac:dyDescent="0.3">
      <c r="A199" s="174">
        <v>44210</v>
      </c>
      <c r="B199" s="155">
        <v>1052.5999999999999</v>
      </c>
      <c r="C199" s="155">
        <f t="shared" si="6"/>
        <v>-1.5939793390361501E-2</v>
      </c>
      <c r="E199" s="174">
        <v>44210</v>
      </c>
      <c r="F199" s="175">
        <v>14595.599609375</v>
      </c>
      <c r="G199" s="155">
        <f t="shared" si="7"/>
        <v>2.1112473403231747E-3</v>
      </c>
    </row>
    <row r="200" spans="1:7" ht="12.75" customHeight="1" x14ac:dyDescent="0.3">
      <c r="A200" s="174">
        <v>44211</v>
      </c>
      <c r="B200" s="155">
        <v>1007.3</v>
      </c>
      <c r="C200" s="155">
        <f t="shared" si="6"/>
        <v>-4.3036291088732623E-2</v>
      </c>
      <c r="E200" s="174">
        <v>44211</v>
      </c>
      <c r="F200" s="175">
        <v>14433.7001953125</v>
      </c>
      <c r="G200" s="155">
        <f t="shared" si="7"/>
        <v>-1.1092344158201577E-2</v>
      </c>
    </row>
    <row r="201" spans="1:7" ht="12.75" customHeight="1" x14ac:dyDescent="0.3">
      <c r="A201" s="174">
        <v>44214</v>
      </c>
      <c r="B201" s="155">
        <v>998.25</v>
      </c>
      <c r="C201" s="155">
        <f t="shared" si="6"/>
        <v>-8.9844137794102604E-3</v>
      </c>
      <c r="E201" s="174">
        <v>44214</v>
      </c>
      <c r="F201" s="175">
        <v>14281.2998046875</v>
      </c>
      <c r="G201" s="155">
        <f t="shared" si="7"/>
        <v>-1.0558650142566607E-2</v>
      </c>
    </row>
    <row r="202" spans="1:7" ht="12.75" customHeight="1" x14ac:dyDescent="0.3">
      <c r="A202" s="174">
        <v>44215</v>
      </c>
      <c r="B202" s="155">
        <v>992.5</v>
      </c>
      <c r="C202" s="155">
        <f t="shared" si="6"/>
        <v>-5.7600801402454297E-3</v>
      </c>
      <c r="E202" s="174">
        <v>44215</v>
      </c>
      <c r="F202" s="175">
        <v>14521.150390625</v>
      </c>
      <c r="G202" s="155">
        <f t="shared" si="7"/>
        <v>1.6794730817062932E-2</v>
      </c>
    </row>
    <row r="203" spans="1:7" ht="12.75" customHeight="1" x14ac:dyDescent="0.3">
      <c r="A203" s="174">
        <v>44216</v>
      </c>
      <c r="B203" s="155">
        <v>1019.45</v>
      </c>
      <c r="C203" s="155">
        <f t="shared" si="6"/>
        <v>2.7153652392947147E-2</v>
      </c>
      <c r="E203" s="174">
        <v>44216</v>
      </c>
      <c r="F203" s="175">
        <v>14644.7001953125</v>
      </c>
      <c r="G203" s="155">
        <f t="shared" si="7"/>
        <v>8.5082656238630369E-3</v>
      </c>
    </row>
    <row r="204" spans="1:7" ht="12.75" customHeight="1" x14ac:dyDescent="0.3">
      <c r="A204" s="174">
        <v>44217</v>
      </c>
      <c r="B204" s="155">
        <v>1004.7</v>
      </c>
      <c r="C204" s="155">
        <f t="shared" si="6"/>
        <v>-1.4468586002256117E-2</v>
      </c>
      <c r="E204" s="174">
        <v>44217</v>
      </c>
      <c r="F204" s="175">
        <v>14590.349609375</v>
      </c>
      <c r="G204" s="155">
        <f t="shared" si="7"/>
        <v>-3.7112802046228729E-3</v>
      </c>
    </row>
    <row r="205" spans="1:7" ht="12.75" customHeight="1" x14ac:dyDescent="0.3">
      <c r="A205" s="174">
        <v>44218</v>
      </c>
      <c r="B205" s="155">
        <v>980.85</v>
      </c>
      <c r="C205" s="155">
        <f t="shared" si="6"/>
        <v>-2.3738429381905068E-2</v>
      </c>
      <c r="E205" s="174">
        <v>44218</v>
      </c>
      <c r="F205" s="175">
        <v>14371.900390625</v>
      </c>
      <c r="G205" s="155">
        <f t="shared" si="7"/>
        <v>-1.4972171647596155E-2</v>
      </c>
    </row>
    <row r="206" spans="1:7" ht="12.75" customHeight="1" x14ac:dyDescent="0.3">
      <c r="A206" s="174">
        <v>44221</v>
      </c>
      <c r="B206" s="155">
        <v>972.05</v>
      </c>
      <c r="C206" s="155">
        <f t="shared" si="6"/>
        <v>-8.9718101646531767E-3</v>
      </c>
      <c r="E206" s="174">
        <v>44221</v>
      </c>
      <c r="F206" s="175">
        <v>14238.900390625</v>
      </c>
      <c r="G206" s="155">
        <f t="shared" si="7"/>
        <v>-9.2541693433081298E-3</v>
      </c>
    </row>
    <row r="207" spans="1:7" ht="12.75" customHeight="1" x14ac:dyDescent="0.3">
      <c r="A207" s="174">
        <v>44223</v>
      </c>
      <c r="B207" s="155">
        <v>997.1</v>
      </c>
      <c r="C207" s="155">
        <f t="shared" si="6"/>
        <v>2.5770279306620101E-2</v>
      </c>
      <c r="E207" s="174">
        <v>44223</v>
      </c>
      <c r="F207" s="175">
        <v>13967.5</v>
      </c>
      <c r="G207" s="155">
        <f t="shared" si="7"/>
        <v>-1.9060488041878015E-2</v>
      </c>
    </row>
    <row r="208" spans="1:7" ht="12.75" customHeight="1" x14ac:dyDescent="0.3">
      <c r="A208" s="174">
        <v>44224</v>
      </c>
      <c r="B208" s="155">
        <v>981.6</v>
      </c>
      <c r="C208" s="155">
        <f t="shared" si="6"/>
        <v>-1.5545080734128974E-2</v>
      </c>
      <c r="E208" s="174">
        <v>44224</v>
      </c>
      <c r="F208" s="175">
        <v>13817.5498046875</v>
      </c>
      <c r="G208" s="155">
        <f t="shared" si="7"/>
        <v>-1.0735650281904421E-2</v>
      </c>
    </row>
    <row r="209" spans="1:7" ht="12.75" customHeight="1" x14ac:dyDescent="0.3">
      <c r="A209" s="174">
        <v>44225</v>
      </c>
      <c r="B209" s="155">
        <v>961.4</v>
      </c>
      <c r="C209" s="155">
        <f t="shared" si="6"/>
        <v>-2.0578647106764512E-2</v>
      </c>
      <c r="E209" s="174">
        <v>44225</v>
      </c>
      <c r="F209" s="175">
        <v>13634.599609375</v>
      </c>
      <c r="G209" s="155">
        <f t="shared" si="7"/>
        <v>-1.3240422354072899E-2</v>
      </c>
    </row>
    <row r="210" spans="1:7" ht="12.75" customHeight="1" x14ac:dyDescent="0.3">
      <c r="A210" s="174">
        <v>44228</v>
      </c>
      <c r="B210" s="155">
        <v>941.75</v>
      </c>
      <c r="C210" s="155">
        <f t="shared" si="6"/>
        <v>-2.0438943207821903E-2</v>
      </c>
      <c r="E210" s="174">
        <v>44228</v>
      </c>
      <c r="F210" s="175">
        <v>14281.2001953125</v>
      </c>
      <c r="G210" s="155">
        <f t="shared" si="7"/>
        <v>4.7423511101338432E-2</v>
      </c>
    </row>
    <row r="211" spans="1:7" ht="12.75" customHeight="1" x14ac:dyDescent="0.3">
      <c r="A211" s="174">
        <v>44229</v>
      </c>
      <c r="B211" s="155">
        <v>957.2</v>
      </c>
      <c r="C211" s="155">
        <f t="shared" si="6"/>
        <v>1.6405627820546904E-2</v>
      </c>
      <c r="E211" s="174">
        <v>44229</v>
      </c>
      <c r="F211" s="175">
        <v>14647.849609375</v>
      </c>
      <c r="G211" s="155">
        <f t="shared" si="7"/>
        <v>2.5673571481957438E-2</v>
      </c>
    </row>
    <row r="212" spans="1:7" ht="12.75" customHeight="1" x14ac:dyDescent="0.3">
      <c r="A212" s="174">
        <v>44230</v>
      </c>
      <c r="B212" s="155">
        <v>981.45</v>
      </c>
      <c r="C212" s="155">
        <f t="shared" si="6"/>
        <v>2.5334308399498535E-2</v>
      </c>
      <c r="E212" s="174">
        <v>44230</v>
      </c>
      <c r="F212" s="175">
        <v>14789.9501953125</v>
      </c>
      <c r="G212" s="155">
        <f t="shared" si="7"/>
        <v>9.7011226717232252E-3</v>
      </c>
    </row>
    <row r="213" spans="1:7" ht="12.75" customHeight="1" x14ac:dyDescent="0.3">
      <c r="A213" s="174">
        <v>44231</v>
      </c>
      <c r="B213" s="155">
        <v>969.2</v>
      </c>
      <c r="C213" s="155">
        <f t="shared" si="6"/>
        <v>-1.2481532426511793E-2</v>
      </c>
      <c r="E213" s="174">
        <v>44231</v>
      </c>
      <c r="F213" s="175">
        <v>14895.650390625</v>
      </c>
      <c r="G213" s="155">
        <f t="shared" si="7"/>
        <v>7.146758029381358E-3</v>
      </c>
    </row>
    <row r="214" spans="1:7" ht="12.75" customHeight="1" x14ac:dyDescent="0.3">
      <c r="A214" s="174">
        <v>44232</v>
      </c>
      <c r="B214" s="155">
        <v>959.4</v>
      </c>
      <c r="C214" s="155">
        <f t="shared" si="6"/>
        <v>-1.011143210895591E-2</v>
      </c>
      <c r="E214" s="174">
        <v>44232</v>
      </c>
      <c r="F214" s="175">
        <v>14924.25</v>
      </c>
      <c r="G214" s="155">
        <f t="shared" si="7"/>
        <v>1.919997356610892E-3</v>
      </c>
    </row>
    <row r="215" spans="1:7" ht="12.75" customHeight="1" x14ac:dyDescent="0.3">
      <c r="A215" s="174">
        <v>44235</v>
      </c>
      <c r="B215" s="155">
        <v>982.55</v>
      </c>
      <c r="C215" s="155">
        <f t="shared" si="6"/>
        <v>2.4129664373566791E-2</v>
      </c>
      <c r="E215" s="174">
        <v>44235</v>
      </c>
      <c r="F215" s="175">
        <v>15115.7998046875</v>
      </c>
      <c r="G215" s="155">
        <f t="shared" si="7"/>
        <v>1.2834802732968156E-2</v>
      </c>
    </row>
    <row r="216" spans="1:7" ht="12.75" customHeight="1" x14ac:dyDescent="0.3">
      <c r="A216" s="174">
        <v>44236</v>
      </c>
      <c r="B216" s="155">
        <v>975.1</v>
      </c>
      <c r="C216" s="155">
        <f t="shared" si="6"/>
        <v>-7.5823113327565337E-3</v>
      </c>
      <c r="E216" s="174">
        <v>44236</v>
      </c>
      <c r="F216" s="175">
        <v>15109.2998046875</v>
      </c>
      <c r="G216" s="155">
        <f t="shared" si="7"/>
        <v>-4.3001363368045607E-4</v>
      </c>
    </row>
    <row r="217" spans="1:7" ht="12.75" customHeight="1" x14ac:dyDescent="0.3">
      <c r="A217" s="174">
        <v>44237</v>
      </c>
      <c r="B217" s="155">
        <v>974.9</v>
      </c>
      <c r="C217" s="155">
        <f t="shared" si="6"/>
        <v>-2.0510716849558554E-4</v>
      </c>
      <c r="E217" s="174">
        <v>44237</v>
      </c>
      <c r="F217" s="175">
        <v>15106.5</v>
      </c>
      <c r="G217" s="155">
        <f t="shared" si="7"/>
        <v>-1.8530340410820298E-4</v>
      </c>
    </row>
    <row r="218" spans="1:7" ht="12.75" customHeight="1" x14ac:dyDescent="0.3">
      <c r="A218" s="174">
        <v>44238</v>
      </c>
      <c r="B218" s="155">
        <v>985.6</v>
      </c>
      <c r="C218" s="155">
        <f t="shared" si="6"/>
        <v>1.0975484665093902E-2</v>
      </c>
      <c r="E218" s="174">
        <v>44238</v>
      </c>
      <c r="F218" s="175">
        <v>15173.2998046875</v>
      </c>
      <c r="G218" s="155">
        <f t="shared" si="7"/>
        <v>4.4219246475027309E-3</v>
      </c>
    </row>
    <row r="219" spans="1:7" ht="12.75" customHeight="1" x14ac:dyDescent="0.3">
      <c r="A219" s="174">
        <v>44239</v>
      </c>
      <c r="B219" s="155">
        <v>991.2</v>
      </c>
      <c r="C219" s="155">
        <f t="shared" si="6"/>
        <v>5.6818181818182045E-3</v>
      </c>
      <c r="E219" s="174">
        <v>44239</v>
      </c>
      <c r="F219" s="175">
        <v>15163.2998046875</v>
      </c>
      <c r="G219" s="155">
        <f t="shared" si="7"/>
        <v>-6.590524229219205E-4</v>
      </c>
    </row>
    <row r="220" spans="1:7" ht="12.75" customHeight="1" x14ac:dyDescent="0.3">
      <c r="A220" s="174">
        <v>44242</v>
      </c>
      <c r="B220" s="155">
        <v>979.2</v>
      </c>
      <c r="C220" s="155">
        <f t="shared" si="6"/>
        <v>-1.2106537530266344E-2</v>
      </c>
      <c r="E220" s="174">
        <v>44242</v>
      </c>
      <c r="F220" s="175">
        <v>15314.7001953125</v>
      </c>
      <c r="G220" s="155">
        <f t="shared" si="7"/>
        <v>9.984659841533761E-3</v>
      </c>
    </row>
    <row r="221" spans="1:7" ht="12.75" customHeight="1" x14ac:dyDescent="0.3">
      <c r="A221" s="174">
        <v>44243</v>
      </c>
      <c r="B221" s="155">
        <v>986.8</v>
      </c>
      <c r="C221" s="155">
        <f t="shared" si="6"/>
        <v>7.7614379084966385E-3</v>
      </c>
      <c r="E221" s="174">
        <v>44243</v>
      </c>
      <c r="F221" s="175">
        <v>15313.4501953125</v>
      </c>
      <c r="G221" s="155">
        <f t="shared" si="7"/>
        <v>-8.1620925258634719E-5</v>
      </c>
    </row>
    <row r="222" spans="1:7" ht="12.75" customHeight="1" x14ac:dyDescent="0.3">
      <c r="A222" s="174">
        <v>44244</v>
      </c>
      <c r="B222" s="155">
        <v>980.45</v>
      </c>
      <c r="C222" s="155">
        <f t="shared" si="6"/>
        <v>-6.4349412241588057E-3</v>
      </c>
      <c r="E222" s="174">
        <v>44244</v>
      </c>
      <c r="F222" s="175">
        <v>15208.900390625</v>
      </c>
      <c r="G222" s="155">
        <f t="shared" si="7"/>
        <v>-6.8273186874309392E-3</v>
      </c>
    </row>
    <row r="223" spans="1:7" ht="12.75" customHeight="1" x14ac:dyDescent="0.3">
      <c r="A223" s="174">
        <v>44245</v>
      </c>
      <c r="B223" s="155">
        <v>1010.6</v>
      </c>
      <c r="C223" s="155">
        <f t="shared" si="6"/>
        <v>3.0751185680044854E-2</v>
      </c>
      <c r="E223" s="174">
        <v>44245</v>
      </c>
      <c r="F223" s="175">
        <v>15118.9501953125</v>
      </c>
      <c r="G223" s="155">
        <f t="shared" si="7"/>
        <v>-5.9143128695843573E-3</v>
      </c>
    </row>
    <row r="224" spans="1:7" ht="12.75" customHeight="1" x14ac:dyDescent="0.3">
      <c r="A224" s="174">
        <v>44246</v>
      </c>
      <c r="B224" s="155">
        <v>993.95</v>
      </c>
      <c r="C224" s="155">
        <f t="shared" si="6"/>
        <v>-1.6475361171581215E-2</v>
      </c>
      <c r="E224" s="174">
        <v>44246</v>
      </c>
      <c r="F224" s="175">
        <v>14981.75</v>
      </c>
      <c r="G224" s="155">
        <f t="shared" si="7"/>
        <v>-9.0747170630297962E-3</v>
      </c>
    </row>
    <row r="225" spans="1:7" ht="12.75" customHeight="1" x14ac:dyDescent="0.3">
      <c r="A225" s="174">
        <v>44249</v>
      </c>
      <c r="B225" s="155">
        <v>950.7</v>
      </c>
      <c r="C225" s="155">
        <f t="shared" si="6"/>
        <v>-4.3513255193923232E-2</v>
      </c>
      <c r="E225" s="174">
        <v>44249</v>
      </c>
      <c r="F225" s="175">
        <v>14675.7001953125</v>
      </c>
      <c r="G225" s="155">
        <f t="shared" si="7"/>
        <v>-2.0428174591586429E-2</v>
      </c>
    </row>
    <row r="226" spans="1:7" ht="12.75" customHeight="1" x14ac:dyDescent="0.3">
      <c r="A226" s="174">
        <v>44250</v>
      </c>
      <c r="B226" s="155">
        <v>945.75</v>
      </c>
      <c r="C226" s="155">
        <f t="shared" si="6"/>
        <v>-5.206689807510303E-3</v>
      </c>
      <c r="E226" s="174">
        <v>44250</v>
      </c>
      <c r="F226" s="175">
        <v>14707.7998046875</v>
      </c>
      <c r="G226" s="155">
        <f t="shared" si="7"/>
        <v>2.1872625461000351E-3</v>
      </c>
    </row>
    <row r="227" spans="1:7" ht="12.75" customHeight="1" x14ac:dyDescent="0.3">
      <c r="A227" s="174">
        <v>44251</v>
      </c>
      <c r="B227" s="155">
        <v>960.05</v>
      </c>
      <c r="C227" s="155">
        <f t="shared" si="6"/>
        <v>1.5120274914089299E-2</v>
      </c>
      <c r="E227" s="174">
        <v>44251</v>
      </c>
      <c r="F227" s="175">
        <v>14982</v>
      </c>
      <c r="G227" s="155">
        <f t="shared" si="7"/>
        <v>1.8643182457862263E-2</v>
      </c>
    </row>
    <row r="228" spans="1:7" ht="12.75" customHeight="1" x14ac:dyDescent="0.3">
      <c r="A228" s="174">
        <v>44252</v>
      </c>
      <c r="B228" s="155">
        <v>957.8</v>
      </c>
      <c r="C228" s="155">
        <f t="shared" si="6"/>
        <v>-2.3436279360449976E-3</v>
      </c>
      <c r="E228" s="174">
        <v>44252</v>
      </c>
      <c r="F228" s="175">
        <v>15097.349609375</v>
      </c>
      <c r="G228" s="155">
        <f t="shared" si="7"/>
        <v>7.6992130139500736E-3</v>
      </c>
    </row>
    <row r="229" spans="1:7" ht="12.75" customHeight="1" x14ac:dyDescent="0.3">
      <c r="A229" s="174">
        <v>44253</v>
      </c>
      <c r="B229" s="155">
        <v>918.85</v>
      </c>
      <c r="C229" s="155">
        <f t="shared" si="6"/>
        <v>-4.0666109835038558E-2</v>
      </c>
      <c r="E229" s="174">
        <v>44253</v>
      </c>
      <c r="F229" s="175">
        <v>14529.150390625</v>
      </c>
      <c r="G229" s="155">
        <f t="shared" si="7"/>
        <v>-3.7635693247586012E-2</v>
      </c>
    </row>
    <row r="230" spans="1:7" ht="12.75" customHeight="1" x14ac:dyDescent="0.3">
      <c r="A230" s="174">
        <v>44256</v>
      </c>
      <c r="B230" s="155">
        <v>936</v>
      </c>
      <c r="C230" s="155">
        <f t="shared" si="6"/>
        <v>1.8664635141753254E-2</v>
      </c>
      <c r="E230" s="174">
        <v>44256</v>
      </c>
      <c r="F230" s="175">
        <v>14761.5498046875</v>
      </c>
      <c r="G230" s="155">
        <f t="shared" si="7"/>
        <v>1.5995389118723471E-2</v>
      </c>
    </row>
    <row r="231" spans="1:7" ht="12.75" customHeight="1" x14ac:dyDescent="0.3">
      <c r="A231" s="174">
        <v>44257</v>
      </c>
      <c r="B231" s="155">
        <v>967.1</v>
      </c>
      <c r="C231" s="155">
        <f t="shared" si="6"/>
        <v>3.3226495726495754E-2</v>
      </c>
      <c r="E231" s="174">
        <v>44257</v>
      </c>
      <c r="F231" s="175">
        <v>14919.099609375</v>
      </c>
      <c r="G231" s="155">
        <f t="shared" si="7"/>
        <v>1.0672985341787783E-2</v>
      </c>
    </row>
    <row r="232" spans="1:7" ht="12.75" customHeight="1" x14ac:dyDescent="0.3">
      <c r="A232" s="174">
        <v>44258</v>
      </c>
      <c r="B232" s="155">
        <v>976</v>
      </c>
      <c r="C232" s="155">
        <f t="shared" si="6"/>
        <v>9.2027711715437673E-3</v>
      </c>
      <c r="E232" s="174">
        <v>44258</v>
      </c>
      <c r="F232" s="175">
        <v>15245.599609375</v>
      </c>
      <c r="G232" s="155">
        <f t="shared" si="7"/>
        <v>2.1884698711632098E-2</v>
      </c>
    </row>
    <row r="233" spans="1:7" ht="12.75" customHeight="1" x14ac:dyDescent="0.3">
      <c r="A233" s="174">
        <v>44259</v>
      </c>
      <c r="B233" s="155">
        <v>968.05</v>
      </c>
      <c r="C233" s="155">
        <f t="shared" si="6"/>
        <v>-8.1454918032787347E-3</v>
      </c>
      <c r="E233" s="174">
        <v>44259</v>
      </c>
      <c r="F233" s="175">
        <v>15080.75</v>
      </c>
      <c r="G233" s="155">
        <f t="shared" si="7"/>
        <v>-1.0812930524138177E-2</v>
      </c>
    </row>
    <row r="234" spans="1:7" ht="12.75" customHeight="1" x14ac:dyDescent="0.3">
      <c r="A234" s="174">
        <v>44260</v>
      </c>
      <c r="B234" s="155">
        <v>959.7</v>
      </c>
      <c r="C234" s="155">
        <f t="shared" si="6"/>
        <v>-8.6255875213056242E-3</v>
      </c>
      <c r="E234" s="174">
        <v>44260</v>
      </c>
      <c r="F234" s="175">
        <v>14938.099609375</v>
      </c>
      <c r="G234" s="155">
        <f t="shared" si="7"/>
        <v>-9.4591045289524733E-3</v>
      </c>
    </row>
    <row r="235" spans="1:7" ht="12.75" customHeight="1" x14ac:dyDescent="0.3">
      <c r="A235" s="174">
        <v>44263</v>
      </c>
      <c r="B235" s="155">
        <v>968.5</v>
      </c>
      <c r="C235" s="155">
        <f t="shared" si="6"/>
        <v>9.1695321454620757E-3</v>
      </c>
      <c r="E235" s="174">
        <v>44263</v>
      </c>
      <c r="F235" s="175">
        <v>14956.2001953125</v>
      </c>
      <c r="G235" s="155">
        <f t="shared" si="7"/>
        <v>1.2117060677611399E-3</v>
      </c>
    </row>
    <row r="236" spans="1:7" ht="12.75" customHeight="1" x14ac:dyDescent="0.3">
      <c r="A236" s="174">
        <v>44264</v>
      </c>
      <c r="B236" s="155">
        <v>988.15</v>
      </c>
      <c r="C236" s="155">
        <f t="shared" si="6"/>
        <v>2.0289106866288049E-2</v>
      </c>
      <c r="E236" s="174">
        <v>44264</v>
      </c>
      <c r="F236" s="175">
        <v>15098.400390625</v>
      </c>
      <c r="G236" s="155">
        <f t="shared" si="7"/>
        <v>9.5077756017914027E-3</v>
      </c>
    </row>
    <row r="237" spans="1:7" ht="12.75" customHeight="1" x14ac:dyDescent="0.3">
      <c r="A237" s="174">
        <v>44265</v>
      </c>
      <c r="B237" s="155">
        <v>1008.75</v>
      </c>
      <c r="C237" s="155">
        <f t="shared" si="6"/>
        <v>2.0847037393108357E-2</v>
      </c>
      <c r="E237" s="174">
        <v>44265</v>
      </c>
      <c r="F237" s="175">
        <v>15174.7998046875</v>
      </c>
      <c r="G237" s="155">
        <f t="shared" si="7"/>
        <v>5.0600998838220262E-3</v>
      </c>
    </row>
    <row r="238" spans="1:7" ht="12.75" customHeight="1" x14ac:dyDescent="0.3">
      <c r="A238" s="174">
        <v>44267</v>
      </c>
      <c r="B238" s="155">
        <v>1003.25</v>
      </c>
      <c r="C238" s="155">
        <f t="shared" si="6"/>
        <v>-5.4522924411400248E-3</v>
      </c>
      <c r="E238" s="174">
        <v>44267</v>
      </c>
      <c r="F238" s="175">
        <v>15030.9501953125</v>
      </c>
      <c r="G238" s="155">
        <f t="shared" si="7"/>
        <v>-9.4795062357636382E-3</v>
      </c>
    </row>
    <row r="239" spans="1:7" ht="12.75" customHeight="1" x14ac:dyDescent="0.3">
      <c r="A239" s="174">
        <v>44270</v>
      </c>
      <c r="B239" s="155">
        <v>1026.6500000000001</v>
      </c>
      <c r="C239" s="155">
        <f t="shared" si="6"/>
        <v>2.3324196361824163E-2</v>
      </c>
      <c r="E239" s="174">
        <v>44270</v>
      </c>
      <c r="F239" s="175">
        <v>14929.5</v>
      </c>
      <c r="G239" s="155">
        <f t="shared" si="7"/>
        <v>-6.7494199630930788E-3</v>
      </c>
    </row>
    <row r="240" spans="1:7" ht="12.75" customHeight="1" x14ac:dyDescent="0.3">
      <c r="A240" s="174">
        <v>44271</v>
      </c>
      <c r="B240" s="155">
        <v>1026.55</v>
      </c>
      <c r="C240" s="155">
        <f t="shared" si="6"/>
        <v>-9.7404178639396493E-5</v>
      </c>
      <c r="E240" s="174">
        <v>44271</v>
      </c>
      <c r="F240" s="175">
        <v>14910.4501953125</v>
      </c>
      <c r="G240" s="155">
        <f t="shared" si="7"/>
        <v>-1.2759841044576174E-3</v>
      </c>
    </row>
    <row r="241" spans="1:7" ht="12.75" customHeight="1" x14ac:dyDescent="0.3">
      <c r="A241" s="174">
        <v>44272</v>
      </c>
      <c r="B241" s="155">
        <v>1020.05</v>
      </c>
      <c r="C241" s="155">
        <f t="shared" si="6"/>
        <v>-6.3318883639374608E-3</v>
      </c>
      <c r="E241" s="174">
        <v>44272</v>
      </c>
      <c r="F241" s="175">
        <v>14721.2998046875</v>
      </c>
      <c r="G241" s="155">
        <f t="shared" si="7"/>
        <v>-1.2685759862868828E-2</v>
      </c>
    </row>
    <row r="242" spans="1:7" ht="12.75" customHeight="1" x14ac:dyDescent="0.3">
      <c r="A242" s="174">
        <v>44273</v>
      </c>
      <c r="B242" s="155">
        <v>996.2</v>
      </c>
      <c r="C242" s="155">
        <f t="shared" si="6"/>
        <v>-2.3381206803587972E-2</v>
      </c>
      <c r="E242" s="174">
        <v>44273</v>
      </c>
      <c r="F242" s="175">
        <v>14557.849609375</v>
      </c>
      <c r="G242" s="155">
        <f t="shared" si="7"/>
        <v>-1.1102973071742945E-2</v>
      </c>
    </row>
    <row r="243" spans="1:7" ht="12.75" customHeight="1" x14ac:dyDescent="0.3">
      <c r="A243" s="174">
        <v>44274</v>
      </c>
      <c r="B243" s="155">
        <v>989.45</v>
      </c>
      <c r="C243" s="155">
        <f t="shared" si="6"/>
        <v>-6.775747841798835E-3</v>
      </c>
      <c r="E243" s="174">
        <v>44274</v>
      </c>
      <c r="F243" s="175">
        <v>14744</v>
      </c>
      <c r="G243" s="155">
        <f t="shared" si="7"/>
        <v>1.2786942826028538E-2</v>
      </c>
    </row>
    <row r="244" spans="1:7" ht="12.75" customHeight="1" x14ac:dyDescent="0.3">
      <c r="A244" s="174">
        <v>44277</v>
      </c>
      <c r="B244" s="155">
        <v>1013.55</v>
      </c>
      <c r="C244" s="155">
        <f t="shared" si="6"/>
        <v>2.4356965991207142E-2</v>
      </c>
      <c r="E244" s="174">
        <v>44277</v>
      </c>
      <c r="F244" s="175">
        <v>14736.400390625</v>
      </c>
      <c r="G244" s="155">
        <f t="shared" si="7"/>
        <v>-5.1543742369777532E-4</v>
      </c>
    </row>
    <row r="245" spans="1:7" ht="12.75" customHeight="1" x14ac:dyDescent="0.3">
      <c r="A245" s="174">
        <v>44278</v>
      </c>
      <c r="B245" s="155">
        <v>1013.85</v>
      </c>
      <c r="C245" s="155">
        <f t="shared" si="6"/>
        <v>2.9598934438366951E-4</v>
      </c>
      <c r="E245" s="174">
        <v>44278</v>
      </c>
      <c r="F245" s="175">
        <v>14814.75</v>
      </c>
      <c r="G245" s="155">
        <f t="shared" si="7"/>
        <v>5.3167399974314239E-3</v>
      </c>
    </row>
    <row r="246" spans="1:7" ht="12.75" customHeight="1" x14ac:dyDescent="0.3">
      <c r="A246" s="174">
        <v>44279</v>
      </c>
      <c r="B246" s="155">
        <v>992.15</v>
      </c>
      <c r="C246" s="155">
        <f t="shared" si="6"/>
        <v>-2.140356068451945E-2</v>
      </c>
      <c r="E246" s="174">
        <v>44279</v>
      </c>
      <c r="F246" s="175">
        <v>14549.400390625</v>
      </c>
      <c r="G246" s="155">
        <f t="shared" si="7"/>
        <v>-1.7911176994211849E-2</v>
      </c>
    </row>
    <row r="247" spans="1:7" ht="12.75" customHeight="1" x14ac:dyDescent="0.3">
      <c r="A247" s="174">
        <v>44280</v>
      </c>
      <c r="B247" s="155">
        <v>968.7</v>
      </c>
      <c r="C247" s="155">
        <f t="shared" si="6"/>
        <v>-2.3635538981000789E-2</v>
      </c>
      <c r="E247" s="174">
        <v>44280</v>
      </c>
      <c r="F247" s="175">
        <v>14324.900390625</v>
      </c>
      <c r="G247" s="155">
        <f t="shared" si="7"/>
        <v>-1.5430189146808966E-2</v>
      </c>
    </row>
    <row r="248" spans="1:7" ht="12.75" customHeight="1" x14ac:dyDescent="0.3">
      <c r="A248" s="174">
        <v>44281</v>
      </c>
      <c r="B248" s="155">
        <v>991</v>
      </c>
      <c r="C248" s="155">
        <f t="shared" si="6"/>
        <v>2.3020542995767477E-2</v>
      </c>
      <c r="E248" s="174">
        <v>44281</v>
      </c>
      <c r="F248" s="175">
        <v>14507.2998046875</v>
      </c>
      <c r="G248" s="155">
        <f t="shared" si="7"/>
        <v>1.2733031929623202E-2</v>
      </c>
    </row>
    <row r="249" spans="1:7" ht="12.75" customHeight="1" x14ac:dyDescent="0.3">
      <c r="A249" s="174">
        <v>44285</v>
      </c>
      <c r="B249" s="155">
        <v>1016.9</v>
      </c>
      <c r="C249" s="155">
        <f t="shared" si="6"/>
        <v>2.6135216952573134E-2</v>
      </c>
      <c r="E249" s="174">
        <v>44285</v>
      </c>
      <c r="F249" s="175">
        <v>14845.099609375</v>
      </c>
      <c r="G249" s="155">
        <f t="shared" si="7"/>
        <v>2.3284815867550514E-2</v>
      </c>
    </row>
    <row r="250" spans="1:7" ht="12.75" customHeight="1" x14ac:dyDescent="0.3">
      <c r="A250" s="174">
        <v>44286</v>
      </c>
      <c r="B250" s="155">
        <v>991.45</v>
      </c>
      <c r="C250" s="155">
        <f t="shared" si="6"/>
        <v>-2.5027042973743665E-2</v>
      </c>
      <c r="E250" s="174">
        <v>44286</v>
      </c>
      <c r="F250" s="175">
        <v>14690.7001953125</v>
      </c>
      <c r="G250" s="155">
        <f t="shared" si="7"/>
        <v>-1.0400699094332345E-2</v>
      </c>
    </row>
    <row r="251" spans="1:7" ht="12.75" customHeight="1" x14ac:dyDescent="0.3">
      <c r="A251" s="174">
        <v>44287</v>
      </c>
      <c r="B251" s="155">
        <v>992.15</v>
      </c>
      <c r="C251" s="155">
        <f t="shared" si="6"/>
        <v>7.0603661304143603E-4</v>
      </c>
      <c r="E251" s="174">
        <v>44287</v>
      </c>
      <c r="F251" s="175">
        <v>14867.349609375</v>
      </c>
      <c r="G251" s="155">
        <f t="shared" si="7"/>
        <v>1.2024574166918552E-2</v>
      </c>
    </row>
    <row r="252" spans="1:7" ht="12.75" customHeight="1" x14ac:dyDescent="0.3">
      <c r="A252" s="174">
        <v>44291</v>
      </c>
      <c r="B252" s="155">
        <v>997.7</v>
      </c>
      <c r="C252" s="155">
        <f t="shared" si="6"/>
        <v>5.5939122108552824E-3</v>
      </c>
      <c r="E252" s="174">
        <v>44291</v>
      </c>
      <c r="F252" s="175">
        <v>14637.7998046875</v>
      </c>
      <c r="G252" s="155">
        <f t="shared" si="7"/>
        <v>-1.5439860548026079E-2</v>
      </c>
    </row>
    <row r="253" spans="1:7" ht="12.75" customHeight="1" x14ac:dyDescent="0.3">
      <c r="A253" s="174">
        <v>44292</v>
      </c>
      <c r="B253" s="155">
        <v>991.35</v>
      </c>
      <c r="C253" s="155">
        <f t="shared" si="6"/>
        <v>-6.3646386689385813E-3</v>
      </c>
      <c r="E253" s="174">
        <v>44292</v>
      </c>
      <c r="F253" s="175">
        <v>14683.5</v>
      </c>
      <c r="G253" s="155">
        <f t="shared" si="7"/>
        <v>3.1220672452334885E-3</v>
      </c>
    </row>
    <row r="254" spans="1:7" ht="12.75" customHeight="1" x14ac:dyDescent="0.3">
      <c r="A254" s="174">
        <v>44293</v>
      </c>
      <c r="B254" s="155">
        <v>1002.4</v>
      </c>
      <c r="C254" s="155">
        <f t="shared" si="6"/>
        <v>1.1146416502748731E-2</v>
      </c>
      <c r="E254" s="174">
        <v>44293</v>
      </c>
      <c r="F254" s="175">
        <v>14819.0498046875</v>
      </c>
      <c r="G254" s="155">
        <f t="shared" si="7"/>
        <v>9.231436965811966E-3</v>
      </c>
    </row>
    <row r="255" spans="1:7" ht="12.75" customHeight="1" x14ac:dyDescent="0.3">
      <c r="A255" s="174">
        <v>44294</v>
      </c>
      <c r="B255" s="155">
        <v>1029</v>
      </c>
      <c r="C255" s="155">
        <f t="shared" si="6"/>
        <v>2.6536312849162035E-2</v>
      </c>
      <c r="E255" s="174">
        <v>44294</v>
      </c>
      <c r="F255" s="175">
        <v>14873.7998046875</v>
      </c>
      <c r="G255" s="155">
        <f t="shared" si="7"/>
        <v>3.6945688638337464E-3</v>
      </c>
    </row>
    <row r="256" spans="1:7" ht="12.75" customHeight="1" x14ac:dyDescent="0.3">
      <c r="A256" s="174">
        <v>44295</v>
      </c>
      <c r="B256" s="155">
        <v>1053</v>
      </c>
      <c r="C256" s="155">
        <f t="shared" si="6"/>
        <v>2.3323615160349854E-2</v>
      </c>
      <c r="E256" s="174">
        <v>44295</v>
      </c>
      <c r="F256" s="175">
        <v>14834.849609375</v>
      </c>
      <c r="G256" s="155">
        <f t="shared" si="7"/>
        <v>-2.6187118170183242E-3</v>
      </c>
    </row>
    <row r="257" spans="1:7" ht="12.75" customHeight="1" x14ac:dyDescent="0.3">
      <c r="A257" s="174">
        <v>44298</v>
      </c>
      <c r="B257" s="155">
        <v>1039.8499999999999</v>
      </c>
      <c r="C257" s="155">
        <f t="shared" si="6"/>
        <v>-1.2488129154795908E-2</v>
      </c>
      <c r="E257" s="174">
        <v>44298</v>
      </c>
      <c r="F257" s="175">
        <v>14310.7998046875</v>
      </c>
      <c r="G257" s="155">
        <f t="shared" si="7"/>
        <v>-3.5325589304007678E-2</v>
      </c>
    </row>
    <row r="258" spans="1:7" ht="12.75" customHeight="1" x14ac:dyDescent="0.3">
      <c r="A258" s="174">
        <v>44299</v>
      </c>
      <c r="B258" s="155">
        <v>1001.85</v>
      </c>
      <c r="C258" s="155">
        <f t="shared" si="6"/>
        <v>-3.6543732269077166E-2</v>
      </c>
      <c r="E258" s="174">
        <v>44299</v>
      </c>
      <c r="F258" s="175">
        <v>14504.7998046875</v>
      </c>
      <c r="G258" s="155">
        <f t="shared" si="7"/>
        <v>1.3556195506030022E-2</v>
      </c>
    </row>
    <row r="259" spans="1:7" ht="12.75" customHeight="1" x14ac:dyDescent="0.3">
      <c r="A259" s="174">
        <v>44301</v>
      </c>
      <c r="B259" s="155">
        <v>993.15</v>
      </c>
      <c r="C259" s="155">
        <f t="shared" si="6"/>
        <v>-8.6839347207666277E-3</v>
      </c>
      <c r="E259" s="174">
        <v>44301</v>
      </c>
      <c r="F259" s="175">
        <v>14581.4501953125</v>
      </c>
      <c r="G259" s="155">
        <f t="shared" si="7"/>
        <v>5.2844845607747703E-3</v>
      </c>
    </row>
    <row r="260" spans="1:7" ht="12.75" customHeight="1" x14ac:dyDescent="0.3">
      <c r="A260" s="174">
        <v>44302</v>
      </c>
      <c r="B260" s="155">
        <v>1010.3</v>
      </c>
      <c r="C260" s="155">
        <f t="shared" ref="C260:C323" si="8">(B260-B259)/B259</f>
        <v>1.7268287771232921E-2</v>
      </c>
      <c r="E260" s="174">
        <v>44302</v>
      </c>
      <c r="F260" s="175">
        <v>14617.849609375</v>
      </c>
      <c r="G260" s="155">
        <f t="shared" ref="G260:G323" si="9">(F260-F259)/F259</f>
        <v>2.4962821650072447E-3</v>
      </c>
    </row>
    <row r="261" spans="1:7" ht="12.75" customHeight="1" x14ac:dyDescent="0.3">
      <c r="A261" s="174">
        <v>44305</v>
      </c>
      <c r="B261" s="155">
        <v>1000.1</v>
      </c>
      <c r="C261" s="155">
        <f t="shared" si="8"/>
        <v>-1.0096011085816026E-2</v>
      </c>
      <c r="E261" s="174">
        <v>44305</v>
      </c>
      <c r="F261" s="175">
        <v>14359.4501953125</v>
      </c>
      <c r="G261" s="155">
        <f t="shared" si="9"/>
        <v>-1.7676978554819603E-2</v>
      </c>
    </row>
    <row r="262" spans="1:7" ht="12.75" customHeight="1" x14ac:dyDescent="0.3">
      <c r="A262" s="174">
        <v>44306</v>
      </c>
      <c r="B262" s="155">
        <v>983.4</v>
      </c>
      <c r="C262" s="155">
        <f t="shared" si="8"/>
        <v>-1.6698330166983348E-2</v>
      </c>
      <c r="E262" s="174">
        <v>44306</v>
      </c>
      <c r="F262" s="175">
        <v>14296.400390625</v>
      </c>
      <c r="G262" s="155">
        <f t="shared" si="9"/>
        <v>-4.390823034999069E-3</v>
      </c>
    </row>
    <row r="263" spans="1:7" ht="12.75" customHeight="1" x14ac:dyDescent="0.3">
      <c r="A263" s="174">
        <v>44308</v>
      </c>
      <c r="B263" s="155">
        <v>967.8</v>
      </c>
      <c r="C263" s="155">
        <f t="shared" si="8"/>
        <v>-1.5863331299572934E-2</v>
      </c>
      <c r="E263" s="174">
        <v>44308</v>
      </c>
      <c r="F263" s="175">
        <v>14406.150390625</v>
      </c>
      <c r="G263" s="155">
        <f t="shared" si="9"/>
        <v>7.6767575754222439E-3</v>
      </c>
    </row>
    <row r="264" spans="1:7" ht="12.75" customHeight="1" x14ac:dyDescent="0.3">
      <c r="A264" s="174">
        <v>44309</v>
      </c>
      <c r="B264" s="155">
        <v>950.2</v>
      </c>
      <c r="C264" s="155">
        <f t="shared" si="8"/>
        <v>-1.8185575532134644E-2</v>
      </c>
      <c r="E264" s="174">
        <v>44309</v>
      </c>
      <c r="F264" s="175">
        <v>14341.349609375</v>
      </c>
      <c r="G264" s="155">
        <f t="shared" si="9"/>
        <v>-4.4981330537941623E-3</v>
      </c>
    </row>
    <row r="265" spans="1:7" ht="12.75" customHeight="1" x14ac:dyDescent="0.3">
      <c r="A265" s="174">
        <v>44312</v>
      </c>
      <c r="B265" s="155">
        <v>962.2</v>
      </c>
      <c r="C265" s="155">
        <f t="shared" si="8"/>
        <v>1.2628920227320563E-2</v>
      </c>
      <c r="E265" s="174">
        <v>44312</v>
      </c>
      <c r="F265" s="175">
        <v>14485</v>
      </c>
      <c r="G265" s="155">
        <f t="shared" si="9"/>
        <v>1.001651828716979E-2</v>
      </c>
    </row>
    <row r="266" spans="1:7" ht="12.75" customHeight="1" x14ac:dyDescent="0.3">
      <c r="A266" s="174">
        <v>44313</v>
      </c>
      <c r="B266" s="155">
        <v>969.25</v>
      </c>
      <c r="C266" s="155">
        <f t="shared" si="8"/>
        <v>7.3269590521720584E-3</v>
      </c>
      <c r="E266" s="174">
        <v>44313</v>
      </c>
      <c r="F266" s="175">
        <v>14653.0498046875</v>
      </c>
      <c r="G266" s="155">
        <f t="shared" si="9"/>
        <v>1.1601643402657923E-2</v>
      </c>
    </row>
    <row r="267" spans="1:7" ht="12.75" customHeight="1" x14ac:dyDescent="0.3">
      <c r="A267" s="174">
        <v>44314</v>
      </c>
      <c r="B267" s="155">
        <v>977.4</v>
      </c>
      <c r="C267" s="155">
        <f t="shared" si="8"/>
        <v>8.4085633221562834E-3</v>
      </c>
      <c r="E267" s="174">
        <v>44314</v>
      </c>
      <c r="F267" s="175">
        <v>14864.5498046875</v>
      </c>
      <c r="G267" s="155">
        <f t="shared" si="9"/>
        <v>1.4433855260107101E-2</v>
      </c>
    </row>
    <row r="268" spans="1:7" ht="12.75" customHeight="1" x14ac:dyDescent="0.3">
      <c r="A268" s="174">
        <v>44315</v>
      </c>
      <c r="B268" s="155">
        <v>976.9</v>
      </c>
      <c r="C268" s="155">
        <f t="shared" si="8"/>
        <v>-5.1156128504194806E-4</v>
      </c>
      <c r="E268" s="174">
        <v>44315</v>
      </c>
      <c r="F268" s="175">
        <v>14894.900390625</v>
      </c>
      <c r="G268" s="155">
        <f t="shared" si="9"/>
        <v>2.0418099664161384E-3</v>
      </c>
    </row>
    <row r="269" spans="1:7" ht="12.75" customHeight="1" x14ac:dyDescent="0.3">
      <c r="A269" s="174">
        <v>44316</v>
      </c>
      <c r="B269" s="155">
        <v>960.4</v>
      </c>
      <c r="C269" s="155">
        <f t="shared" si="8"/>
        <v>-1.6890162759750232E-2</v>
      </c>
      <c r="E269" s="174">
        <v>44316</v>
      </c>
      <c r="F269" s="175">
        <v>14631.099609375</v>
      </c>
      <c r="G269" s="155">
        <f t="shared" si="9"/>
        <v>-1.7710812045177479E-2</v>
      </c>
    </row>
    <row r="270" spans="1:7" ht="12.75" customHeight="1" x14ac:dyDescent="0.3">
      <c r="A270" s="174">
        <v>44319</v>
      </c>
      <c r="B270" s="155">
        <v>957.7</v>
      </c>
      <c r="C270" s="155">
        <f t="shared" si="8"/>
        <v>-2.8113286130778134E-3</v>
      </c>
      <c r="E270" s="174">
        <v>44319</v>
      </c>
      <c r="F270" s="175">
        <v>14634.150390625</v>
      </c>
      <c r="G270" s="155">
        <f t="shared" si="9"/>
        <v>2.0851346320171222E-4</v>
      </c>
    </row>
    <row r="271" spans="1:7" ht="12.75" customHeight="1" x14ac:dyDescent="0.3">
      <c r="A271" s="174">
        <v>44320</v>
      </c>
      <c r="B271" s="155">
        <v>960.4</v>
      </c>
      <c r="C271" s="155">
        <f t="shared" si="8"/>
        <v>2.8192544638194965E-3</v>
      </c>
      <c r="E271" s="174">
        <v>44320</v>
      </c>
      <c r="F271" s="175">
        <v>14496.5</v>
      </c>
      <c r="G271" s="155">
        <f t="shared" si="9"/>
        <v>-9.4061074234403283E-3</v>
      </c>
    </row>
    <row r="272" spans="1:7" ht="12.75" customHeight="1" x14ac:dyDescent="0.3">
      <c r="A272" s="174">
        <v>44321</v>
      </c>
      <c r="B272" s="155">
        <v>960.4</v>
      </c>
      <c r="C272" s="155">
        <f t="shared" si="8"/>
        <v>0</v>
      </c>
      <c r="E272" s="174">
        <v>44321</v>
      </c>
      <c r="F272" s="175">
        <v>14617.849609375</v>
      </c>
      <c r="G272" s="155">
        <f t="shared" si="9"/>
        <v>8.3709591539337085E-3</v>
      </c>
    </row>
    <row r="273" spans="1:7" ht="12.75" customHeight="1" x14ac:dyDescent="0.3">
      <c r="A273" s="174">
        <v>44322</v>
      </c>
      <c r="B273" s="155">
        <v>977.95</v>
      </c>
      <c r="C273" s="155">
        <f t="shared" si="8"/>
        <v>1.8273635985006319E-2</v>
      </c>
      <c r="E273" s="174">
        <v>44322</v>
      </c>
      <c r="F273" s="175">
        <v>14724.7998046875</v>
      </c>
      <c r="G273" s="155">
        <f t="shared" si="9"/>
        <v>7.3164109749705355E-3</v>
      </c>
    </row>
    <row r="274" spans="1:7" ht="12.75" customHeight="1" x14ac:dyDescent="0.3">
      <c r="A274" s="174">
        <v>44323</v>
      </c>
      <c r="B274" s="155">
        <v>980.95</v>
      </c>
      <c r="C274" s="155">
        <f t="shared" si="8"/>
        <v>3.0676414949639551E-3</v>
      </c>
      <c r="E274" s="174">
        <v>44323</v>
      </c>
      <c r="F274" s="175">
        <v>14823.150390625</v>
      </c>
      <c r="G274" s="155">
        <f t="shared" si="9"/>
        <v>6.6792477481555316E-3</v>
      </c>
    </row>
    <row r="275" spans="1:7" ht="12.75" customHeight="1" x14ac:dyDescent="0.3">
      <c r="A275" s="174">
        <v>44326</v>
      </c>
      <c r="B275" s="155">
        <v>990.5</v>
      </c>
      <c r="C275" s="155">
        <f t="shared" si="8"/>
        <v>9.7354605229623883E-3</v>
      </c>
      <c r="E275" s="174">
        <v>44326</v>
      </c>
      <c r="F275" s="175">
        <v>14942.349609375</v>
      </c>
      <c r="G275" s="155">
        <f t="shared" si="9"/>
        <v>8.041422748121637E-3</v>
      </c>
    </row>
    <row r="276" spans="1:7" ht="12.75" customHeight="1" x14ac:dyDescent="0.3">
      <c r="A276" s="174">
        <v>44327</v>
      </c>
      <c r="B276" s="155">
        <v>977.05</v>
      </c>
      <c r="C276" s="155">
        <f t="shared" si="8"/>
        <v>-1.3579000504795604E-2</v>
      </c>
      <c r="E276" s="174">
        <v>44327</v>
      </c>
      <c r="F276" s="175">
        <v>14850.75</v>
      </c>
      <c r="G276" s="155">
        <f t="shared" si="9"/>
        <v>-6.1302011912189071E-3</v>
      </c>
    </row>
    <row r="277" spans="1:7" ht="12.75" customHeight="1" x14ac:dyDescent="0.3">
      <c r="A277" s="174">
        <v>44328</v>
      </c>
      <c r="B277" s="155">
        <v>962.35</v>
      </c>
      <c r="C277" s="155">
        <f t="shared" si="8"/>
        <v>-1.5045289391535677E-2</v>
      </c>
      <c r="E277" s="174">
        <v>44328</v>
      </c>
      <c r="F277" s="175">
        <v>14696.5</v>
      </c>
      <c r="G277" s="155">
        <f t="shared" si="9"/>
        <v>-1.0386680807366631E-2</v>
      </c>
    </row>
    <row r="278" spans="1:7" ht="12.75" customHeight="1" x14ac:dyDescent="0.3">
      <c r="A278" s="174">
        <v>44330</v>
      </c>
      <c r="B278" s="155">
        <v>952.2</v>
      </c>
      <c r="C278" s="155">
        <f t="shared" si="8"/>
        <v>-1.0547098249077754E-2</v>
      </c>
      <c r="E278" s="174">
        <v>44330</v>
      </c>
      <c r="F278" s="175">
        <v>14677.7998046875</v>
      </c>
      <c r="G278" s="155">
        <f t="shared" si="9"/>
        <v>-1.2724250884564353E-3</v>
      </c>
    </row>
    <row r="279" spans="1:7" ht="12.75" customHeight="1" x14ac:dyDescent="0.3">
      <c r="A279" s="174">
        <v>44333</v>
      </c>
      <c r="B279" s="155">
        <v>953.35</v>
      </c>
      <c r="C279" s="155">
        <f t="shared" si="8"/>
        <v>1.2077294685990099E-3</v>
      </c>
      <c r="E279" s="174">
        <v>44333</v>
      </c>
      <c r="F279" s="175">
        <v>14923.150390625</v>
      </c>
      <c r="G279" s="155">
        <f t="shared" si="9"/>
        <v>1.6715760481972569E-2</v>
      </c>
    </row>
    <row r="280" spans="1:7" ht="12.75" customHeight="1" x14ac:dyDescent="0.3">
      <c r="A280" s="174">
        <v>44334</v>
      </c>
      <c r="B280" s="155">
        <v>970.75</v>
      </c>
      <c r="C280" s="155">
        <f t="shared" si="8"/>
        <v>1.8251429170818668E-2</v>
      </c>
      <c r="E280" s="174">
        <v>44334</v>
      </c>
      <c r="F280" s="175">
        <v>15108.099609375</v>
      </c>
      <c r="G280" s="155">
        <f t="shared" si="9"/>
        <v>1.239344333527514E-2</v>
      </c>
    </row>
    <row r="281" spans="1:7" ht="12.75" customHeight="1" x14ac:dyDescent="0.3">
      <c r="A281" s="174">
        <v>44335</v>
      </c>
      <c r="B281" s="155">
        <v>977.65</v>
      </c>
      <c r="C281" s="155">
        <f t="shared" si="8"/>
        <v>7.107906258047878E-3</v>
      </c>
      <c r="E281" s="174">
        <v>44335</v>
      </c>
      <c r="F281" s="175">
        <v>15030.150390625</v>
      </c>
      <c r="G281" s="155">
        <f t="shared" si="9"/>
        <v>-5.1594324081388979E-3</v>
      </c>
    </row>
    <row r="282" spans="1:7" ht="12.75" customHeight="1" x14ac:dyDescent="0.3">
      <c r="A282" s="174">
        <v>44336</v>
      </c>
      <c r="B282" s="155">
        <v>973.1</v>
      </c>
      <c r="C282" s="155">
        <f t="shared" si="8"/>
        <v>-4.6540172863498742E-3</v>
      </c>
      <c r="E282" s="174">
        <v>44336</v>
      </c>
      <c r="F282" s="175">
        <v>14906.0498046875</v>
      </c>
      <c r="G282" s="155">
        <f t="shared" si="9"/>
        <v>-8.2567760609306533E-3</v>
      </c>
    </row>
    <row r="283" spans="1:7" ht="12.75" customHeight="1" x14ac:dyDescent="0.3">
      <c r="A283" s="174">
        <v>44337</v>
      </c>
      <c r="B283" s="155">
        <v>980.5</v>
      </c>
      <c r="C283" s="155">
        <f t="shared" si="8"/>
        <v>7.6045627376425621E-3</v>
      </c>
      <c r="E283" s="174">
        <v>44337</v>
      </c>
      <c r="F283" s="175">
        <v>15175.2998046875</v>
      </c>
      <c r="G283" s="155">
        <f t="shared" si="9"/>
        <v>1.8063135674974671E-2</v>
      </c>
    </row>
    <row r="284" spans="1:7" ht="12.75" customHeight="1" x14ac:dyDescent="0.3">
      <c r="A284" s="174">
        <v>44340</v>
      </c>
      <c r="B284" s="155">
        <v>983.7</v>
      </c>
      <c r="C284" s="155">
        <f t="shared" si="8"/>
        <v>3.2636409994901026E-3</v>
      </c>
      <c r="E284" s="174">
        <v>44340</v>
      </c>
      <c r="F284" s="175">
        <v>15197.7001953125</v>
      </c>
      <c r="G284" s="155">
        <f t="shared" si="9"/>
        <v>1.4761086049898495E-3</v>
      </c>
    </row>
    <row r="285" spans="1:7" ht="12.75" customHeight="1" x14ac:dyDescent="0.3">
      <c r="A285" s="174">
        <v>44341</v>
      </c>
      <c r="B285" s="155">
        <v>992.65</v>
      </c>
      <c r="C285" s="155">
        <f t="shared" si="8"/>
        <v>9.0983023279454425E-3</v>
      </c>
      <c r="E285" s="174">
        <v>44341</v>
      </c>
      <c r="F285" s="175">
        <v>15208.4501953125</v>
      </c>
      <c r="G285" s="155">
        <f t="shared" si="9"/>
        <v>7.0734386531165255E-4</v>
      </c>
    </row>
    <row r="286" spans="1:7" ht="12.75" customHeight="1" x14ac:dyDescent="0.3">
      <c r="A286" s="174">
        <v>44342</v>
      </c>
      <c r="B286" s="155">
        <v>1007.8</v>
      </c>
      <c r="C286" s="155">
        <f t="shared" si="8"/>
        <v>1.5262177000957012E-2</v>
      </c>
      <c r="E286" s="174">
        <v>44342</v>
      </c>
      <c r="F286" s="175">
        <v>15301.4501953125</v>
      </c>
      <c r="G286" s="155">
        <f t="shared" si="9"/>
        <v>6.1150215048647203E-3</v>
      </c>
    </row>
    <row r="287" spans="1:7" ht="12.75" customHeight="1" x14ac:dyDescent="0.3">
      <c r="A287" s="174">
        <v>44343</v>
      </c>
      <c r="B287" s="155">
        <v>1019.8</v>
      </c>
      <c r="C287" s="155">
        <f t="shared" si="8"/>
        <v>1.1907124429450288E-2</v>
      </c>
      <c r="E287" s="174">
        <v>44343</v>
      </c>
      <c r="F287" s="175">
        <v>15337.849609375</v>
      </c>
      <c r="G287" s="155">
        <f t="shared" si="9"/>
        <v>2.3788211965458492E-3</v>
      </c>
    </row>
    <row r="288" spans="1:7" ht="12.75" customHeight="1" x14ac:dyDescent="0.3">
      <c r="A288" s="174">
        <v>44344</v>
      </c>
      <c r="B288" s="155">
        <v>1026.25</v>
      </c>
      <c r="C288" s="155">
        <f t="shared" si="8"/>
        <v>6.3247695626593896E-3</v>
      </c>
      <c r="E288" s="174">
        <v>44344</v>
      </c>
      <c r="F288" s="175">
        <v>15435.650390625</v>
      </c>
      <c r="G288" s="155">
        <f t="shared" si="9"/>
        <v>6.3764337075140533E-3</v>
      </c>
    </row>
    <row r="289" spans="1:7" ht="12.75" customHeight="1" x14ac:dyDescent="0.3">
      <c r="A289" s="174">
        <v>44347</v>
      </c>
      <c r="B289" s="155">
        <v>1021.65</v>
      </c>
      <c r="C289" s="155">
        <f t="shared" si="8"/>
        <v>-4.4823386114494742E-3</v>
      </c>
      <c r="E289" s="174">
        <v>44347</v>
      </c>
      <c r="F289" s="175">
        <v>15582.7998046875</v>
      </c>
      <c r="G289" s="155">
        <f t="shared" si="9"/>
        <v>9.5330880357249285E-3</v>
      </c>
    </row>
    <row r="290" spans="1:7" ht="12.75" customHeight="1" x14ac:dyDescent="0.3">
      <c r="A290" s="174">
        <v>44348</v>
      </c>
      <c r="B290" s="155">
        <v>1030.5</v>
      </c>
      <c r="C290" s="155">
        <f t="shared" si="8"/>
        <v>8.662457788870967E-3</v>
      </c>
      <c r="E290" s="174">
        <v>44348</v>
      </c>
      <c r="F290" s="175">
        <v>15574.849609375</v>
      </c>
      <c r="G290" s="155">
        <f t="shared" si="9"/>
        <v>-5.1019042868717874E-4</v>
      </c>
    </row>
    <row r="291" spans="1:7" ht="12.75" customHeight="1" x14ac:dyDescent="0.3">
      <c r="A291" s="174">
        <v>44349</v>
      </c>
      <c r="B291" s="155">
        <v>1016.95</v>
      </c>
      <c r="C291" s="155">
        <f t="shared" si="8"/>
        <v>-1.3148956817079043E-2</v>
      </c>
      <c r="E291" s="174">
        <v>44349</v>
      </c>
      <c r="F291" s="175">
        <v>15576.2001953125</v>
      </c>
      <c r="G291" s="155">
        <f t="shared" si="9"/>
        <v>8.6715825280716621E-5</v>
      </c>
    </row>
    <row r="292" spans="1:7" ht="12.75" customHeight="1" x14ac:dyDescent="0.3">
      <c r="A292" s="174">
        <v>44350</v>
      </c>
      <c r="B292" s="155">
        <v>1014.35</v>
      </c>
      <c r="C292" s="155">
        <f t="shared" si="8"/>
        <v>-2.556664536112909E-3</v>
      </c>
      <c r="E292" s="174">
        <v>44350</v>
      </c>
      <c r="F292" s="175">
        <v>15690.349609375</v>
      </c>
      <c r="G292" s="155">
        <f t="shared" si="9"/>
        <v>7.3284506253875779E-3</v>
      </c>
    </row>
    <row r="293" spans="1:7" ht="12.75" customHeight="1" x14ac:dyDescent="0.3">
      <c r="A293" s="174">
        <v>44351</v>
      </c>
      <c r="B293" s="155">
        <v>1019.2</v>
      </c>
      <c r="C293" s="155">
        <f t="shared" si="8"/>
        <v>4.7813870951841303E-3</v>
      </c>
      <c r="E293" s="174">
        <v>44351</v>
      </c>
      <c r="F293" s="175">
        <v>15670.25</v>
      </c>
      <c r="G293" s="155">
        <f t="shared" si="9"/>
        <v>-1.2810173052479636E-3</v>
      </c>
    </row>
    <row r="294" spans="1:7" ht="12.75" customHeight="1" x14ac:dyDescent="0.3">
      <c r="A294" s="174">
        <v>44354</v>
      </c>
      <c r="B294" s="155">
        <v>1034.4000000000001</v>
      </c>
      <c r="C294" s="155">
        <f t="shared" si="8"/>
        <v>1.4913657770800672E-2</v>
      </c>
      <c r="E294" s="174">
        <v>44354</v>
      </c>
      <c r="F294" s="175">
        <v>15751.650390625</v>
      </c>
      <c r="G294" s="155">
        <f t="shared" si="9"/>
        <v>5.1945814919991708E-3</v>
      </c>
    </row>
    <row r="295" spans="1:7" ht="12.75" customHeight="1" x14ac:dyDescent="0.3">
      <c r="A295" s="174">
        <v>44355</v>
      </c>
      <c r="B295" s="155">
        <v>1057.75</v>
      </c>
      <c r="C295" s="155">
        <f t="shared" si="8"/>
        <v>2.2573472544470133E-2</v>
      </c>
      <c r="E295" s="174">
        <v>44355</v>
      </c>
      <c r="F295" s="175">
        <v>15740.099609375</v>
      </c>
      <c r="G295" s="155">
        <f t="shared" si="9"/>
        <v>-7.3330609577741419E-4</v>
      </c>
    </row>
    <row r="296" spans="1:7" ht="12.75" customHeight="1" x14ac:dyDescent="0.3">
      <c r="A296" s="174">
        <v>44356</v>
      </c>
      <c r="B296" s="155">
        <v>1052.25</v>
      </c>
      <c r="C296" s="155">
        <f t="shared" si="8"/>
        <v>-5.1997163791065943E-3</v>
      </c>
      <c r="E296" s="174">
        <v>44356</v>
      </c>
      <c r="F296" s="175">
        <v>15635.349609375</v>
      </c>
      <c r="G296" s="155">
        <f t="shared" si="9"/>
        <v>-6.6549769442125761E-3</v>
      </c>
    </row>
    <row r="297" spans="1:7" ht="12.75" customHeight="1" x14ac:dyDescent="0.3">
      <c r="A297" s="174">
        <v>44357</v>
      </c>
      <c r="B297" s="155">
        <v>1064.9000000000001</v>
      </c>
      <c r="C297" s="155">
        <f t="shared" si="8"/>
        <v>1.2021857923497354E-2</v>
      </c>
      <c r="E297" s="174">
        <v>44357</v>
      </c>
      <c r="F297" s="175">
        <v>15737.75</v>
      </c>
      <c r="G297" s="155">
        <f t="shared" si="9"/>
        <v>6.5492869160789623E-3</v>
      </c>
    </row>
    <row r="298" spans="1:7" ht="12.75" customHeight="1" x14ac:dyDescent="0.3">
      <c r="A298" s="174">
        <v>44358</v>
      </c>
      <c r="B298" s="155">
        <v>1073</v>
      </c>
      <c r="C298" s="155">
        <f t="shared" si="8"/>
        <v>7.6063480138979329E-3</v>
      </c>
      <c r="E298" s="174">
        <v>44358</v>
      </c>
      <c r="F298" s="175">
        <v>15799.349609375</v>
      </c>
      <c r="G298" s="155">
        <f t="shared" si="9"/>
        <v>3.9141306333497486E-3</v>
      </c>
    </row>
    <row r="299" spans="1:7" ht="12.75" customHeight="1" x14ac:dyDescent="0.3">
      <c r="A299" s="174">
        <v>44361</v>
      </c>
      <c r="B299" s="155">
        <v>1069.25</v>
      </c>
      <c r="C299" s="155">
        <f t="shared" si="8"/>
        <v>-3.4948741845293569E-3</v>
      </c>
      <c r="E299" s="174">
        <v>44361</v>
      </c>
      <c r="F299" s="175">
        <v>15811.849609375</v>
      </c>
      <c r="G299" s="155">
        <f t="shared" si="9"/>
        <v>7.9117180827385227E-4</v>
      </c>
    </row>
    <row r="300" spans="1:7" ht="12.75" customHeight="1" x14ac:dyDescent="0.3">
      <c r="A300" s="174">
        <v>44362</v>
      </c>
      <c r="B300" s="155">
        <v>1066.8499999999999</v>
      </c>
      <c r="C300" s="155">
        <f t="shared" si="8"/>
        <v>-2.2445639466916914E-3</v>
      </c>
      <c r="E300" s="174">
        <v>44362</v>
      </c>
      <c r="F300" s="175">
        <v>15869.25</v>
      </c>
      <c r="G300" s="155">
        <f t="shared" si="9"/>
        <v>3.630213545097643E-3</v>
      </c>
    </row>
    <row r="301" spans="1:7" ht="12.75" customHeight="1" x14ac:dyDescent="0.3">
      <c r="A301" s="174">
        <v>44363</v>
      </c>
      <c r="B301" s="155">
        <v>1069.1500000000001</v>
      </c>
      <c r="C301" s="155">
        <f t="shared" si="8"/>
        <v>2.1558794582182896E-3</v>
      </c>
      <c r="E301" s="174">
        <v>44363</v>
      </c>
      <c r="F301" s="175">
        <v>15767.5498046875</v>
      </c>
      <c r="G301" s="155">
        <f t="shared" si="9"/>
        <v>-6.4086327528081041E-3</v>
      </c>
    </row>
    <row r="302" spans="1:7" ht="12.75" customHeight="1" x14ac:dyDescent="0.3">
      <c r="A302" s="174">
        <v>44364</v>
      </c>
      <c r="B302" s="155">
        <v>1080.25</v>
      </c>
      <c r="C302" s="155">
        <f t="shared" si="8"/>
        <v>1.0382079221811634E-2</v>
      </c>
      <c r="E302" s="174">
        <v>44364</v>
      </c>
      <c r="F302" s="175">
        <v>15691.400390625</v>
      </c>
      <c r="G302" s="155">
        <f t="shared" si="9"/>
        <v>-4.829502047290931E-3</v>
      </c>
    </row>
    <row r="303" spans="1:7" ht="12.75" customHeight="1" x14ac:dyDescent="0.3">
      <c r="A303" s="174">
        <v>44365</v>
      </c>
      <c r="B303" s="155">
        <v>1070.7</v>
      </c>
      <c r="C303" s="155">
        <f t="shared" si="8"/>
        <v>-8.8405461698680445E-3</v>
      </c>
      <c r="E303" s="174">
        <v>44365</v>
      </c>
      <c r="F303" s="175">
        <v>15683.349609375</v>
      </c>
      <c r="G303" s="155">
        <f t="shared" si="9"/>
        <v>-5.1306964640390079E-4</v>
      </c>
    </row>
    <row r="304" spans="1:7" ht="12.75" customHeight="1" x14ac:dyDescent="0.3">
      <c r="A304" s="174">
        <v>44368</v>
      </c>
      <c r="B304" s="155">
        <v>1062.9000000000001</v>
      </c>
      <c r="C304" s="155">
        <f t="shared" si="8"/>
        <v>-7.2849537685625802E-3</v>
      </c>
      <c r="E304" s="174">
        <v>44368</v>
      </c>
      <c r="F304" s="175">
        <v>15746.5</v>
      </c>
      <c r="G304" s="155">
        <f t="shared" si="9"/>
        <v>4.0265882096545708E-3</v>
      </c>
    </row>
    <row r="305" spans="1:7" ht="12.75" customHeight="1" x14ac:dyDescent="0.3">
      <c r="A305" s="174">
        <v>44369</v>
      </c>
      <c r="B305" s="155">
        <v>1057.2</v>
      </c>
      <c r="C305" s="155">
        <f t="shared" si="8"/>
        <v>-5.3626869884279282E-3</v>
      </c>
      <c r="E305" s="174">
        <v>44369</v>
      </c>
      <c r="F305" s="175">
        <v>15772.75</v>
      </c>
      <c r="G305" s="155">
        <f t="shared" si="9"/>
        <v>1.6670371193598578E-3</v>
      </c>
    </row>
    <row r="306" spans="1:7" ht="12.75" customHeight="1" x14ac:dyDescent="0.3">
      <c r="A306" s="174">
        <v>44370</v>
      </c>
      <c r="B306" s="155">
        <v>1056.45</v>
      </c>
      <c r="C306" s="155">
        <f t="shared" si="8"/>
        <v>-7.0942111237230418E-4</v>
      </c>
      <c r="E306" s="174">
        <v>44370</v>
      </c>
      <c r="F306" s="175">
        <v>15686.9501953125</v>
      </c>
      <c r="G306" s="155">
        <f t="shared" si="9"/>
        <v>-5.4397492312691191E-3</v>
      </c>
    </row>
    <row r="307" spans="1:7" ht="12.75" customHeight="1" x14ac:dyDescent="0.3">
      <c r="A307" s="174">
        <v>44371</v>
      </c>
      <c r="B307" s="155">
        <v>1080</v>
      </c>
      <c r="C307" s="155">
        <f t="shared" si="8"/>
        <v>2.229163708646879E-2</v>
      </c>
      <c r="E307" s="174">
        <v>44371</v>
      </c>
      <c r="F307" s="175">
        <v>15790.4501953125</v>
      </c>
      <c r="G307" s="155">
        <f t="shared" si="9"/>
        <v>6.5978407983297719E-3</v>
      </c>
    </row>
    <row r="308" spans="1:7" ht="12.75" customHeight="1" x14ac:dyDescent="0.3">
      <c r="A308" s="174">
        <v>44372</v>
      </c>
      <c r="B308" s="155">
        <v>1089.5</v>
      </c>
      <c r="C308" s="155">
        <f t="shared" si="8"/>
        <v>8.7962962962962968E-3</v>
      </c>
      <c r="E308" s="174">
        <v>44372</v>
      </c>
      <c r="F308" s="175">
        <v>15860.349609375</v>
      </c>
      <c r="G308" s="155">
        <f t="shared" si="9"/>
        <v>4.4266891189239247E-3</v>
      </c>
    </row>
    <row r="309" spans="1:7" ht="12.75" customHeight="1" x14ac:dyDescent="0.3">
      <c r="A309" s="174">
        <v>44375</v>
      </c>
      <c r="B309" s="155">
        <v>1105.0999999999999</v>
      </c>
      <c r="C309" s="155">
        <f t="shared" si="8"/>
        <v>1.4318494722349619E-2</v>
      </c>
      <c r="E309" s="174">
        <v>44375</v>
      </c>
      <c r="F309" s="175">
        <v>15814.7001953125</v>
      </c>
      <c r="G309" s="155">
        <f t="shared" si="9"/>
        <v>-2.8782098242977434E-3</v>
      </c>
    </row>
    <row r="310" spans="1:7" ht="12.75" customHeight="1" x14ac:dyDescent="0.3">
      <c r="A310" s="174">
        <v>44376</v>
      </c>
      <c r="B310" s="155">
        <v>1088.1500000000001</v>
      </c>
      <c r="C310" s="155">
        <f t="shared" si="8"/>
        <v>-1.5337978463487304E-2</v>
      </c>
      <c r="E310" s="174">
        <v>44376</v>
      </c>
      <c r="F310" s="175">
        <v>15748.4501953125</v>
      </c>
      <c r="G310" s="155">
        <f t="shared" si="9"/>
        <v>-4.1891404314851697E-3</v>
      </c>
    </row>
    <row r="311" spans="1:7" ht="12.75" customHeight="1" x14ac:dyDescent="0.3">
      <c r="A311" s="174">
        <v>44377</v>
      </c>
      <c r="B311" s="155">
        <v>1095.45</v>
      </c>
      <c r="C311" s="155">
        <f t="shared" si="8"/>
        <v>6.7086339199558462E-3</v>
      </c>
      <c r="E311" s="174">
        <v>44377</v>
      </c>
      <c r="F311" s="175">
        <v>15721.5</v>
      </c>
      <c r="G311" s="155">
        <f t="shared" si="9"/>
        <v>-1.7112919035373831E-3</v>
      </c>
    </row>
    <row r="312" spans="1:7" ht="12.75" customHeight="1" x14ac:dyDescent="0.3">
      <c r="A312" s="174">
        <v>44378</v>
      </c>
      <c r="B312" s="155">
        <v>1085.1500000000001</v>
      </c>
      <c r="C312" s="155">
        <f t="shared" si="8"/>
        <v>-9.4025286411976387E-3</v>
      </c>
      <c r="E312" s="174">
        <v>44378</v>
      </c>
      <c r="F312" s="175">
        <v>15680</v>
      </c>
      <c r="G312" s="155">
        <f t="shared" si="9"/>
        <v>-2.6396972299080877E-3</v>
      </c>
    </row>
    <row r="313" spans="1:7" ht="12.75" customHeight="1" x14ac:dyDescent="0.3">
      <c r="A313" s="174">
        <v>44379</v>
      </c>
      <c r="B313" s="155">
        <v>1089.4000000000001</v>
      </c>
      <c r="C313" s="155">
        <f t="shared" si="8"/>
        <v>3.916509238354144E-3</v>
      </c>
      <c r="E313" s="174">
        <v>44379</v>
      </c>
      <c r="F313" s="175">
        <v>15722.2001953125</v>
      </c>
      <c r="G313" s="155">
        <f t="shared" si="9"/>
        <v>2.6913389867665818E-3</v>
      </c>
    </row>
    <row r="314" spans="1:7" ht="12.75" customHeight="1" x14ac:dyDescent="0.3">
      <c r="A314" s="174">
        <v>44382</v>
      </c>
      <c r="B314" s="155">
        <v>1074.6500000000001</v>
      </c>
      <c r="C314" s="155">
        <f t="shared" si="8"/>
        <v>-1.3539563062236092E-2</v>
      </c>
      <c r="E314" s="174">
        <v>44382</v>
      </c>
      <c r="F314" s="175">
        <v>15834.349609375</v>
      </c>
      <c r="G314" s="155">
        <f t="shared" si="9"/>
        <v>7.1331882732250679E-3</v>
      </c>
    </row>
    <row r="315" spans="1:7" ht="12.75" customHeight="1" x14ac:dyDescent="0.3">
      <c r="A315" s="174">
        <v>44383</v>
      </c>
      <c r="B315" s="155">
        <v>1049.55</v>
      </c>
      <c r="C315" s="155">
        <f t="shared" si="8"/>
        <v>-2.3356441632159431E-2</v>
      </c>
      <c r="E315" s="174">
        <v>44383</v>
      </c>
      <c r="F315" s="175">
        <v>15818.25</v>
      </c>
      <c r="G315" s="155">
        <f t="shared" si="9"/>
        <v>-1.016752173102705E-3</v>
      </c>
    </row>
    <row r="316" spans="1:7" ht="12.75" customHeight="1" x14ac:dyDescent="0.3">
      <c r="A316" s="174">
        <v>44384</v>
      </c>
      <c r="B316" s="155">
        <v>1045.9000000000001</v>
      </c>
      <c r="C316" s="155">
        <f t="shared" si="8"/>
        <v>-3.4776809108664321E-3</v>
      </c>
      <c r="E316" s="174">
        <v>44384</v>
      </c>
      <c r="F316" s="175">
        <v>15879.650390625</v>
      </c>
      <c r="G316" s="155">
        <f t="shared" si="9"/>
        <v>3.8816171589777632E-3</v>
      </c>
    </row>
    <row r="317" spans="1:7" ht="12.75" customHeight="1" x14ac:dyDescent="0.3">
      <c r="A317" s="174">
        <v>44385</v>
      </c>
      <c r="B317" s="155">
        <v>1060.1500000000001</v>
      </c>
      <c r="C317" s="155">
        <f t="shared" si="8"/>
        <v>1.3624629505688879E-2</v>
      </c>
      <c r="E317" s="174">
        <v>44385</v>
      </c>
      <c r="F317" s="175">
        <v>15727.900390625</v>
      </c>
      <c r="G317" s="155">
        <f t="shared" si="9"/>
        <v>-9.5562557277451086E-3</v>
      </c>
    </row>
    <row r="318" spans="1:7" ht="12.75" customHeight="1" x14ac:dyDescent="0.3">
      <c r="A318" s="174">
        <v>44386</v>
      </c>
      <c r="B318" s="155">
        <v>1051.75</v>
      </c>
      <c r="C318" s="155">
        <f t="shared" si="8"/>
        <v>-7.9234070650380517E-3</v>
      </c>
      <c r="E318" s="174">
        <v>44386</v>
      </c>
      <c r="F318" s="175">
        <v>15689.7998046875</v>
      </c>
      <c r="G318" s="155">
        <f t="shared" si="9"/>
        <v>-2.4224839292732799E-3</v>
      </c>
    </row>
    <row r="319" spans="1:7" ht="12.75" customHeight="1" x14ac:dyDescent="0.3">
      <c r="A319" s="174">
        <v>44389</v>
      </c>
      <c r="B319" s="155">
        <v>1056.5999999999999</v>
      </c>
      <c r="C319" s="155">
        <f t="shared" si="8"/>
        <v>4.6113620156880523E-3</v>
      </c>
      <c r="E319" s="174">
        <v>44389</v>
      </c>
      <c r="F319" s="175">
        <v>15692.599609375</v>
      </c>
      <c r="G319" s="155">
        <f t="shared" si="9"/>
        <v>1.7844744498674405E-4</v>
      </c>
    </row>
    <row r="320" spans="1:7" ht="12.75" customHeight="1" x14ac:dyDescent="0.3">
      <c r="A320" s="174">
        <v>44390</v>
      </c>
      <c r="B320" s="155">
        <v>1050.1500000000001</v>
      </c>
      <c r="C320" s="155">
        <f t="shared" si="8"/>
        <v>-6.104486087450141E-3</v>
      </c>
      <c r="E320" s="174">
        <v>44390</v>
      </c>
      <c r="F320" s="175">
        <v>15812.349609375</v>
      </c>
      <c r="G320" s="155">
        <f t="shared" si="9"/>
        <v>7.6309854951285136E-3</v>
      </c>
    </row>
    <row r="321" spans="1:7" ht="12.75" customHeight="1" x14ac:dyDescent="0.3">
      <c r="A321" s="174">
        <v>44391</v>
      </c>
      <c r="B321" s="155">
        <v>1078.5</v>
      </c>
      <c r="C321" s="155">
        <f t="shared" si="8"/>
        <v>2.6996143408084469E-2</v>
      </c>
      <c r="E321" s="174">
        <v>44391</v>
      </c>
      <c r="F321" s="175">
        <v>15853.9501953125</v>
      </c>
      <c r="G321" s="155">
        <f t="shared" si="9"/>
        <v>2.6308921169334244E-3</v>
      </c>
    </row>
    <row r="322" spans="1:7" ht="12.75" customHeight="1" x14ac:dyDescent="0.3">
      <c r="A322" s="174">
        <v>44392</v>
      </c>
      <c r="B322" s="155">
        <v>1112.45</v>
      </c>
      <c r="C322" s="155">
        <f t="shared" si="8"/>
        <v>3.1478905887807183E-2</v>
      </c>
      <c r="E322" s="174">
        <v>44392</v>
      </c>
      <c r="F322" s="175">
        <v>15924.2001953125</v>
      </c>
      <c r="G322" s="155">
        <f t="shared" si="9"/>
        <v>4.4310723280038215E-3</v>
      </c>
    </row>
    <row r="323" spans="1:7" ht="12.75" customHeight="1" x14ac:dyDescent="0.3">
      <c r="A323" s="174">
        <v>44393</v>
      </c>
      <c r="B323" s="155">
        <v>1103.1500000000001</v>
      </c>
      <c r="C323" s="155">
        <f t="shared" si="8"/>
        <v>-8.3599262888219283E-3</v>
      </c>
      <c r="E323" s="174">
        <v>44393</v>
      </c>
      <c r="F323" s="175">
        <v>15923.400390625</v>
      </c>
      <c r="G323" s="155">
        <f t="shared" si="9"/>
        <v>-5.0225736783655429E-5</v>
      </c>
    </row>
    <row r="324" spans="1:7" ht="12.75" customHeight="1" x14ac:dyDescent="0.3">
      <c r="A324" s="174">
        <v>44396</v>
      </c>
      <c r="B324" s="155">
        <v>1094.2</v>
      </c>
      <c r="C324" s="155">
        <f t="shared" ref="C324:C387" si="10">(B324-B323)/B323</f>
        <v>-8.1131305806101117E-3</v>
      </c>
      <c r="E324" s="174">
        <v>44396</v>
      </c>
      <c r="F324" s="175">
        <v>15752.400390625</v>
      </c>
      <c r="G324" s="155">
        <f t="shared" ref="G324:G387" si="11">(F324-F323)/F323</f>
        <v>-1.0738912280361756E-2</v>
      </c>
    </row>
    <row r="325" spans="1:7" ht="12.75" customHeight="1" x14ac:dyDescent="0.3">
      <c r="A325" s="174">
        <v>44397</v>
      </c>
      <c r="B325" s="155">
        <v>1087.2</v>
      </c>
      <c r="C325" s="155">
        <f t="shared" si="10"/>
        <v>-6.3973679400475226E-3</v>
      </c>
      <c r="E325" s="174">
        <v>44397</v>
      </c>
      <c r="F325" s="175">
        <v>15632.099609375</v>
      </c>
      <c r="G325" s="155">
        <f t="shared" si="11"/>
        <v>-7.6369809214344685E-3</v>
      </c>
    </row>
    <row r="326" spans="1:7" ht="12.75" customHeight="1" x14ac:dyDescent="0.3">
      <c r="A326" s="174">
        <v>44399</v>
      </c>
      <c r="B326" s="155">
        <v>1148.5999999999999</v>
      </c>
      <c r="C326" s="155">
        <f t="shared" si="10"/>
        <v>5.6475349521707012E-2</v>
      </c>
      <c r="E326" s="174">
        <v>44399</v>
      </c>
      <c r="F326" s="175">
        <v>15824.0498046875</v>
      </c>
      <c r="G326" s="155">
        <f t="shared" si="11"/>
        <v>1.2279233123449532E-2</v>
      </c>
    </row>
    <row r="327" spans="1:7" ht="12.75" customHeight="1" x14ac:dyDescent="0.3">
      <c r="A327" s="174">
        <v>44400</v>
      </c>
      <c r="B327" s="155">
        <v>1131</v>
      </c>
      <c r="C327" s="155">
        <f t="shared" si="10"/>
        <v>-1.5323001915375162E-2</v>
      </c>
      <c r="E327" s="174">
        <v>44400</v>
      </c>
      <c r="F327" s="175">
        <v>15856.0498046875</v>
      </c>
      <c r="G327" s="155">
        <f t="shared" si="11"/>
        <v>2.0222383267853947E-3</v>
      </c>
    </row>
    <row r="328" spans="1:7" ht="12.75" customHeight="1" x14ac:dyDescent="0.3">
      <c r="A328" s="174">
        <v>44403</v>
      </c>
      <c r="B328" s="155">
        <v>1120.2</v>
      </c>
      <c r="C328" s="155">
        <f t="shared" si="10"/>
        <v>-9.5490716180370947E-3</v>
      </c>
      <c r="E328" s="174">
        <v>44403</v>
      </c>
      <c r="F328" s="175">
        <v>15824.4501953125</v>
      </c>
      <c r="G328" s="155">
        <f t="shared" si="11"/>
        <v>-1.9929055322251985E-3</v>
      </c>
    </row>
    <row r="329" spans="1:7" ht="12.75" customHeight="1" x14ac:dyDescent="0.3">
      <c r="A329" s="174">
        <v>44404</v>
      </c>
      <c r="B329" s="155">
        <v>1120.8499999999999</v>
      </c>
      <c r="C329" s="155">
        <f t="shared" si="10"/>
        <v>5.8025352615592176E-4</v>
      </c>
      <c r="E329" s="174">
        <v>44404</v>
      </c>
      <c r="F329" s="175">
        <v>15746.4501953125</v>
      </c>
      <c r="G329" s="155">
        <f t="shared" si="11"/>
        <v>-4.9290812026508866E-3</v>
      </c>
    </row>
    <row r="330" spans="1:7" ht="12.75" customHeight="1" x14ac:dyDescent="0.3">
      <c r="A330" s="174">
        <v>44405</v>
      </c>
      <c r="B330" s="155">
        <v>1119.55</v>
      </c>
      <c r="C330" s="155">
        <f t="shared" si="10"/>
        <v>-1.1598340545121602E-3</v>
      </c>
      <c r="E330" s="174">
        <v>44405</v>
      </c>
      <c r="F330" s="175">
        <v>15709.400390625</v>
      </c>
      <c r="G330" s="155">
        <f t="shared" si="11"/>
        <v>-2.3528988583426387E-3</v>
      </c>
    </row>
    <row r="331" spans="1:7" ht="12.75" customHeight="1" x14ac:dyDescent="0.3">
      <c r="A331" s="174">
        <v>44406</v>
      </c>
      <c r="B331" s="155">
        <v>1127.8</v>
      </c>
      <c r="C331" s="155">
        <f t="shared" si="10"/>
        <v>7.3690322004376762E-3</v>
      </c>
      <c r="E331" s="174">
        <v>44406</v>
      </c>
      <c r="F331" s="175">
        <v>15778.4501953125</v>
      </c>
      <c r="G331" s="155">
        <f t="shared" si="11"/>
        <v>4.3954449546468556E-3</v>
      </c>
    </row>
    <row r="332" spans="1:7" ht="12.75" customHeight="1" x14ac:dyDescent="0.3">
      <c r="A332" s="174">
        <v>44407</v>
      </c>
      <c r="B332" s="155">
        <v>1209.55</v>
      </c>
      <c r="C332" s="155">
        <f t="shared" si="10"/>
        <v>7.2486256428444765E-2</v>
      </c>
      <c r="E332" s="174">
        <v>44407</v>
      </c>
      <c r="F332" s="175">
        <v>15763.0498046875</v>
      </c>
      <c r="G332" s="155">
        <f t="shared" si="11"/>
        <v>-9.7603949908687388E-4</v>
      </c>
    </row>
    <row r="333" spans="1:7" ht="12.75" customHeight="1" x14ac:dyDescent="0.3">
      <c r="A333" s="174">
        <v>44410</v>
      </c>
      <c r="B333" s="155">
        <v>1210.7</v>
      </c>
      <c r="C333" s="155">
        <f t="shared" si="10"/>
        <v>9.5076681410449424E-4</v>
      </c>
      <c r="E333" s="174">
        <v>44410</v>
      </c>
      <c r="F333" s="175">
        <v>15885.150390625</v>
      </c>
      <c r="G333" s="155">
        <f t="shared" si="11"/>
        <v>7.7460001364197065E-3</v>
      </c>
    </row>
    <row r="334" spans="1:7" ht="12.75" customHeight="1" x14ac:dyDescent="0.3">
      <c r="A334" s="174">
        <v>44411</v>
      </c>
      <c r="B334" s="155">
        <v>1226.25</v>
      </c>
      <c r="C334" s="155">
        <f t="shared" si="10"/>
        <v>1.2843809366482162E-2</v>
      </c>
      <c r="E334" s="174">
        <v>44411</v>
      </c>
      <c r="F334" s="175">
        <v>16130.75</v>
      </c>
      <c r="G334" s="155">
        <f t="shared" si="11"/>
        <v>1.5460955882416225E-2</v>
      </c>
    </row>
    <row r="335" spans="1:7" ht="12.75" customHeight="1" x14ac:dyDescent="0.3">
      <c r="A335" s="174">
        <v>44412</v>
      </c>
      <c r="B335" s="155">
        <v>1216.5</v>
      </c>
      <c r="C335" s="155">
        <f t="shared" si="10"/>
        <v>-7.9510703363914366E-3</v>
      </c>
      <c r="E335" s="174">
        <v>44412</v>
      </c>
      <c r="F335" s="175">
        <v>16258.7998046875</v>
      </c>
      <c r="G335" s="155">
        <f t="shared" si="11"/>
        <v>7.9382424678021788E-3</v>
      </c>
    </row>
    <row r="336" spans="1:7" ht="12.75" customHeight="1" x14ac:dyDescent="0.3">
      <c r="A336" s="174">
        <v>44413</v>
      </c>
      <c r="B336" s="155">
        <v>1248.2</v>
      </c>
      <c r="C336" s="155">
        <f t="shared" si="10"/>
        <v>2.6058364159473938E-2</v>
      </c>
      <c r="E336" s="174">
        <v>44413</v>
      </c>
      <c r="F336" s="175">
        <v>16294.599609375</v>
      </c>
      <c r="G336" s="155">
        <f t="shared" si="11"/>
        <v>2.2018725316476757E-3</v>
      </c>
    </row>
    <row r="337" spans="1:7" ht="12.75" customHeight="1" x14ac:dyDescent="0.3">
      <c r="A337" s="174">
        <v>44414</v>
      </c>
      <c r="B337" s="155">
        <v>1264.5999999999999</v>
      </c>
      <c r="C337" s="155">
        <f t="shared" si="10"/>
        <v>1.3138920044864496E-2</v>
      </c>
      <c r="E337" s="174">
        <v>44414</v>
      </c>
      <c r="F337" s="175">
        <v>16238.2001953125</v>
      </c>
      <c r="G337" s="155">
        <f t="shared" si="11"/>
        <v>-3.4612335015615195E-3</v>
      </c>
    </row>
    <row r="338" spans="1:7" ht="12.75" customHeight="1" x14ac:dyDescent="0.3">
      <c r="A338" s="174">
        <v>44417</v>
      </c>
      <c r="B338" s="155">
        <v>1287.45</v>
      </c>
      <c r="C338" s="155">
        <f t="shared" si="10"/>
        <v>1.8068954610153516E-2</v>
      </c>
      <c r="E338" s="174">
        <v>44417</v>
      </c>
      <c r="F338" s="175">
        <v>16258.25</v>
      </c>
      <c r="G338" s="155">
        <f t="shared" si="11"/>
        <v>1.2347307242392418E-3</v>
      </c>
    </row>
    <row r="339" spans="1:7" ht="12.75" customHeight="1" x14ac:dyDescent="0.3">
      <c r="A339" s="174">
        <v>44418</v>
      </c>
      <c r="B339" s="155">
        <v>1323.05</v>
      </c>
      <c r="C339" s="155">
        <f t="shared" si="10"/>
        <v>2.7651559283855612E-2</v>
      </c>
      <c r="E339" s="174">
        <v>44418</v>
      </c>
      <c r="F339" s="175">
        <v>16280.099609375</v>
      </c>
      <c r="G339" s="155">
        <f t="shared" si="11"/>
        <v>1.3439090538649608E-3</v>
      </c>
    </row>
    <row r="340" spans="1:7" ht="12.75" customHeight="1" x14ac:dyDescent="0.3">
      <c r="A340" s="174">
        <v>44419</v>
      </c>
      <c r="B340" s="155">
        <v>1323.6</v>
      </c>
      <c r="C340" s="155">
        <f t="shared" si="10"/>
        <v>4.1570613355500891E-4</v>
      </c>
      <c r="E340" s="174">
        <v>44419</v>
      </c>
      <c r="F340" s="175">
        <v>16282.25</v>
      </c>
      <c r="G340" s="155">
        <f t="shared" si="11"/>
        <v>1.3208706805219322E-4</v>
      </c>
    </row>
    <row r="341" spans="1:7" ht="12.75" customHeight="1" x14ac:dyDescent="0.3">
      <c r="A341" s="174">
        <v>44420</v>
      </c>
      <c r="B341" s="155">
        <v>1386.55</v>
      </c>
      <c r="C341" s="155">
        <f t="shared" si="10"/>
        <v>4.7559685705651292E-2</v>
      </c>
      <c r="E341" s="174">
        <v>44420</v>
      </c>
      <c r="F341" s="175">
        <v>16364.400390625</v>
      </c>
      <c r="G341" s="155">
        <f t="shared" si="11"/>
        <v>5.0453954843464512E-3</v>
      </c>
    </row>
    <row r="342" spans="1:7" ht="12.75" customHeight="1" x14ac:dyDescent="0.3">
      <c r="A342" s="174">
        <v>44421</v>
      </c>
      <c r="B342" s="155">
        <v>1383.15</v>
      </c>
      <c r="C342" s="155">
        <f t="shared" si="10"/>
        <v>-2.4521293858857335E-3</v>
      </c>
      <c r="E342" s="174">
        <v>44421</v>
      </c>
      <c r="F342" s="175">
        <v>16529.099609375</v>
      </c>
      <c r="G342" s="155">
        <f t="shared" si="11"/>
        <v>1.0064482340847301E-2</v>
      </c>
    </row>
    <row r="343" spans="1:7" ht="12.75" customHeight="1" x14ac:dyDescent="0.3">
      <c r="A343" s="174">
        <v>44424</v>
      </c>
      <c r="B343" s="155">
        <v>1367.85</v>
      </c>
      <c r="C343" s="155">
        <f t="shared" si="10"/>
        <v>-1.1061706973213448E-2</v>
      </c>
      <c r="E343" s="174">
        <v>44424</v>
      </c>
      <c r="F343" s="175">
        <v>16563.05078125</v>
      </c>
      <c r="G343" s="155">
        <f t="shared" si="11"/>
        <v>2.0540242770237479E-3</v>
      </c>
    </row>
    <row r="344" spans="1:7" ht="12.75" customHeight="1" x14ac:dyDescent="0.3">
      <c r="A344" s="174">
        <v>44425</v>
      </c>
      <c r="B344" s="155">
        <v>1413.7</v>
      </c>
      <c r="C344" s="155">
        <f t="shared" si="10"/>
        <v>3.3519757283327956E-2</v>
      </c>
      <c r="E344" s="174">
        <v>44425</v>
      </c>
      <c r="F344" s="175">
        <v>16614.599609375</v>
      </c>
      <c r="G344" s="155">
        <f t="shared" si="11"/>
        <v>3.1122785775284361E-3</v>
      </c>
    </row>
    <row r="345" spans="1:7" ht="12.75" customHeight="1" x14ac:dyDescent="0.3">
      <c r="A345" s="174">
        <v>44426</v>
      </c>
      <c r="B345" s="155">
        <v>1412.5</v>
      </c>
      <c r="C345" s="155">
        <f t="shared" si="10"/>
        <v>-8.488363867864791E-4</v>
      </c>
      <c r="E345" s="174">
        <v>44426</v>
      </c>
      <c r="F345" s="175">
        <v>16568.849609375</v>
      </c>
      <c r="G345" s="155">
        <f t="shared" si="11"/>
        <v>-2.7536023181795473E-3</v>
      </c>
    </row>
    <row r="346" spans="1:7" ht="12.75" customHeight="1" x14ac:dyDescent="0.3">
      <c r="A346" s="174">
        <v>44428</v>
      </c>
      <c r="B346" s="155">
        <v>1399.2</v>
      </c>
      <c r="C346" s="155">
        <f t="shared" si="10"/>
        <v>-9.4159292035397909E-3</v>
      </c>
      <c r="E346" s="174">
        <v>44428</v>
      </c>
      <c r="F346" s="175">
        <v>16450.5</v>
      </c>
      <c r="G346" s="155">
        <f t="shared" si="11"/>
        <v>-7.142898400624949E-3</v>
      </c>
    </row>
    <row r="347" spans="1:7" ht="12.75" customHeight="1" x14ac:dyDescent="0.3">
      <c r="A347" s="174">
        <v>44431</v>
      </c>
      <c r="B347" s="155">
        <v>1416</v>
      </c>
      <c r="C347" s="155">
        <f t="shared" si="10"/>
        <v>1.2006861063464803E-2</v>
      </c>
      <c r="E347" s="174">
        <v>44431</v>
      </c>
      <c r="F347" s="175">
        <v>16496.44921875</v>
      </c>
      <c r="G347" s="155">
        <f t="shared" si="11"/>
        <v>2.7931806783988329E-3</v>
      </c>
    </row>
    <row r="348" spans="1:7" ht="12.75" customHeight="1" x14ac:dyDescent="0.3">
      <c r="A348" s="174">
        <v>44432</v>
      </c>
      <c r="B348" s="155">
        <v>1463.35</v>
      </c>
      <c r="C348" s="155">
        <f t="shared" si="10"/>
        <v>3.3439265536723099E-2</v>
      </c>
      <c r="E348" s="174">
        <v>44432</v>
      </c>
      <c r="F348" s="175">
        <v>16624.599609375</v>
      </c>
      <c r="G348" s="155">
        <f t="shared" si="11"/>
        <v>7.7683620836017982E-3</v>
      </c>
    </row>
    <row r="349" spans="1:7" ht="12.75" customHeight="1" x14ac:dyDescent="0.3">
      <c r="A349" s="174">
        <v>44433</v>
      </c>
      <c r="B349" s="155">
        <v>1463.1</v>
      </c>
      <c r="C349" s="155">
        <f t="shared" si="10"/>
        <v>-1.7084087880548057E-4</v>
      </c>
      <c r="E349" s="174">
        <v>44433</v>
      </c>
      <c r="F349" s="175">
        <v>16634.650390625</v>
      </c>
      <c r="G349" s="155">
        <f t="shared" si="11"/>
        <v>6.0457283099510741E-4</v>
      </c>
    </row>
    <row r="350" spans="1:7" ht="12.75" customHeight="1" x14ac:dyDescent="0.3">
      <c r="A350" s="174">
        <v>44434</v>
      </c>
      <c r="B350" s="155">
        <v>1449.5</v>
      </c>
      <c r="C350" s="155">
        <f t="shared" si="10"/>
        <v>-9.2953318296766525E-3</v>
      </c>
      <c r="E350" s="174">
        <v>44434</v>
      </c>
      <c r="F350" s="175">
        <v>16636.900390625</v>
      </c>
      <c r="G350" s="155">
        <f t="shared" si="11"/>
        <v>1.3525983096513173E-4</v>
      </c>
    </row>
    <row r="351" spans="1:7" ht="12.75" customHeight="1" x14ac:dyDescent="0.3">
      <c r="A351" s="174">
        <v>44435</v>
      </c>
      <c r="B351" s="155">
        <v>1445.4</v>
      </c>
      <c r="C351" s="155">
        <f t="shared" si="10"/>
        <v>-2.828561572956129E-3</v>
      </c>
      <c r="E351" s="174">
        <v>44435</v>
      </c>
      <c r="F351" s="175">
        <v>16705.19921875</v>
      </c>
      <c r="G351" s="155">
        <f t="shared" si="11"/>
        <v>4.1052615884799564E-3</v>
      </c>
    </row>
    <row r="352" spans="1:7" ht="12.75" customHeight="1" x14ac:dyDescent="0.3">
      <c r="A352" s="174">
        <v>44438</v>
      </c>
      <c r="B352" s="155">
        <v>1419.2</v>
      </c>
      <c r="C352" s="155">
        <f t="shared" si="10"/>
        <v>-1.8126470181264731E-2</v>
      </c>
      <c r="E352" s="174">
        <v>44438</v>
      </c>
      <c r="F352" s="175">
        <v>16931.05078125</v>
      </c>
      <c r="G352" s="155">
        <f t="shared" si="11"/>
        <v>1.3519836521704158E-2</v>
      </c>
    </row>
    <row r="353" spans="1:7" ht="12.75" customHeight="1" x14ac:dyDescent="0.3">
      <c r="A353" s="174">
        <v>44439</v>
      </c>
      <c r="B353" s="155">
        <v>1447.65</v>
      </c>
      <c r="C353" s="155">
        <f t="shared" si="10"/>
        <v>2.0046505073280752E-2</v>
      </c>
      <c r="E353" s="174">
        <v>44439</v>
      </c>
      <c r="F353" s="175">
        <v>17132.19921875</v>
      </c>
      <c r="G353" s="155">
        <f t="shared" si="11"/>
        <v>1.1880446175423345E-2</v>
      </c>
    </row>
    <row r="354" spans="1:7" ht="12.75" customHeight="1" x14ac:dyDescent="0.3">
      <c r="A354" s="174">
        <v>44440</v>
      </c>
      <c r="B354" s="155">
        <v>1436.3</v>
      </c>
      <c r="C354" s="155">
        <f t="shared" si="10"/>
        <v>-7.8402928884745184E-3</v>
      </c>
      <c r="E354" s="174">
        <v>44440</v>
      </c>
      <c r="F354" s="175">
        <v>17076.25</v>
      </c>
      <c r="G354" s="155">
        <f t="shared" si="11"/>
        <v>-3.2657347743637881E-3</v>
      </c>
    </row>
    <row r="355" spans="1:7" ht="12.75" customHeight="1" x14ac:dyDescent="0.3">
      <c r="A355" s="174">
        <v>44441</v>
      </c>
      <c r="B355" s="155">
        <v>1437.8</v>
      </c>
      <c r="C355" s="155">
        <f t="shared" si="10"/>
        <v>1.0443500661421708E-3</v>
      </c>
      <c r="E355" s="174">
        <v>44441</v>
      </c>
      <c r="F355" s="175">
        <v>17234.150390625</v>
      </c>
      <c r="G355" s="155">
        <f t="shared" si="11"/>
        <v>9.2467837273991649E-3</v>
      </c>
    </row>
    <row r="356" spans="1:7" ht="12.75" customHeight="1" x14ac:dyDescent="0.3">
      <c r="A356" s="174">
        <v>44442</v>
      </c>
      <c r="B356" s="155">
        <v>1441.95</v>
      </c>
      <c r="C356" s="155">
        <f t="shared" si="10"/>
        <v>2.8863541521770004E-3</v>
      </c>
      <c r="E356" s="174">
        <v>44442</v>
      </c>
      <c r="F356" s="175">
        <v>17323.599609375</v>
      </c>
      <c r="G356" s="155">
        <f t="shared" si="11"/>
        <v>5.1902308336974016E-3</v>
      </c>
    </row>
    <row r="357" spans="1:7" ht="12.75" customHeight="1" x14ac:dyDescent="0.3">
      <c r="A357" s="174">
        <v>44445</v>
      </c>
      <c r="B357" s="155">
        <v>1461.15</v>
      </c>
      <c r="C357" s="155">
        <f t="shared" si="10"/>
        <v>1.3315302194944378E-2</v>
      </c>
      <c r="E357" s="174">
        <v>44445</v>
      </c>
      <c r="F357" s="175">
        <v>17377.80078125</v>
      </c>
      <c r="G357" s="155">
        <f t="shared" si="11"/>
        <v>3.1287476677576867E-3</v>
      </c>
    </row>
    <row r="358" spans="1:7" ht="12.75" customHeight="1" x14ac:dyDescent="0.3">
      <c r="A358" s="174">
        <v>44446</v>
      </c>
      <c r="B358" s="155">
        <v>1435.2</v>
      </c>
      <c r="C358" s="155">
        <f t="shared" si="10"/>
        <v>-1.7759983574581695E-2</v>
      </c>
      <c r="E358" s="174">
        <v>44446</v>
      </c>
      <c r="F358" s="175">
        <v>17362.099609375</v>
      </c>
      <c r="G358" s="155">
        <f t="shared" si="11"/>
        <v>-9.0351892466974189E-4</v>
      </c>
    </row>
    <row r="359" spans="1:7" ht="12.75" customHeight="1" x14ac:dyDescent="0.3">
      <c r="A359" s="174">
        <v>44447</v>
      </c>
      <c r="B359" s="155">
        <v>1427.85</v>
      </c>
      <c r="C359" s="155">
        <f t="shared" si="10"/>
        <v>-5.1212374581940745E-3</v>
      </c>
      <c r="E359" s="174">
        <v>44447</v>
      </c>
      <c r="F359" s="175">
        <v>17353.5</v>
      </c>
      <c r="G359" s="155">
        <f t="shared" si="11"/>
        <v>-4.9530929832682655E-4</v>
      </c>
    </row>
    <row r="360" spans="1:7" ht="12.75" customHeight="1" x14ac:dyDescent="0.3">
      <c r="A360" s="174">
        <v>44448</v>
      </c>
      <c r="B360" s="155">
        <v>1433.25</v>
      </c>
      <c r="C360" s="155">
        <f t="shared" si="10"/>
        <v>3.7819098644816273E-3</v>
      </c>
      <c r="E360" s="174">
        <v>44448</v>
      </c>
      <c r="F360" s="175">
        <v>17369.25</v>
      </c>
      <c r="G360" s="155">
        <f t="shared" si="11"/>
        <v>9.0759789091537728E-4</v>
      </c>
    </row>
    <row r="361" spans="1:7" ht="12.75" customHeight="1" x14ac:dyDescent="0.3">
      <c r="A361" s="174">
        <v>44452</v>
      </c>
      <c r="B361" s="155">
        <v>1429.5</v>
      </c>
      <c r="C361" s="155">
        <f t="shared" si="10"/>
        <v>-2.6164311878597592E-3</v>
      </c>
      <c r="E361" s="174">
        <v>44452</v>
      </c>
      <c r="F361" s="175">
        <v>17355.30078125</v>
      </c>
      <c r="G361" s="155">
        <f t="shared" si="11"/>
        <v>-8.0309850741972161E-4</v>
      </c>
    </row>
    <row r="362" spans="1:7" ht="12.75" customHeight="1" x14ac:dyDescent="0.3">
      <c r="A362" s="174">
        <v>44453</v>
      </c>
      <c r="B362" s="155">
        <v>1452.05</v>
      </c>
      <c r="C362" s="155">
        <f t="shared" si="10"/>
        <v>1.5774746414830329E-2</v>
      </c>
      <c r="E362" s="174">
        <v>44453</v>
      </c>
      <c r="F362" s="175">
        <v>17380</v>
      </c>
      <c r="G362" s="155">
        <f t="shared" si="11"/>
        <v>1.4231512931590379E-3</v>
      </c>
    </row>
    <row r="363" spans="1:7" ht="12.75" customHeight="1" x14ac:dyDescent="0.3">
      <c r="A363" s="174">
        <v>44454</v>
      </c>
      <c r="B363" s="155">
        <v>1464.85</v>
      </c>
      <c r="C363" s="155">
        <f t="shared" si="10"/>
        <v>8.8151234461622905E-3</v>
      </c>
      <c r="E363" s="174">
        <v>44454</v>
      </c>
      <c r="F363" s="175">
        <v>17519.44921875</v>
      </c>
      <c r="G363" s="155">
        <f t="shared" si="11"/>
        <v>8.0235453826237053E-3</v>
      </c>
    </row>
    <row r="364" spans="1:7" ht="12.75" customHeight="1" x14ac:dyDescent="0.3">
      <c r="A364" s="174">
        <v>44455</v>
      </c>
      <c r="B364" s="155">
        <v>1448.35</v>
      </c>
      <c r="C364" s="155">
        <f t="shared" si="10"/>
        <v>-1.1263951940471721E-2</v>
      </c>
      <c r="E364" s="174">
        <v>44455</v>
      </c>
      <c r="F364" s="175">
        <v>17629.5</v>
      </c>
      <c r="G364" s="155">
        <f t="shared" si="11"/>
        <v>6.2816347635072543E-3</v>
      </c>
    </row>
    <row r="365" spans="1:7" ht="12.75" customHeight="1" x14ac:dyDescent="0.3">
      <c r="A365" s="174">
        <v>44456</v>
      </c>
      <c r="B365" s="155">
        <v>1451.55</v>
      </c>
      <c r="C365" s="155">
        <f t="shared" si="10"/>
        <v>2.2094107087375606E-3</v>
      </c>
      <c r="E365" s="174">
        <v>44456</v>
      </c>
      <c r="F365" s="175">
        <v>17585.150390625</v>
      </c>
      <c r="G365" s="155">
        <f t="shared" si="11"/>
        <v>-2.5156476006126098E-3</v>
      </c>
    </row>
    <row r="366" spans="1:7" ht="12.75" customHeight="1" x14ac:dyDescent="0.3">
      <c r="A366" s="174">
        <v>44459</v>
      </c>
      <c r="B366" s="155">
        <v>1431.3</v>
      </c>
      <c r="C366" s="155">
        <f t="shared" si="10"/>
        <v>-1.3950604526196135E-2</v>
      </c>
      <c r="E366" s="174">
        <v>44459</v>
      </c>
      <c r="F366" s="175">
        <v>17396.900390625</v>
      </c>
      <c r="G366" s="155">
        <f t="shared" si="11"/>
        <v>-1.0705054879733066E-2</v>
      </c>
    </row>
    <row r="367" spans="1:7" ht="12.75" customHeight="1" x14ac:dyDescent="0.3">
      <c r="A367" s="174">
        <v>44460</v>
      </c>
      <c r="B367" s="155">
        <v>1461.7</v>
      </c>
      <c r="C367" s="155">
        <f t="shared" si="10"/>
        <v>2.1239432683574436E-2</v>
      </c>
      <c r="E367" s="174">
        <v>44460</v>
      </c>
      <c r="F367" s="175">
        <v>17562</v>
      </c>
      <c r="G367" s="155">
        <f t="shared" si="11"/>
        <v>9.4901738624640509E-3</v>
      </c>
    </row>
    <row r="368" spans="1:7" ht="12.75" customHeight="1" x14ac:dyDescent="0.3">
      <c r="A368" s="174">
        <v>44461</v>
      </c>
      <c r="B368" s="155">
        <v>1513.6</v>
      </c>
      <c r="C368" s="155">
        <f t="shared" si="10"/>
        <v>3.550660190189496E-2</v>
      </c>
      <c r="E368" s="174">
        <v>44461</v>
      </c>
      <c r="F368" s="175">
        <v>17546.650390625</v>
      </c>
      <c r="G368" s="155">
        <f t="shared" si="11"/>
        <v>-8.7402399356565307E-4</v>
      </c>
    </row>
    <row r="369" spans="1:7" ht="12.75" customHeight="1" x14ac:dyDescent="0.3">
      <c r="A369" s="174">
        <v>44462</v>
      </c>
      <c r="B369" s="155">
        <v>1521.5</v>
      </c>
      <c r="C369" s="155">
        <f t="shared" si="10"/>
        <v>5.2193446088795526E-3</v>
      </c>
      <c r="E369" s="174">
        <v>44462</v>
      </c>
      <c r="F369" s="175">
        <v>17822.94921875</v>
      </c>
      <c r="G369" s="155">
        <f t="shared" si="11"/>
        <v>1.5746528367181906E-2</v>
      </c>
    </row>
    <row r="370" spans="1:7" ht="12.75" customHeight="1" x14ac:dyDescent="0.3">
      <c r="A370" s="174">
        <v>44463</v>
      </c>
      <c r="B370" s="155">
        <v>1514.75</v>
      </c>
      <c r="C370" s="155">
        <f t="shared" si="10"/>
        <v>-4.4364114360828134E-3</v>
      </c>
      <c r="E370" s="174">
        <v>44463</v>
      </c>
      <c r="F370" s="175">
        <v>17853.19921875</v>
      </c>
      <c r="G370" s="155">
        <f t="shared" si="11"/>
        <v>1.6972499684943592E-3</v>
      </c>
    </row>
    <row r="371" spans="1:7" ht="12.75" customHeight="1" x14ac:dyDescent="0.3">
      <c r="A371" s="174">
        <v>44466</v>
      </c>
      <c r="B371" s="155">
        <v>1464.4</v>
      </c>
      <c r="C371" s="155">
        <f t="shared" si="10"/>
        <v>-3.3239808549265497E-2</v>
      </c>
      <c r="E371" s="174">
        <v>44466</v>
      </c>
      <c r="F371" s="175">
        <v>17855.099609375</v>
      </c>
      <c r="G371" s="155">
        <f t="shared" si="11"/>
        <v>1.0644538279750718E-4</v>
      </c>
    </row>
    <row r="372" spans="1:7" ht="12.75" customHeight="1" x14ac:dyDescent="0.3">
      <c r="A372" s="174">
        <v>44467</v>
      </c>
      <c r="B372" s="155">
        <v>1414.05</v>
      </c>
      <c r="C372" s="155">
        <f t="shared" si="10"/>
        <v>-3.4382682327233086E-2</v>
      </c>
      <c r="E372" s="174">
        <v>44467</v>
      </c>
      <c r="F372" s="175">
        <v>17748.599609375</v>
      </c>
      <c r="G372" s="155">
        <f t="shared" si="11"/>
        <v>-5.9646824901543032E-3</v>
      </c>
    </row>
    <row r="373" spans="1:7" ht="12.75" customHeight="1" x14ac:dyDescent="0.3">
      <c r="A373" s="174">
        <v>44468</v>
      </c>
      <c r="B373" s="155">
        <v>1395.35</v>
      </c>
      <c r="C373" s="155">
        <f t="shared" si="10"/>
        <v>-1.3224426293271134E-2</v>
      </c>
      <c r="E373" s="174">
        <v>44468</v>
      </c>
      <c r="F373" s="175">
        <v>17711.30078125</v>
      </c>
      <c r="G373" s="155">
        <f t="shared" si="11"/>
        <v>-2.1015082285871364E-3</v>
      </c>
    </row>
    <row r="374" spans="1:7" ht="12.75" customHeight="1" x14ac:dyDescent="0.3">
      <c r="A374" s="174">
        <v>44469</v>
      </c>
      <c r="B374" s="155">
        <v>1380.6</v>
      </c>
      <c r="C374" s="155">
        <f t="shared" si="10"/>
        <v>-1.0570824524312896E-2</v>
      </c>
      <c r="E374" s="174">
        <v>44469</v>
      </c>
      <c r="F374" s="175">
        <v>17618.150390625</v>
      </c>
      <c r="G374" s="155">
        <f t="shared" si="11"/>
        <v>-5.2593760207388773E-3</v>
      </c>
    </row>
    <row r="375" spans="1:7" ht="12.75" customHeight="1" x14ac:dyDescent="0.3">
      <c r="A375" s="174">
        <v>44470</v>
      </c>
      <c r="B375" s="155">
        <v>1371.25</v>
      </c>
      <c r="C375" s="155">
        <f t="shared" si="10"/>
        <v>-6.7724177893668767E-3</v>
      </c>
      <c r="E375" s="174">
        <v>44470</v>
      </c>
      <c r="F375" s="175">
        <v>17532.05078125</v>
      </c>
      <c r="G375" s="155">
        <f t="shared" si="11"/>
        <v>-4.8869834497959255E-3</v>
      </c>
    </row>
    <row r="376" spans="1:7" ht="12.75" customHeight="1" x14ac:dyDescent="0.3">
      <c r="A376" s="174">
        <v>44473</v>
      </c>
      <c r="B376" s="155">
        <v>1399.05</v>
      </c>
      <c r="C376" s="155">
        <f t="shared" si="10"/>
        <v>2.0273473108477633E-2</v>
      </c>
      <c r="E376" s="174">
        <v>44473</v>
      </c>
      <c r="F376" s="175">
        <v>17691.25</v>
      </c>
      <c r="G376" s="155">
        <f t="shared" si="11"/>
        <v>9.080467581137671E-3</v>
      </c>
    </row>
    <row r="377" spans="1:7" ht="12.75" customHeight="1" x14ac:dyDescent="0.3">
      <c r="A377" s="174">
        <v>44474</v>
      </c>
      <c r="B377" s="155">
        <v>1413.05</v>
      </c>
      <c r="C377" s="155">
        <f t="shared" si="10"/>
        <v>1.0006790322004218E-2</v>
      </c>
      <c r="E377" s="174">
        <v>44474</v>
      </c>
      <c r="F377" s="175">
        <v>17822.30078125</v>
      </c>
      <c r="G377" s="155">
        <f t="shared" si="11"/>
        <v>7.4076609199463014E-3</v>
      </c>
    </row>
    <row r="378" spans="1:7" ht="12.75" customHeight="1" x14ac:dyDescent="0.3">
      <c r="A378" s="174">
        <v>44475</v>
      </c>
      <c r="B378" s="155">
        <v>1385.65</v>
      </c>
      <c r="C378" s="155">
        <f t="shared" si="10"/>
        <v>-1.9390679735324202E-2</v>
      </c>
      <c r="E378" s="174">
        <v>44475</v>
      </c>
      <c r="F378" s="175">
        <v>17646</v>
      </c>
      <c r="G378" s="155">
        <f t="shared" si="11"/>
        <v>-9.8921448702895716E-3</v>
      </c>
    </row>
    <row r="379" spans="1:7" ht="12.75" customHeight="1" x14ac:dyDescent="0.3">
      <c r="A379" s="174">
        <v>44476</v>
      </c>
      <c r="B379" s="155">
        <v>1417.2</v>
      </c>
      <c r="C379" s="155">
        <f t="shared" si="10"/>
        <v>2.2769097535452643E-2</v>
      </c>
      <c r="E379" s="174">
        <v>44476</v>
      </c>
      <c r="F379" s="175">
        <v>17790.349609375</v>
      </c>
      <c r="G379" s="155">
        <f t="shared" si="11"/>
        <v>8.1803020160376282E-3</v>
      </c>
    </row>
    <row r="380" spans="1:7" ht="12.75" customHeight="1" x14ac:dyDescent="0.3">
      <c r="A380" s="174">
        <v>44477</v>
      </c>
      <c r="B380" s="155">
        <v>1439.95</v>
      </c>
      <c r="C380" s="155">
        <f t="shared" si="10"/>
        <v>1.6052780129833473E-2</v>
      </c>
      <c r="E380" s="174">
        <v>44477</v>
      </c>
      <c r="F380" s="175">
        <v>17895.19921875</v>
      </c>
      <c r="G380" s="155">
        <f t="shared" si="11"/>
        <v>5.8936227604963589E-3</v>
      </c>
    </row>
    <row r="381" spans="1:7" ht="12.75" customHeight="1" x14ac:dyDescent="0.3">
      <c r="A381" s="174">
        <v>44480</v>
      </c>
      <c r="B381" s="155">
        <v>1400.2</v>
      </c>
      <c r="C381" s="155">
        <f t="shared" si="10"/>
        <v>-2.7605125177957567E-2</v>
      </c>
      <c r="E381" s="174">
        <v>44480</v>
      </c>
      <c r="F381" s="175">
        <v>17945.94921875</v>
      </c>
      <c r="G381" s="155">
        <f t="shared" si="11"/>
        <v>2.8359561343595336E-3</v>
      </c>
    </row>
    <row r="382" spans="1:7" ht="12.75" customHeight="1" x14ac:dyDescent="0.3">
      <c r="A382" s="174">
        <v>44481</v>
      </c>
      <c r="B382" s="155">
        <v>1374.45</v>
      </c>
      <c r="C382" s="155">
        <f t="shared" si="10"/>
        <v>-1.8390229967147551E-2</v>
      </c>
      <c r="E382" s="174">
        <v>44481</v>
      </c>
      <c r="F382" s="175">
        <v>17991.94921875</v>
      </c>
      <c r="G382" s="155">
        <f t="shared" si="11"/>
        <v>2.5632525445875558E-3</v>
      </c>
    </row>
    <row r="383" spans="1:7" ht="12.75" customHeight="1" x14ac:dyDescent="0.3">
      <c r="A383" s="174">
        <v>44482</v>
      </c>
      <c r="B383" s="155">
        <v>1402.15</v>
      </c>
      <c r="C383" s="155">
        <f t="shared" si="10"/>
        <v>2.0153515951835312E-2</v>
      </c>
      <c r="E383" s="174">
        <v>44482</v>
      </c>
      <c r="F383" s="175">
        <v>18161.75</v>
      </c>
      <c r="G383" s="155">
        <f t="shared" si="11"/>
        <v>9.4375978492116375E-3</v>
      </c>
    </row>
    <row r="384" spans="1:7" ht="12.75" customHeight="1" x14ac:dyDescent="0.3">
      <c r="A384" s="174">
        <v>44483</v>
      </c>
      <c r="B384" s="155">
        <v>1430.8</v>
      </c>
      <c r="C384" s="155">
        <f t="shared" si="10"/>
        <v>2.0432906607709491E-2</v>
      </c>
      <c r="E384" s="174">
        <v>44483</v>
      </c>
      <c r="F384" s="175">
        <v>18338.55078125</v>
      </c>
      <c r="G384" s="155">
        <f t="shared" si="11"/>
        <v>9.7347877407188178E-3</v>
      </c>
    </row>
    <row r="385" spans="1:7" ht="12.75" customHeight="1" x14ac:dyDescent="0.3">
      <c r="A385" s="174">
        <v>44487</v>
      </c>
      <c r="B385" s="155">
        <v>1479.65</v>
      </c>
      <c r="C385" s="155">
        <f t="shared" si="10"/>
        <v>3.4141738887335855E-2</v>
      </c>
      <c r="E385" s="174">
        <v>44487</v>
      </c>
      <c r="F385" s="175">
        <v>18477.05078125</v>
      </c>
      <c r="G385" s="155">
        <f t="shared" si="11"/>
        <v>7.5523961327198996E-3</v>
      </c>
    </row>
    <row r="386" spans="1:7" ht="12.75" customHeight="1" x14ac:dyDescent="0.3">
      <c r="A386" s="174">
        <v>44488</v>
      </c>
      <c r="B386" s="155">
        <v>1539.1</v>
      </c>
      <c r="C386" s="155">
        <f t="shared" si="10"/>
        <v>4.0178420572432545E-2</v>
      </c>
      <c r="E386" s="174">
        <v>44488</v>
      </c>
      <c r="F386" s="175">
        <v>18418.75</v>
      </c>
      <c r="G386" s="155">
        <f t="shared" si="11"/>
        <v>-3.1553077349964326E-3</v>
      </c>
    </row>
    <row r="387" spans="1:7" ht="12.75" customHeight="1" x14ac:dyDescent="0.3">
      <c r="A387" s="174">
        <v>44489</v>
      </c>
      <c r="B387" s="155">
        <v>1539.3</v>
      </c>
      <c r="C387" s="155">
        <f t="shared" si="10"/>
        <v>1.2994607237999187E-4</v>
      </c>
      <c r="E387" s="174">
        <v>44489</v>
      </c>
      <c r="F387" s="175">
        <v>18266.599609375</v>
      </c>
      <c r="G387" s="155">
        <f t="shared" si="11"/>
        <v>-8.2606252120800815E-3</v>
      </c>
    </row>
    <row r="388" spans="1:7" ht="12.75" customHeight="1" x14ac:dyDescent="0.3">
      <c r="A388" s="174">
        <v>44490</v>
      </c>
      <c r="B388" s="155">
        <v>1524.25</v>
      </c>
      <c r="C388" s="155">
        <f t="shared" ref="C388:C451" si="12">(B388-B387)/B387</f>
        <v>-9.7771714415643175E-3</v>
      </c>
      <c r="E388" s="174">
        <v>44490</v>
      </c>
      <c r="F388" s="175">
        <v>18178.099609375</v>
      </c>
      <c r="G388" s="155">
        <f t="shared" ref="G388:G451" si="13">(F388-F387)/F387</f>
        <v>-4.8449082967023036E-3</v>
      </c>
    </row>
    <row r="389" spans="1:7" ht="12.75" customHeight="1" x14ac:dyDescent="0.3">
      <c r="A389" s="174">
        <v>44491</v>
      </c>
      <c r="B389" s="155">
        <v>1517.45</v>
      </c>
      <c r="C389" s="155">
        <f t="shared" si="12"/>
        <v>-4.4612104313596556E-3</v>
      </c>
      <c r="E389" s="174">
        <v>44491</v>
      </c>
      <c r="F389" s="175">
        <v>18114.900390625</v>
      </c>
      <c r="G389" s="155">
        <f t="shared" si="13"/>
        <v>-3.4766680845673349E-3</v>
      </c>
    </row>
    <row r="390" spans="1:7" ht="12.75" customHeight="1" x14ac:dyDescent="0.3">
      <c r="A390" s="174">
        <v>44494</v>
      </c>
      <c r="B390" s="155">
        <v>1524.1</v>
      </c>
      <c r="C390" s="155">
        <f t="shared" si="12"/>
        <v>4.3823519720582972E-3</v>
      </c>
      <c r="E390" s="174">
        <v>44494</v>
      </c>
      <c r="F390" s="175">
        <v>18125.400390625</v>
      </c>
      <c r="G390" s="155">
        <f t="shared" si="13"/>
        <v>5.7963332801068358E-4</v>
      </c>
    </row>
    <row r="391" spans="1:7" ht="12.75" customHeight="1" x14ac:dyDescent="0.3">
      <c r="A391" s="174">
        <v>44495</v>
      </c>
      <c r="B391" s="155">
        <v>1563.3</v>
      </c>
      <c r="C391" s="155">
        <f t="shared" si="12"/>
        <v>2.5720097106489107E-2</v>
      </c>
      <c r="E391" s="174">
        <v>44495</v>
      </c>
      <c r="F391" s="175">
        <v>18268.400390625</v>
      </c>
      <c r="G391" s="155">
        <f t="shared" si="13"/>
        <v>7.8894808897001737E-3</v>
      </c>
    </row>
    <row r="392" spans="1:7" ht="12.75" customHeight="1" x14ac:dyDescent="0.3">
      <c r="A392" s="174">
        <v>44496</v>
      </c>
      <c r="B392" s="155">
        <v>1567.85</v>
      </c>
      <c r="C392" s="155">
        <f t="shared" si="12"/>
        <v>2.910509818972657E-3</v>
      </c>
      <c r="E392" s="174">
        <v>44496</v>
      </c>
      <c r="F392" s="175">
        <v>18210.94921875</v>
      </c>
      <c r="G392" s="155">
        <f t="shared" si="13"/>
        <v>-3.144838663842887E-3</v>
      </c>
    </row>
    <row r="393" spans="1:7" ht="12.75" customHeight="1" x14ac:dyDescent="0.3">
      <c r="A393" s="174">
        <v>44497</v>
      </c>
      <c r="B393" s="155">
        <v>1533.3</v>
      </c>
      <c r="C393" s="155">
        <f t="shared" si="12"/>
        <v>-2.2036546863539213E-2</v>
      </c>
      <c r="E393" s="174">
        <v>44497</v>
      </c>
      <c r="F393" s="175">
        <v>17857.25</v>
      </c>
      <c r="G393" s="155">
        <f t="shared" si="13"/>
        <v>-1.942233842406365E-2</v>
      </c>
    </row>
    <row r="394" spans="1:7" ht="12.75" customHeight="1" x14ac:dyDescent="0.3">
      <c r="A394" s="174">
        <v>44498</v>
      </c>
      <c r="B394" s="155">
        <v>1477.85</v>
      </c>
      <c r="C394" s="155">
        <f t="shared" si="12"/>
        <v>-3.6163829648470647E-2</v>
      </c>
      <c r="E394" s="174">
        <v>44498</v>
      </c>
      <c r="F394" s="175">
        <v>17671.650390625</v>
      </c>
      <c r="G394" s="155">
        <f t="shared" si="13"/>
        <v>-1.0393515763905417E-2</v>
      </c>
    </row>
    <row r="395" spans="1:7" ht="12.75" customHeight="1" x14ac:dyDescent="0.3">
      <c r="A395" s="174">
        <v>44501</v>
      </c>
      <c r="B395" s="155">
        <v>1522.15</v>
      </c>
      <c r="C395" s="155">
        <f t="shared" si="12"/>
        <v>2.9975978617586482E-2</v>
      </c>
      <c r="E395" s="174">
        <v>44501</v>
      </c>
      <c r="F395" s="175">
        <v>17929.650390625</v>
      </c>
      <c r="G395" s="155">
        <f t="shared" si="13"/>
        <v>1.4599655057507915E-2</v>
      </c>
    </row>
    <row r="396" spans="1:7" ht="12.75" customHeight="1" x14ac:dyDescent="0.3">
      <c r="A396" s="174">
        <v>44502</v>
      </c>
      <c r="B396" s="155">
        <v>1490.6</v>
      </c>
      <c r="C396" s="155">
        <f t="shared" si="12"/>
        <v>-2.0727260782446001E-2</v>
      </c>
      <c r="E396" s="174">
        <v>44502</v>
      </c>
      <c r="F396" s="175">
        <v>17888.94921875</v>
      </c>
      <c r="G396" s="155">
        <f t="shared" si="13"/>
        <v>-2.2700482713417379E-3</v>
      </c>
    </row>
    <row r="397" spans="1:7" ht="12.75" customHeight="1" x14ac:dyDescent="0.3">
      <c r="A397" s="174">
        <v>44503</v>
      </c>
      <c r="B397" s="155">
        <v>1498.55</v>
      </c>
      <c r="C397" s="155">
        <f t="shared" si="12"/>
        <v>5.3334227827720685E-3</v>
      </c>
      <c r="E397" s="174">
        <v>44503</v>
      </c>
      <c r="F397" s="175">
        <v>17829.19921875</v>
      </c>
      <c r="G397" s="155">
        <f t="shared" si="13"/>
        <v>-3.3400508475575552E-3</v>
      </c>
    </row>
    <row r="398" spans="1:7" ht="12.75" customHeight="1" x14ac:dyDescent="0.3">
      <c r="A398" s="174">
        <v>44504</v>
      </c>
      <c r="B398" s="155">
        <v>1505.85</v>
      </c>
      <c r="C398" s="155">
        <f t="shared" si="12"/>
        <v>4.8713756631410064E-3</v>
      </c>
      <c r="E398" s="174">
        <v>44504</v>
      </c>
      <c r="F398" s="175">
        <v>17916.80078125</v>
      </c>
      <c r="G398" s="155">
        <f t="shared" si="13"/>
        <v>4.9133761659847404E-3</v>
      </c>
    </row>
    <row r="399" spans="1:7" ht="12.75" customHeight="1" x14ac:dyDescent="0.3">
      <c r="A399" s="174">
        <v>44508</v>
      </c>
      <c r="B399" s="155">
        <v>1556.2</v>
      </c>
      <c r="C399" s="155">
        <f t="shared" si="12"/>
        <v>3.3436265232260939E-2</v>
      </c>
      <c r="E399" s="174">
        <v>44508</v>
      </c>
      <c r="F399" s="175">
        <v>18068.55078125</v>
      </c>
      <c r="G399" s="155">
        <f t="shared" si="13"/>
        <v>8.4697040421863115E-3</v>
      </c>
    </row>
    <row r="400" spans="1:7" ht="12.75" customHeight="1" x14ac:dyDescent="0.3">
      <c r="A400" s="174">
        <v>44509</v>
      </c>
      <c r="B400" s="155">
        <v>1559.2</v>
      </c>
      <c r="C400" s="155">
        <f t="shared" si="12"/>
        <v>1.9277727798483486E-3</v>
      </c>
      <c r="E400" s="174">
        <v>44509</v>
      </c>
      <c r="F400" s="175">
        <v>18044.25</v>
      </c>
      <c r="G400" s="155">
        <f t="shared" si="13"/>
        <v>-1.3449214352717915E-3</v>
      </c>
    </row>
    <row r="401" spans="1:7" ht="12.75" customHeight="1" x14ac:dyDescent="0.3">
      <c r="A401" s="174">
        <v>44510</v>
      </c>
      <c r="B401" s="155">
        <v>1566.6</v>
      </c>
      <c r="C401" s="155">
        <f t="shared" si="12"/>
        <v>4.7460236018470135E-3</v>
      </c>
      <c r="E401" s="174">
        <v>44510</v>
      </c>
      <c r="F401" s="175">
        <v>18017.19921875</v>
      </c>
      <c r="G401" s="155">
        <f t="shared" si="13"/>
        <v>-1.499135805034845E-3</v>
      </c>
    </row>
    <row r="402" spans="1:7" ht="12.75" customHeight="1" x14ac:dyDescent="0.3">
      <c r="A402" s="174">
        <v>44511</v>
      </c>
      <c r="B402" s="155">
        <v>1521.95</v>
      </c>
      <c r="C402" s="155">
        <f t="shared" si="12"/>
        <v>-2.850121281756662E-2</v>
      </c>
      <c r="E402" s="174">
        <v>44511</v>
      </c>
      <c r="F402" s="175">
        <v>17873.599609375</v>
      </c>
      <c r="G402" s="155">
        <f t="shared" si="13"/>
        <v>-7.970140510271978E-3</v>
      </c>
    </row>
    <row r="403" spans="1:7" ht="12.75" customHeight="1" x14ac:dyDescent="0.3">
      <c r="A403" s="174">
        <v>44512</v>
      </c>
      <c r="B403" s="155">
        <v>1585</v>
      </c>
      <c r="C403" s="155">
        <f t="shared" si="12"/>
        <v>4.1427116528138214E-2</v>
      </c>
      <c r="E403" s="174">
        <v>44512</v>
      </c>
      <c r="F403" s="175">
        <v>18102.75</v>
      </c>
      <c r="G403" s="155">
        <f t="shared" si="13"/>
        <v>1.2820606684330492E-2</v>
      </c>
    </row>
    <row r="404" spans="1:7" ht="12.75" customHeight="1" x14ac:dyDescent="0.3">
      <c r="A404" s="174">
        <v>44515</v>
      </c>
      <c r="B404" s="155">
        <v>1579.15</v>
      </c>
      <c r="C404" s="155">
        <f t="shared" si="12"/>
        <v>-3.6908517350157156E-3</v>
      </c>
      <c r="E404" s="174">
        <v>44515</v>
      </c>
      <c r="F404" s="175">
        <v>18109.44921875</v>
      </c>
      <c r="G404" s="155">
        <f t="shared" si="13"/>
        <v>3.7006635732140142E-4</v>
      </c>
    </row>
    <row r="405" spans="1:7" ht="12.75" customHeight="1" x14ac:dyDescent="0.3">
      <c r="A405" s="174">
        <v>44516</v>
      </c>
      <c r="B405" s="155">
        <v>1599.9</v>
      </c>
      <c r="C405" s="155">
        <f t="shared" si="12"/>
        <v>1.3139980369185953E-2</v>
      </c>
      <c r="E405" s="174">
        <v>44516</v>
      </c>
      <c r="F405" s="175">
        <v>17999.19921875</v>
      </c>
      <c r="G405" s="155">
        <f t="shared" si="13"/>
        <v>-6.0879819517564533E-3</v>
      </c>
    </row>
    <row r="406" spans="1:7" ht="12.75" customHeight="1" x14ac:dyDescent="0.3">
      <c r="A406" s="174">
        <v>44517</v>
      </c>
      <c r="B406" s="155">
        <v>1618.45</v>
      </c>
      <c r="C406" s="155">
        <f t="shared" si="12"/>
        <v>1.1594474654665888E-2</v>
      </c>
      <c r="E406" s="174">
        <v>44517</v>
      </c>
      <c r="F406" s="175">
        <v>17898.650390625</v>
      </c>
      <c r="G406" s="155">
        <f t="shared" si="13"/>
        <v>-5.5862945291619958E-3</v>
      </c>
    </row>
    <row r="407" spans="1:7" ht="12.75" customHeight="1" x14ac:dyDescent="0.3">
      <c r="A407" s="174">
        <v>44518</v>
      </c>
      <c r="B407" s="155">
        <v>1567.75</v>
      </c>
      <c r="C407" s="155">
        <f t="shared" si="12"/>
        <v>-3.1326268961043E-2</v>
      </c>
      <c r="E407" s="174">
        <v>44518</v>
      </c>
      <c r="F407" s="175">
        <v>17764.80078125</v>
      </c>
      <c r="G407" s="155">
        <f t="shared" si="13"/>
        <v>-7.4781956434608098E-3</v>
      </c>
    </row>
    <row r="408" spans="1:7" ht="12.75" customHeight="1" x14ac:dyDescent="0.3">
      <c r="A408" s="174">
        <v>44522</v>
      </c>
      <c r="B408" s="155">
        <v>1541.3</v>
      </c>
      <c r="C408" s="155">
        <f t="shared" si="12"/>
        <v>-1.687131239036839E-2</v>
      </c>
      <c r="E408" s="174">
        <v>44522</v>
      </c>
      <c r="F408" s="175">
        <v>17416.55078125</v>
      </c>
      <c r="G408" s="155">
        <f t="shared" si="13"/>
        <v>-1.96033721001568E-2</v>
      </c>
    </row>
    <row r="409" spans="1:7" ht="12.75" customHeight="1" x14ac:dyDescent="0.3">
      <c r="A409" s="174">
        <v>44523</v>
      </c>
      <c r="B409" s="155">
        <v>1560.55</v>
      </c>
      <c r="C409" s="155">
        <f t="shared" si="12"/>
        <v>1.2489456951923701E-2</v>
      </c>
      <c r="E409" s="174">
        <v>44523</v>
      </c>
      <c r="F409" s="175">
        <v>17503.349609375</v>
      </c>
      <c r="G409" s="155">
        <f t="shared" si="13"/>
        <v>4.9836979327987458E-3</v>
      </c>
    </row>
    <row r="410" spans="1:7" ht="12.75" customHeight="1" x14ac:dyDescent="0.3">
      <c r="A410" s="174">
        <v>44524</v>
      </c>
      <c r="B410" s="155">
        <v>1538.1</v>
      </c>
      <c r="C410" s="155">
        <f t="shared" si="12"/>
        <v>-1.4385953670180415E-2</v>
      </c>
      <c r="E410" s="174">
        <v>44524</v>
      </c>
      <c r="F410" s="175">
        <v>17415.05078125</v>
      </c>
      <c r="G410" s="155">
        <f t="shared" si="13"/>
        <v>-5.0446817378146927E-3</v>
      </c>
    </row>
    <row r="411" spans="1:7" ht="12.75" customHeight="1" x14ac:dyDescent="0.3">
      <c r="A411" s="174">
        <v>44525</v>
      </c>
      <c r="B411" s="155">
        <v>1559.35</v>
      </c>
      <c r="C411" s="155">
        <f t="shared" si="12"/>
        <v>1.3815746700474613E-2</v>
      </c>
      <c r="E411" s="174">
        <v>44525</v>
      </c>
      <c r="F411" s="175">
        <v>17536.25</v>
      </c>
      <c r="G411" s="155">
        <f t="shared" si="13"/>
        <v>6.9594525030320176E-3</v>
      </c>
    </row>
    <row r="412" spans="1:7" ht="12.75" customHeight="1" x14ac:dyDescent="0.3">
      <c r="A412" s="174">
        <v>44526</v>
      </c>
      <c r="B412" s="155">
        <v>1527.4</v>
      </c>
      <c r="C412" s="155">
        <f t="shared" si="12"/>
        <v>-2.0489306441786526E-2</v>
      </c>
      <c r="E412" s="174">
        <v>44526</v>
      </c>
      <c r="F412" s="175">
        <v>17026.44921875</v>
      </c>
      <c r="G412" s="155">
        <f t="shared" si="13"/>
        <v>-2.9071254187753939E-2</v>
      </c>
    </row>
    <row r="413" spans="1:7" ht="12.75" customHeight="1" x14ac:dyDescent="0.3">
      <c r="A413" s="174">
        <v>44529</v>
      </c>
      <c r="B413" s="155">
        <v>1536.65</v>
      </c>
      <c r="C413" s="155">
        <f t="shared" si="12"/>
        <v>6.0560429488018853E-3</v>
      </c>
      <c r="E413" s="174">
        <v>44529</v>
      </c>
      <c r="F413" s="175">
        <v>17053.94921875</v>
      </c>
      <c r="G413" s="155">
        <f t="shared" si="13"/>
        <v>1.615134174289037E-3</v>
      </c>
    </row>
    <row r="414" spans="1:7" ht="12.75" customHeight="1" x14ac:dyDescent="0.3">
      <c r="A414" s="174">
        <v>44530</v>
      </c>
      <c r="B414" s="155">
        <v>1541.45</v>
      </c>
      <c r="C414" s="155">
        <f t="shared" si="12"/>
        <v>3.1236781309992218E-3</v>
      </c>
      <c r="E414" s="174">
        <v>44530</v>
      </c>
      <c r="F414" s="175">
        <v>16983.19921875</v>
      </c>
      <c r="G414" s="155">
        <f t="shared" si="13"/>
        <v>-4.1485991949720222E-3</v>
      </c>
    </row>
    <row r="415" spans="1:7" ht="12.75" customHeight="1" x14ac:dyDescent="0.3">
      <c r="A415" s="174">
        <v>44531</v>
      </c>
      <c r="B415" s="155">
        <v>1587.6</v>
      </c>
      <c r="C415" s="155">
        <f t="shared" si="12"/>
        <v>2.9939342826559318E-2</v>
      </c>
      <c r="E415" s="174">
        <v>44531</v>
      </c>
      <c r="F415" s="175">
        <v>17166.900390625</v>
      </c>
      <c r="G415" s="155">
        <f t="shared" si="13"/>
        <v>1.0816641170421411E-2</v>
      </c>
    </row>
    <row r="416" spans="1:7" ht="12.75" customHeight="1" x14ac:dyDescent="0.3">
      <c r="A416" s="174">
        <v>44532</v>
      </c>
      <c r="B416" s="155">
        <v>1629.65</v>
      </c>
      <c r="C416" s="155">
        <f t="shared" si="12"/>
        <v>2.6486520534139697E-2</v>
      </c>
      <c r="E416" s="174">
        <v>44532</v>
      </c>
      <c r="F416" s="175">
        <v>17401.650390625</v>
      </c>
      <c r="G416" s="155">
        <f t="shared" si="13"/>
        <v>1.3674571102433792E-2</v>
      </c>
    </row>
    <row r="417" spans="1:7" ht="12.75" customHeight="1" x14ac:dyDescent="0.3">
      <c r="A417" s="174">
        <v>44533</v>
      </c>
      <c r="B417" s="155">
        <v>1593.3</v>
      </c>
      <c r="C417" s="155">
        <f t="shared" si="12"/>
        <v>-2.2305403000644392E-2</v>
      </c>
      <c r="E417" s="174">
        <v>44533</v>
      </c>
      <c r="F417" s="175">
        <v>17196.69921875</v>
      </c>
      <c r="G417" s="155">
        <f t="shared" si="13"/>
        <v>-1.1777685867394267E-2</v>
      </c>
    </row>
    <row r="418" spans="1:7" ht="12.75" customHeight="1" x14ac:dyDescent="0.3">
      <c r="A418" s="174">
        <v>44536</v>
      </c>
      <c r="B418" s="155">
        <v>1551.75</v>
      </c>
      <c r="C418" s="155">
        <f t="shared" si="12"/>
        <v>-2.607795142157783E-2</v>
      </c>
      <c r="E418" s="174">
        <v>44536</v>
      </c>
      <c r="F418" s="175">
        <v>16912.25</v>
      </c>
      <c r="G418" s="155">
        <f t="shared" si="13"/>
        <v>-1.6540919575999662E-2</v>
      </c>
    </row>
    <row r="419" spans="1:7" ht="12.75" customHeight="1" x14ac:dyDescent="0.3">
      <c r="A419" s="174">
        <v>44537</v>
      </c>
      <c r="B419" s="155">
        <v>1576.65</v>
      </c>
      <c r="C419" s="155">
        <f t="shared" si="12"/>
        <v>1.6046399226679615E-2</v>
      </c>
      <c r="E419" s="174">
        <v>44537</v>
      </c>
      <c r="F419" s="175">
        <v>17176.69921875</v>
      </c>
      <c r="G419" s="155">
        <f t="shared" si="13"/>
        <v>1.5636548581649395E-2</v>
      </c>
    </row>
    <row r="420" spans="1:7" ht="12.75" customHeight="1" x14ac:dyDescent="0.3">
      <c r="A420" s="174">
        <v>44538</v>
      </c>
      <c r="B420" s="155">
        <v>1604.8</v>
      </c>
      <c r="C420" s="155">
        <f t="shared" si="12"/>
        <v>1.7854311356356744E-2</v>
      </c>
      <c r="E420" s="174">
        <v>44538</v>
      </c>
      <c r="F420" s="175">
        <v>17469.75</v>
      </c>
      <c r="G420" s="155">
        <f t="shared" si="13"/>
        <v>1.7060948527881727E-2</v>
      </c>
    </row>
    <row r="421" spans="1:7" ht="12.75" customHeight="1" x14ac:dyDescent="0.3">
      <c r="A421" s="174">
        <v>44539</v>
      </c>
      <c r="B421" s="155">
        <v>1611.2</v>
      </c>
      <c r="C421" s="155">
        <f t="shared" si="12"/>
        <v>3.9880358923230878E-3</v>
      </c>
      <c r="E421" s="174">
        <v>44539</v>
      </c>
      <c r="F421" s="175">
        <v>17516.849609375</v>
      </c>
      <c r="G421" s="155">
        <f t="shared" si="13"/>
        <v>2.6960665936833668E-3</v>
      </c>
    </row>
    <row r="422" spans="1:7" ht="12.75" customHeight="1" x14ac:dyDescent="0.3">
      <c r="A422" s="174">
        <v>44540</v>
      </c>
      <c r="B422" s="155">
        <v>1602.65</v>
      </c>
      <c r="C422" s="155">
        <f t="shared" si="12"/>
        <v>-5.3066037735848776E-3</v>
      </c>
      <c r="E422" s="174">
        <v>44540</v>
      </c>
      <c r="F422" s="175">
        <v>17511.30078125</v>
      </c>
      <c r="G422" s="155">
        <f t="shared" si="13"/>
        <v>-3.1677089480920548E-4</v>
      </c>
    </row>
    <row r="423" spans="1:7" ht="12.75" customHeight="1" x14ac:dyDescent="0.3">
      <c r="A423" s="174">
        <v>44543</v>
      </c>
      <c r="B423" s="155">
        <v>1638.15</v>
      </c>
      <c r="C423" s="155">
        <f t="shared" si="12"/>
        <v>2.2150812716438397E-2</v>
      </c>
      <c r="E423" s="174">
        <v>44543</v>
      </c>
      <c r="F423" s="175">
        <v>17368.25</v>
      </c>
      <c r="G423" s="155">
        <f t="shared" si="13"/>
        <v>-8.1690551168631508E-3</v>
      </c>
    </row>
    <row r="424" spans="1:7" ht="12.75" customHeight="1" x14ac:dyDescent="0.3">
      <c r="A424" s="174">
        <v>44544</v>
      </c>
      <c r="B424" s="155">
        <v>1642.7</v>
      </c>
      <c r="C424" s="155">
        <f t="shared" si="12"/>
        <v>2.7775234258156788E-3</v>
      </c>
      <c r="E424" s="174">
        <v>44544</v>
      </c>
      <c r="F424" s="175">
        <v>17324.900390625</v>
      </c>
      <c r="G424" s="155">
        <f t="shared" si="13"/>
        <v>-2.4959111813222402E-3</v>
      </c>
    </row>
    <row r="425" spans="1:7" ht="12.75" customHeight="1" x14ac:dyDescent="0.3">
      <c r="A425" s="174">
        <v>44545</v>
      </c>
      <c r="B425" s="155">
        <v>1641.6</v>
      </c>
      <c r="C425" s="155">
        <f t="shared" si="12"/>
        <v>-6.6962926888667219E-4</v>
      </c>
      <c r="E425" s="174">
        <v>44545</v>
      </c>
      <c r="F425" s="175">
        <v>17221.400390625</v>
      </c>
      <c r="G425" s="155">
        <f t="shared" si="13"/>
        <v>-5.9740603216401067E-3</v>
      </c>
    </row>
    <row r="426" spans="1:7" ht="12.75" customHeight="1" x14ac:dyDescent="0.3">
      <c r="A426" s="174">
        <v>44546</v>
      </c>
      <c r="B426" s="155">
        <v>1652.65</v>
      </c>
      <c r="C426" s="155">
        <f t="shared" si="12"/>
        <v>6.7312378167642441E-3</v>
      </c>
      <c r="E426" s="174">
        <v>44546</v>
      </c>
      <c r="F426" s="175">
        <v>17248.400390625</v>
      </c>
      <c r="G426" s="155">
        <f t="shared" si="13"/>
        <v>1.5678167505296654E-3</v>
      </c>
    </row>
    <row r="427" spans="1:7" ht="12.75" customHeight="1" x14ac:dyDescent="0.3">
      <c r="A427" s="174">
        <v>44547</v>
      </c>
      <c r="B427" s="155">
        <v>1642.85</v>
      </c>
      <c r="C427" s="155">
        <f t="shared" si="12"/>
        <v>-5.9298702084532003E-3</v>
      </c>
      <c r="E427" s="174">
        <v>44547</v>
      </c>
      <c r="F427" s="175">
        <v>16985.19921875</v>
      </c>
      <c r="G427" s="155">
        <f t="shared" si="13"/>
        <v>-1.525945397337004E-2</v>
      </c>
    </row>
    <row r="428" spans="1:7" ht="12.75" customHeight="1" x14ac:dyDescent="0.3">
      <c r="A428" s="174">
        <v>44550</v>
      </c>
      <c r="B428" s="155">
        <v>1598.05</v>
      </c>
      <c r="C428" s="155">
        <f t="shared" si="12"/>
        <v>-2.7269683781233806E-2</v>
      </c>
      <c r="E428" s="174">
        <v>44550</v>
      </c>
      <c r="F428" s="175">
        <v>16614.19921875</v>
      </c>
      <c r="G428" s="155">
        <f t="shared" si="13"/>
        <v>-2.1842546279377886E-2</v>
      </c>
    </row>
    <row r="429" spans="1:7" ht="12.75" customHeight="1" x14ac:dyDescent="0.3">
      <c r="A429" s="174">
        <v>44551</v>
      </c>
      <c r="B429" s="155">
        <v>1632.95</v>
      </c>
      <c r="C429" s="155">
        <f t="shared" si="12"/>
        <v>2.1839116423140761E-2</v>
      </c>
      <c r="E429" s="174">
        <v>44551</v>
      </c>
      <c r="F429" s="175">
        <v>16770.849609375</v>
      </c>
      <c r="G429" s="155">
        <f t="shared" si="13"/>
        <v>9.4287054442089378E-3</v>
      </c>
    </row>
    <row r="430" spans="1:7" ht="12.75" customHeight="1" x14ac:dyDescent="0.3">
      <c r="A430" s="174">
        <v>44552</v>
      </c>
      <c r="B430" s="155">
        <v>1659.75</v>
      </c>
      <c r="C430" s="155">
        <f t="shared" si="12"/>
        <v>1.6412015064760067E-2</v>
      </c>
      <c r="E430" s="174">
        <v>44552</v>
      </c>
      <c r="F430" s="175">
        <v>16955.44921875</v>
      </c>
      <c r="G430" s="155">
        <f t="shared" si="13"/>
        <v>1.1007170994593368E-2</v>
      </c>
    </row>
    <row r="431" spans="1:7" ht="12.75" customHeight="1" x14ac:dyDescent="0.3">
      <c r="A431" s="174">
        <v>44553</v>
      </c>
      <c r="B431" s="155">
        <v>1683.8</v>
      </c>
      <c r="C431" s="155">
        <f t="shared" si="12"/>
        <v>1.4490134056333757E-2</v>
      </c>
      <c r="E431" s="174">
        <v>44553</v>
      </c>
      <c r="F431" s="175">
        <v>17072.599609375</v>
      </c>
      <c r="G431" s="155">
        <f t="shared" si="13"/>
        <v>6.9093062126275315E-3</v>
      </c>
    </row>
    <row r="432" spans="1:7" ht="12.75" customHeight="1" x14ac:dyDescent="0.3">
      <c r="A432" s="174">
        <v>44554</v>
      </c>
      <c r="B432" s="155">
        <v>1723.8</v>
      </c>
      <c r="C432" s="155">
        <f t="shared" si="12"/>
        <v>2.3755790473928021E-2</v>
      </c>
      <c r="E432" s="174">
        <v>44554</v>
      </c>
      <c r="F432" s="175">
        <v>17003.75</v>
      </c>
      <c r="G432" s="155">
        <f t="shared" si="13"/>
        <v>-4.0327548791803756E-3</v>
      </c>
    </row>
    <row r="433" spans="1:7" ht="12.75" customHeight="1" x14ac:dyDescent="0.3">
      <c r="A433" s="174">
        <v>44557</v>
      </c>
      <c r="B433" s="155">
        <v>1785</v>
      </c>
      <c r="C433" s="155">
        <f t="shared" si="12"/>
        <v>3.5502958579881685E-2</v>
      </c>
      <c r="E433" s="174">
        <v>44557</v>
      </c>
      <c r="F433" s="175">
        <v>17086.25</v>
      </c>
      <c r="G433" s="155">
        <f t="shared" si="13"/>
        <v>4.8518709108284937E-3</v>
      </c>
    </row>
    <row r="434" spans="1:7" ht="12.75" customHeight="1" x14ac:dyDescent="0.3">
      <c r="A434" s="174">
        <v>44558</v>
      </c>
      <c r="B434" s="155">
        <v>1806.1</v>
      </c>
      <c r="C434" s="155">
        <f t="shared" si="12"/>
        <v>1.1820728291316475E-2</v>
      </c>
      <c r="E434" s="174">
        <v>44558</v>
      </c>
      <c r="F434" s="175">
        <v>17233.25</v>
      </c>
      <c r="G434" s="155">
        <f t="shared" si="13"/>
        <v>8.6034091740434561E-3</v>
      </c>
    </row>
    <row r="435" spans="1:7" ht="12.75" customHeight="1" x14ac:dyDescent="0.3">
      <c r="A435" s="174">
        <v>44559</v>
      </c>
      <c r="B435" s="155">
        <v>1786.85</v>
      </c>
      <c r="C435" s="155">
        <f t="shared" si="12"/>
        <v>-1.0658324566746027E-2</v>
      </c>
      <c r="E435" s="174">
        <v>44559</v>
      </c>
      <c r="F435" s="175">
        <v>17213.599609375</v>
      </c>
      <c r="G435" s="155">
        <f t="shared" si="13"/>
        <v>-1.1402602889762524E-3</v>
      </c>
    </row>
    <row r="436" spans="1:7" ht="12.75" customHeight="1" x14ac:dyDescent="0.3">
      <c r="A436" s="174">
        <v>44560</v>
      </c>
      <c r="B436" s="155">
        <v>1799.95</v>
      </c>
      <c r="C436" s="155">
        <f t="shared" si="12"/>
        <v>7.331337269496677E-3</v>
      </c>
      <c r="E436" s="174">
        <v>44560</v>
      </c>
      <c r="F436" s="175">
        <v>17203.94921875</v>
      </c>
      <c r="G436" s="155">
        <f t="shared" si="13"/>
        <v>-5.606259494814862E-4</v>
      </c>
    </row>
    <row r="437" spans="1:7" ht="12.75" customHeight="1" x14ac:dyDescent="0.3">
      <c r="A437" s="174">
        <v>44561</v>
      </c>
      <c r="B437" s="155">
        <v>1790.55</v>
      </c>
      <c r="C437" s="155">
        <f t="shared" si="12"/>
        <v>-5.2223672879802719E-3</v>
      </c>
      <c r="E437" s="174">
        <v>44561</v>
      </c>
      <c r="F437" s="175">
        <v>17354.05078125</v>
      </c>
      <c r="G437" s="155">
        <f t="shared" si="13"/>
        <v>8.7248317576065267E-3</v>
      </c>
    </row>
    <row r="438" spans="1:7" ht="12.75" customHeight="1" x14ac:dyDescent="0.3">
      <c r="A438" s="174">
        <v>44564</v>
      </c>
      <c r="B438" s="155">
        <v>1784.8</v>
      </c>
      <c r="C438" s="155">
        <f t="shared" si="12"/>
        <v>-3.2113037893384713E-3</v>
      </c>
      <c r="E438" s="174">
        <v>44564</v>
      </c>
      <c r="F438" s="175">
        <v>17625.69921875</v>
      </c>
      <c r="G438" s="155">
        <f t="shared" si="13"/>
        <v>1.565331581220793E-2</v>
      </c>
    </row>
    <row r="439" spans="1:7" ht="12.75" customHeight="1" x14ac:dyDescent="0.3">
      <c r="A439" s="174">
        <v>44565</v>
      </c>
      <c r="B439" s="155">
        <v>1789.8</v>
      </c>
      <c r="C439" s="155">
        <f t="shared" si="12"/>
        <v>2.8014343343792021E-3</v>
      </c>
      <c r="E439" s="174">
        <v>44565</v>
      </c>
      <c r="F439" s="175">
        <v>17805.25</v>
      </c>
      <c r="G439" s="155">
        <f t="shared" si="13"/>
        <v>1.0186874235264159E-2</v>
      </c>
    </row>
    <row r="440" spans="1:7" ht="12.75" customHeight="1" x14ac:dyDescent="0.3">
      <c r="A440" s="174">
        <v>44566</v>
      </c>
      <c r="B440" s="155">
        <v>1737.55</v>
      </c>
      <c r="C440" s="155">
        <f t="shared" si="12"/>
        <v>-2.9193205944798302E-2</v>
      </c>
      <c r="E440" s="174">
        <v>44566</v>
      </c>
      <c r="F440" s="175">
        <v>17925.25</v>
      </c>
      <c r="G440" s="155">
        <f t="shared" si="13"/>
        <v>6.7395852346920151E-3</v>
      </c>
    </row>
    <row r="441" spans="1:7" ht="12.75" customHeight="1" x14ac:dyDescent="0.3">
      <c r="A441" s="174">
        <v>44567</v>
      </c>
      <c r="B441" s="155">
        <v>1692.1</v>
      </c>
      <c r="C441" s="155">
        <f t="shared" si="12"/>
        <v>-2.6157520646887887E-2</v>
      </c>
      <c r="E441" s="174">
        <v>44567</v>
      </c>
      <c r="F441" s="175">
        <v>17745.900390625</v>
      </c>
      <c r="G441" s="155">
        <f t="shared" si="13"/>
        <v>-1.0005417462796892E-2</v>
      </c>
    </row>
    <row r="442" spans="1:7" ht="12.75" customHeight="1" x14ac:dyDescent="0.3">
      <c r="A442" s="174">
        <v>44568</v>
      </c>
      <c r="B442" s="155">
        <v>1703.85</v>
      </c>
      <c r="C442" s="155">
        <f t="shared" si="12"/>
        <v>6.9440340405413394E-3</v>
      </c>
      <c r="E442" s="174">
        <v>44568</v>
      </c>
      <c r="F442" s="175">
        <v>17812.69921875</v>
      </c>
      <c r="G442" s="155">
        <f t="shared" si="13"/>
        <v>3.7641836511315718E-3</v>
      </c>
    </row>
    <row r="443" spans="1:7" ht="12.75" customHeight="1" x14ac:dyDescent="0.3">
      <c r="A443" s="174">
        <v>44571</v>
      </c>
      <c r="B443" s="155">
        <v>1716</v>
      </c>
      <c r="C443" s="155">
        <f t="shared" si="12"/>
        <v>7.1309094110397582E-3</v>
      </c>
      <c r="E443" s="174">
        <v>44571</v>
      </c>
      <c r="F443" s="175">
        <v>18003.30078125</v>
      </c>
      <c r="G443" s="155">
        <f t="shared" si="13"/>
        <v>1.0700318921871708E-2</v>
      </c>
    </row>
    <row r="444" spans="1:7" ht="12.75" customHeight="1" x14ac:dyDescent="0.3">
      <c r="A444" s="174">
        <v>44572</v>
      </c>
      <c r="B444" s="155">
        <v>1737.15</v>
      </c>
      <c r="C444" s="155">
        <f t="shared" si="12"/>
        <v>1.2325174825174878E-2</v>
      </c>
      <c r="E444" s="174">
        <v>44572</v>
      </c>
      <c r="F444" s="175">
        <v>18055.75</v>
      </c>
      <c r="G444" s="155">
        <f t="shared" si="13"/>
        <v>2.9133112526023332E-3</v>
      </c>
    </row>
    <row r="445" spans="1:7" ht="12.75" customHeight="1" x14ac:dyDescent="0.3">
      <c r="A445" s="174">
        <v>44573</v>
      </c>
      <c r="B445" s="155">
        <v>1730.45</v>
      </c>
      <c r="C445" s="155">
        <f t="shared" si="12"/>
        <v>-3.8568920358058E-3</v>
      </c>
      <c r="E445" s="174">
        <v>44573</v>
      </c>
      <c r="F445" s="175">
        <v>18212.349609375</v>
      </c>
      <c r="G445" s="155">
        <f t="shared" si="13"/>
        <v>8.6731157318305808E-3</v>
      </c>
    </row>
    <row r="446" spans="1:7" ht="12.75" customHeight="1" x14ac:dyDescent="0.3">
      <c r="A446" s="174">
        <v>44574</v>
      </c>
      <c r="B446" s="155">
        <v>1718.8</v>
      </c>
      <c r="C446" s="155">
        <f t="shared" si="12"/>
        <v>-6.732352856193528E-3</v>
      </c>
      <c r="E446" s="174">
        <v>44574</v>
      </c>
      <c r="F446" s="175">
        <v>18257.80078125</v>
      </c>
      <c r="G446" s="155">
        <f t="shared" si="13"/>
        <v>2.495623730592319E-3</v>
      </c>
    </row>
    <row r="447" spans="1:7" ht="12.75" customHeight="1" x14ac:dyDescent="0.3">
      <c r="A447" s="174">
        <v>44575</v>
      </c>
      <c r="B447" s="155">
        <v>1737.75</v>
      </c>
      <c r="C447" s="155">
        <f t="shared" si="12"/>
        <v>1.1025133814289066E-2</v>
      </c>
      <c r="E447" s="174">
        <v>44575</v>
      </c>
      <c r="F447" s="175">
        <v>18255.75</v>
      </c>
      <c r="G447" s="155">
        <f t="shared" si="13"/>
        <v>-1.1232356375068276E-4</v>
      </c>
    </row>
    <row r="448" spans="1:7" ht="12.75" customHeight="1" x14ac:dyDescent="0.3">
      <c r="A448" s="174">
        <v>44578</v>
      </c>
      <c r="B448" s="155">
        <v>1722.4</v>
      </c>
      <c r="C448" s="155">
        <f t="shared" si="12"/>
        <v>-8.8332614012371791E-3</v>
      </c>
      <c r="E448" s="174">
        <v>44578</v>
      </c>
      <c r="F448" s="175">
        <v>18308.099609375</v>
      </c>
      <c r="G448" s="155">
        <f t="shared" si="13"/>
        <v>2.867568266162716E-3</v>
      </c>
    </row>
    <row r="449" spans="1:7" ht="12.75" customHeight="1" x14ac:dyDescent="0.3">
      <c r="A449" s="174">
        <v>44579</v>
      </c>
      <c r="B449" s="155">
        <v>1660.75</v>
      </c>
      <c r="C449" s="155">
        <f t="shared" si="12"/>
        <v>-3.5793079424059501E-2</v>
      </c>
      <c r="E449" s="174">
        <v>44579</v>
      </c>
      <c r="F449" s="175">
        <v>18113.05078125</v>
      </c>
      <c r="G449" s="155">
        <f t="shared" si="13"/>
        <v>-1.0653690567923372E-2</v>
      </c>
    </row>
    <row r="450" spans="1:7" ht="12.75" customHeight="1" x14ac:dyDescent="0.3">
      <c r="A450" s="174">
        <v>44580</v>
      </c>
      <c r="B450" s="155">
        <v>1670.1</v>
      </c>
      <c r="C450" s="155">
        <f t="shared" si="12"/>
        <v>5.629986451904205E-3</v>
      </c>
      <c r="E450" s="174">
        <v>44580</v>
      </c>
      <c r="F450" s="175">
        <v>17938.400390625</v>
      </c>
      <c r="G450" s="155">
        <f t="shared" si="13"/>
        <v>-9.642240433941256E-3</v>
      </c>
    </row>
    <row r="451" spans="1:7" ht="12.75" customHeight="1" x14ac:dyDescent="0.3">
      <c r="A451" s="174">
        <v>44581</v>
      </c>
      <c r="B451" s="155">
        <v>1666.9</v>
      </c>
      <c r="C451" s="155">
        <f t="shared" si="12"/>
        <v>-1.916052930962109E-3</v>
      </c>
      <c r="E451" s="174">
        <v>44581</v>
      </c>
      <c r="F451" s="175">
        <v>17757</v>
      </c>
      <c r="G451" s="155">
        <f t="shared" si="13"/>
        <v>-1.0112406160797024E-2</v>
      </c>
    </row>
    <row r="452" spans="1:7" ht="12.75" customHeight="1" x14ac:dyDescent="0.3">
      <c r="A452" s="174">
        <v>44582</v>
      </c>
      <c r="B452" s="155">
        <v>1593.55</v>
      </c>
      <c r="C452" s="155">
        <f t="shared" ref="C452:C515" si="14">(B452-B451)/B451</f>
        <v>-4.4003839462475332E-2</v>
      </c>
      <c r="E452" s="174">
        <v>44582</v>
      </c>
      <c r="F452" s="175">
        <v>17617.150390625</v>
      </c>
      <c r="G452" s="155">
        <f t="shared" ref="G452:G515" si="15">(F452-F451)/F451</f>
        <v>-7.875745304668582E-3</v>
      </c>
    </row>
    <row r="453" spans="1:7" ht="12.75" customHeight="1" x14ac:dyDescent="0.3">
      <c r="A453" s="174">
        <v>44585</v>
      </c>
      <c r="B453" s="155">
        <v>1513.15</v>
      </c>
      <c r="C453" s="155">
        <f t="shared" si="14"/>
        <v>-5.045339022936203E-2</v>
      </c>
      <c r="E453" s="174">
        <v>44585</v>
      </c>
      <c r="F453" s="175">
        <v>17149.099609375</v>
      </c>
      <c r="G453" s="155">
        <f t="shared" si="15"/>
        <v>-2.6567905187383431E-2</v>
      </c>
    </row>
    <row r="454" spans="1:7" ht="12.75" customHeight="1" x14ac:dyDescent="0.3">
      <c r="A454" s="174">
        <v>44586</v>
      </c>
      <c r="B454" s="155">
        <v>1500.6</v>
      </c>
      <c r="C454" s="155">
        <f t="shared" si="14"/>
        <v>-8.2939563162939441E-3</v>
      </c>
      <c r="E454" s="174">
        <v>44586</v>
      </c>
      <c r="F454" s="175">
        <v>17277.94921875</v>
      </c>
      <c r="G454" s="155">
        <f t="shared" si="15"/>
        <v>7.5134912216942877E-3</v>
      </c>
    </row>
    <row r="455" spans="1:7" ht="12.75" customHeight="1" x14ac:dyDescent="0.3">
      <c r="A455" s="174">
        <v>44588</v>
      </c>
      <c r="B455" s="155">
        <v>1445.6</v>
      </c>
      <c r="C455" s="155">
        <f t="shared" si="14"/>
        <v>-3.6652005864320943E-2</v>
      </c>
      <c r="E455" s="174">
        <v>44588</v>
      </c>
      <c r="F455" s="175">
        <v>17110.150390625</v>
      </c>
      <c r="G455" s="155">
        <f t="shared" si="15"/>
        <v>-9.7117329146276816E-3</v>
      </c>
    </row>
    <row r="456" spans="1:7" ht="12.75" customHeight="1" x14ac:dyDescent="0.3">
      <c r="A456" s="174">
        <v>44589</v>
      </c>
      <c r="B456" s="155">
        <v>1410.65</v>
      </c>
      <c r="C456" s="155">
        <f t="shared" si="14"/>
        <v>-2.4176812396236733E-2</v>
      </c>
      <c r="E456" s="174">
        <v>44589</v>
      </c>
      <c r="F456" s="175">
        <v>17101.94921875</v>
      </c>
      <c r="G456" s="155">
        <f t="shared" si="15"/>
        <v>-4.7931617710932507E-4</v>
      </c>
    </row>
    <row r="457" spans="1:7" ht="12.75" customHeight="1" x14ac:dyDescent="0.3">
      <c r="A457" s="174">
        <v>44592</v>
      </c>
      <c r="B457" s="155">
        <v>1479</v>
      </c>
      <c r="C457" s="155">
        <f t="shared" si="14"/>
        <v>4.8452840888951833E-2</v>
      </c>
      <c r="E457" s="174">
        <v>44592</v>
      </c>
      <c r="F457" s="175">
        <v>17339.849609375</v>
      </c>
      <c r="G457" s="155">
        <f t="shared" si="15"/>
        <v>1.3910717870929826E-2</v>
      </c>
    </row>
    <row r="458" spans="1:7" ht="12.75" customHeight="1" x14ac:dyDescent="0.3">
      <c r="A458" s="174">
        <v>44593</v>
      </c>
      <c r="B458" s="155">
        <v>1505.75</v>
      </c>
      <c r="C458" s="155">
        <f t="shared" si="14"/>
        <v>1.8086544962812711E-2</v>
      </c>
      <c r="E458" s="174">
        <v>44593</v>
      </c>
      <c r="F458" s="175">
        <v>17576.849609375</v>
      </c>
      <c r="G458" s="155">
        <f t="shared" si="15"/>
        <v>1.366793861187026E-2</v>
      </c>
    </row>
    <row r="459" spans="1:7" ht="12.75" customHeight="1" x14ac:dyDescent="0.3">
      <c r="A459" s="174">
        <v>44594</v>
      </c>
      <c r="B459" s="155">
        <v>1482.95</v>
      </c>
      <c r="C459" s="155">
        <f t="shared" si="14"/>
        <v>-1.5141955835962114E-2</v>
      </c>
      <c r="E459" s="174">
        <v>44594</v>
      </c>
      <c r="F459" s="175">
        <v>17780</v>
      </c>
      <c r="G459" s="155">
        <f t="shared" si="15"/>
        <v>1.1557838585399586E-2</v>
      </c>
    </row>
    <row r="460" spans="1:7" ht="12.75" customHeight="1" x14ac:dyDescent="0.3">
      <c r="A460" s="174">
        <v>44595</v>
      </c>
      <c r="B460" s="155">
        <v>1454.3</v>
      </c>
      <c r="C460" s="155">
        <f t="shared" si="14"/>
        <v>-1.9319599447048173E-2</v>
      </c>
      <c r="E460" s="174">
        <v>44595</v>
      </c>
      <c r="F460" s="175">
        <v>17560.19921875</v>
      </c>
      <c r="G460" s="155">
        <f t="shared" si="15"/>
        <v>-1.2362248664229471E-2</v>
      </c>
    </row>
    <row r="461" spans="1:7" ht="12.75" customHeight="1" x14ac:dyDescent="0.3">
      <c r="A461" s="174">
        <v>44596</v>
      </c>
      <c r="B461" s="155">
        <v>1448.2</v>
      </c>
      <c r="C461" s="155">
        <f t="shared" si="14"/>
        <v>-4.1944578147561778E-3</v>
      </c>
      <c r="E461" s="174">
        <v>44596</v>
      </c>
      <c r="F461" s="175">
        <v>17516.30078125</v>
      </c>
      <c r="G461" s="155">
        <f t="shared" si="15"/>
        <v>-2.4998826581151311E-3</v>
      </c>
    </row>
    <row r="462" spans="1:7" ht="12.75" customHeight="1" x14ac:dyDescent="0.3">
      <c r="A462" s="174">
        <v>44599</v>
      </c>
      <c r="B462" s="155">
        <v>1444.3</v>
      </c>
      <c r="C462" s="155">
        <f t="shared" si="14"/>
        <v>-2.6929982046679261E-3</v>
      </c>
      <c r="E462" s="174">
        <v>44599</v>
      </c>
      <c r="F462" s="175">
        <v>17213.599609375</v>
      </c>
      <c r="G462" s="155">
        <f t="shared" si="15"/>
        <v>-1.7281112927623445E-2</v>
      </c>
    </row>
    <row r="463" spans="1:7" ht="12.75" customHeight="1" x14ac:dyDescent="0.3">
      <c r="A463" s="174">
        <v>44600</v>
      </c>
      <c r="B463" s="155">
        <v>1434.2</v>
      </c>
      <c r="C463" s="155">
        <f t="shared" si="14"/>
        <v>-6.9930069930069306E-3</v>
      </c>
      <c r="E463" s="174">
        <v>44600</v>
      </c>
      <c r="F463" s="175">
        <v>17266.75</v>
      </c>
      <c r="G463" s="155">
        <f t="shared" si="15"/>
        <v>3.0876976246184346E-3</v>
      </c>
    </row>
    <row r="464" spans="1:7" ht="12.75" customHeight="1" x14ac:dyDescent="0.3">
      <c r="A464" s="174">
        <v>44601</v>
      </c>
      <c r="B464" s="155">
        <v>1454.8</v>
      </c>
      <c r="C464" s="155">
        <f t="shared" si="14"/>
        <v>1.4363408171803031E-2</v>
      </c>
      <c r="E464" s="174">
        <v>44601</v>
      </c>
      <c r="F464" s="175">
        <v>17463.80078125</v>
      </c>
      <c r="G464" s="155">
        <f t="shared" si="15"/>
        <v>1.1412152330345897E-2</v>
      </c>
    </row>
    <row r="465" spans="1:7" ht="12.75" customHeight="1" x14ac:dyDescent="0.3">
      <c r="A465" s="174">
        <v>44602</v>
      </c>
      <c r="B465" s="155">
        <v>1468.5</v>
      </c>
      <c r="C465" s="155">
        <f t="shared" si="14"/>
        <v>9.4171020071487799E-3</v>
      </c>
      <c r="E465" s="174">
        <v>44602</v>
      </c>
      <c r="F465" s="175">
        <v>17605.849609375</v>
      </c>
      <c r="G465" s="155">
        <f t="shared" si="15"/>
        <v>8.1339010851240717E-3</v>
      </c>
    </row>
    <row r="466" spans="1:7" ht="12.75" customHeight="1" x14ac:dyDescent="0.3">
      <c r="A466" s="174">
        <v>44603</v>
      </c>
      <c r="B466" s="155">
        <v>1424.9</v>
      </c>
      <c r="C466" s="155">
        <f t="shared" si="14"/>
        <v>-2.9690160027238618E-2</v>
      </c>
      <c r="E466" s="174">
        <v>44603</v>
      </c>
      <c r="F466" s="175">
        <v>17374.75</v>
      </c>
      <c r="G466" s="155">
        <f t="shared" si="15"/>
        <v>-1.3126296912813624E-2</v>
      </c>
    </row>
    <row r="467" spans="1:7" ht="12.75" customHeight="1" x14ac:dyDescent="0.3">
      <c r="A467" s="174">
        <v>44606</v>
      </c>
      <c r="B467" s="155">
        <v>1390.15</v>
      </c>
      <c r="C467" s="155">
        <f t="shared" si="14"/>
        <v>-2.4387676328163379E-2</v>
      </c>
      <c r="E467" s="174">
        <v>44606</v>
      </c>
      <c r="F467" s="175">
        <v>16842.80078125</v>
      </c>
      <c r="G467" s="155">
        <f t="shared" si="15"/>
        <v>-3.0616222895293456E-2</v>
      </c>
    </row>
    <row r="468" spans="1:7" ht="12.75" customHeight="1" x14ac:dyDescent="0.3">
      <c r="A468" s="174">
        <v>44607</v>
      </c>
      <c r="B468" s="155">
        <v>1439.65</v>
      </c>
      <c r="C468" s="155">
        <f t="shared" si="14"/>
        <v>3.5607668237240583E-2</v>
      </c>
      <c r="E468" s="174">
        <v>44607</v>
      </c>
      <c r="F468" s="175">
        <v>17352.44921875</v>
      </c>
      <c r="G468" s="155">
        <f t="shared" si="15"/>
        <v>3.0259126383977576E-2</v>
      </c>
    </row>
    <row r="469" spans="1:7" ht="12.75" customHeight="1" x14ac:dyDescent="0.3">
      <c r="A469" s="174">
        <v>44608</v>
      </c>
      <c r="B469" s="155">
        <v>1444</v>
      </c>
      <c r="C469" s="155">
        <f t="shared" si="14"/>
        <v>3.0215677421594894E-3</v>
      </c>
      <c r="E469" s="174">
        <v>44608</v>
      </c>
      <c r="F469" s="175">
        <v>17322.19921875</v>
      </c>
      <c r="G469" s="155">
        <f t="shared" si="15"/>
        <v>-1.7432697608654399E-3</v>
      </c>
    </row>
    <row r="470" spans="1:7" ht="12.75" customHeight="1" x14ac:dyDescent="0.3">
      <c r="A470" s="174">
        <v>44609</v>
      </c>
      <c r="B470" s="155">
        <v>1447.55</v>
      </c>
      <c r="C470" s="155">
        <f t="shared" si="14"/>
        <v>2.4584487534625725E-3</v>
      </c>
      <c r="E470" s="174">
        <v>44609</v>
      </c>
      <c r="F470" s="175">
        <v>17304.599609375</v>
      </c>
      <c r="G470" s="155">
        <f t="shared" si="15"/>
        <v>-1.0160147191904897E-3</v>
      </c>
    </row>
    <row r="471" spans="1:7" ht="12.75" customHeight="1" x14ac:dyDescent="0.3">
      <c r="A471" s="174">
        <v>44610</v>
      </c>
      <c r="B471" s="155">
        <v>1437.95</v>
      </c>
      <c r="C471" s="155">
        <f t="shared" si="14"/>
        <v>-6.631895271320444E-3</v>
      </c>
      <c r="E471" s="174">
        <v>44610</v>
      </c>
      <c r="F471" s="175">
        <v>17276.30078125</v>
      </c>
      <c r="G471" s="155">
        <f t="shared" si="15"/>
        <v>-1.6353356196504385E-3</v>
      </c>
    </row>
    <row r="472" spans="1:7" ht="12.75" customHeight="1" x14ac:dyDescent="0.3">
      <c r="A472" s="174">
        <v>44613</v>
      </c>
      <c r="B472" s="155">
        <v>1418.2</v>
      </c>
      <c r="C472" s="155">
        <f t="shared" si="14"/>
        <v>-1.3734830835564519E-2</v>
      </c>
      <c r="E472" s="174">
        <v>44613</v>
      </c>
      <c r="F472" s="175">
        <v>17206.650390625</v>
      </c>
      <c r="G472" s="155">
        <f t="shared" si="15"/>
        <v>-4.0315569581071253E-3</v>
      </c>
    </row>
    <row r="473" spans="1:7" ht="12.75" customHeight="1" x14ac:dyDescent="0.3">
      <c r="A473" s="174">
        <v>44614</v>
      </c>
      <c r="B473" s="155">
        <v>1412.55</v>
      </c>
      <c r="C473" s="155">
        <f t="shared" si="14"/>
        <v>-3.9839232830348971E-3</v>
      </c>
      <c r="E473" s="174">
        <v>44614</v>
      </c>
      <c r="F473" s="175">
        <v>17092.19921875</v>
      </c>
      <c r="G473" s="155">
        <f t="shared" si="15"/>
        <v>-6.6515660675803834E-3</v>
      </c>
    </row>
    <row r="474" spans="1:7" ht="12.75" customHeight="1" x14ac:dyDescent="0.3">
      <c r="A474" s="174">
        <v>44615</v>
      </c>
      <c r="B474" s="155">
        <v>1413.3</v>
      </c>
      <c r="C474" s="155">
        <f t="shared" si="14"/>
        <v>5.3095465647233725E-4</v>
      </c>
      <c r="E474" s="174">
        <v>44615</v>
      </c>
      <c r="F474" s="175">
        <v>17063.25</v>
      </c>
      <c r="G474" s="155">
        <f t="shared" si="15"/>
        <v>-1.6937094155936908E-3</v>
      </c>
    </row>
    <row r="475" spans="1:7" ht="12.75" customHeight="1" x14ac:dyDescent="0.3">
      <c r="A475" s="174">
        <v>44616</v>
      </c>
      <c r="B475" s="155">
        <v>1333</v>
      </c>
      <c r="C475" s="155">
        <f t="shared" si="14"/>
        <v>-5.6817377768343565E-2</v>
      </c>
      <c r="E475" s="174">
        <v>44616</v>
      </c>
      <c r="F475" s="175">
        <v>16247.9501953125</v>
      </c>
      <c r="G475" s="155">
        <f t="shared" si="15"/>
        <v>-4.7781038470836444E-2</v>
      </c>
    </row>
    <row r="476" spans="1:7" ht="12.75" customHeight="1" x14ac:dyDescent="0.3">
      <c r="A476" s="174">
        <v>44617</v>
      </c>
      <c r="B476" s="155">
        <v>1389.7</v>
      </c>
      <c r="C476" s="155">
        <f t="shared" si="14"/>
        <v>4.2535633908477151E-2</v>
      </c>
      <c r="E476" s="174">
        <v>44617</v>
      </c>
      <c r="F476" s="175">
        <v>16658.400390625</v>
      </c>
      <c r="G476" s="155">
        <f t="shared" si="15"/>
        <v>2.5261660109649649E-2</v>
      </c>
    </row>
    <row r="477" spans="1:7" ht="12.75" customHeight="1" x14ac:dyDescent="0.3">
      <c r="A477" s="174">
        <v>44620</v>
      </c>
      <c r="B477" s="155">
        <v>1410</v>
      </c>
      <c r="C477" s="155">
        <f t="shared" si="14"/>
        <v>1.4607469237964995E-2</v>
      </c>
      <c r="E477" s="174">
        <v>44620</v>
      </c>
      <c r="F477" s="175">
        <v>16793.900390625</v>
      </c>
      <c r="G477" s="155">
        <f t="shared" si="15"/>
        <v>8.1340342903665937E-3</v>
      </c>
    </row>
    <row r="478" spans="1:7" ht="12.75" customHeight="1" x14ac:dyDescent="0.3">
      <c r="A478" s="174">
        <v>44622</v>
      </c>
      <c r="B478" s="155">
        <v>1394.35</v>
      </c>
      <c r="C478" s="155">
        <f t="shared" si="14"/>
        <v>-1.1099290780141909E-2</v>
      </c>
      <c r="E478" s="174">
        <v>44622</v>
      </c>
      <c r="F478" s="175">
        <v>16605.94921875</v>
      </c>
      <c r="G478" s="155">
        <f t="shared" si="15"/>
        <v>-1.1191633122935609E-2</v>
      </c>
    </row>
    <row r="479" spans="1:7" ht="12.75" customHeight="1" x14ac:dyDescent="0.3">
      <c r="A479" s="174">
        <v>44623</v>
      </c>
      <c r="B479" s="155">
        <v>1426.65</v>
      </c>
      <c r="C479" s="155">
        <f t="shared" si="14"/>
        <v>2.3164915552049473E-2</v>
      </c>
      <c r="E479" s="174">
        <v>44623</v>
      </c>
      <c r="F479" s="175">
        <v>16498.05078125</v>
      </c>
      <c r="G479" s="155">
        <f t="shared" si="15"/>
        <v>-6.4975772284170561E-3</v>
      </c>
    </row>
    <row r="480" spans="1:7" ht="12.75" customHeight="1" x14ac:dyDescent="0.3">
      <c r="A480" s="174">
        <v>44624</v>
      </c>
      <c r="B480" s="155">
        <v>1453.6</v>
      </c>
      <c r="C480" s="155">
        <f t="shared" si="14"/>
        <v>1.8890407598219475E-2</v>
      </c>
      <c r="E480" s="174">
        <v>44624</v>
      </c>
      <c r="F480" s="175">
        <v>16245.349609375</v>
      </c>
      <c r="G480" s="155">
        <f t="shared" si="15"/>
        <v>-1.5317032007332306E-2</v>
      </c>
    </row>
    <row r="481" spans="1:7" ht="12.75" customHeight="1" x14ac:dyDescent="0.3">
      <c r="A481" s="174">
        <v>44627</v>
      </c>
      <c r="B481" s="155">
        <v>1424.1</v>
      </c>
      <c r="C481" s="155">
        <f t="shared" si="14"/>
        <v>-2.0294441386901486E-2</v>
      </c>
      <c r="E481" s="174">
        <v>44627</v>
      </c>
      <c r="F481" s="175">
        <v>15863.150390625</v>
      </c>
      <c r="G481" s="155">
        <f t="shared" si="15"/>
        <v>-2.3526684739947814E-2</v>
      </c>
    </row>
    <row r="482" spans="1:7" ht="12.75" customHeight="1" x14ac:dyDescent="0.3">
      <c r="A482" s="174">
        <v>44628</v>
      </c>
      <c r="B482" s="155">
        <v>1461.95</v>
      </c>
      <c r="C482" s="155">
        <f t="shared" si="14"/>
        <v>2.6578189733867101E-2</v>
      </c>
      <c r="E482" s="174">
        <v>44628</v>
      </c>
      <c r="F482" s="175">
        <v>16013.4501953125</v>
      </c>
      <c r="G482" s="155">
        <f t="shared" si="15"/>
        <v>9.4747765094836418E-3</v>
      </c>
    </row>
    <row r="483" spans="1:7" ht="12.75" customHeight="1" x14ac:dyDescent="0.3">
      <c r="A483" s="174">
        <v>44629</v>
      </c>
      <c r="B483" s="155">
        <v>1504.75</v>
      </c>
      <c r="C483" s="155">
        <f t="shared" si="14"/>
        <v>2.9275967030336164E-2</v>
      </c>
      <c r="E483" s="174">
        <v>44629</v>
      </c>
      <c r="F483" s="175">
        <v>16345.349609375</v>
      </c>
      <c r="G483" s="155">
        <f t="shared" si="15"/>
        <v>2.0726290088294307E-2</v>
      </c>
    </row>
    <row r="484" spans="1:7" ht="12.75" customHeight="1" x14ac:dyDescent="0.3">
      <c r="A484" s="174">
        <v>44630</v>
      </c>
      <c r="B484" s="155">
        <v>1485.35</v>
      </c>
      <c r="C484" s="155">
        <f t="shared" si="14"/>
        <v>-1.2892507060973644E-2</v>
      </c>
      <c r="E484" s="174">
        <v>44630</v>
      </c>
      <c r="F484" s="175">
        <v>16594.900390625</v>
      </c>
      <c r="G484" s="155">
        <f t="shared" si="15"/>
        <v>1.5267387190474546E-2</v>
      </c>
    </row>
    <row r="485" spans="1:7" ht="12.75" customHeight="1" x14ac:dyDescent="0.3">
      <c r="A485" s="174">
        <v>44631</v>
      </c>
      <c r="B485" s="155">
        <v>1486.8</v>
      </c>
      <c r="C485" s="155">
        <f t="shared" si="14"/>
        <v>9.7620089541188644E-4</v>
      </c>
      <c r="E485" s="174">
        <v>44631</v>
      </c>
      <c r="F485" s="175">
        <v>16630.44921875</v>
      </c>
      <c r="G485" s="155">
        <f t="shared" si="15"/>
        <v>2.14215375134657E-3</v>
      </c>
    </row>
    <row r="486" spans="1:7" ht="12.75" customHeight="1" x14ac:dyDescent="0.3">
      <c r="A486" s="174">
        <v>44634</v>
      </c>
      <c r="B486" s="155">
        <v>1503</v>
      </c>
      <c r="C486" s="155">
        <f t="shared" si="14"/>
        <v>1.089588377723974E-2</v>
      </c>
      <c r="E486" s="174">
        <v>44634</v>
      </c>
      <c r="F486" s="175">
        <v>16871.30078125</v>
      </c>
      <c r="G486" s="155">
        <f t="shared" si="15"/>
        <v>1.4482565042708041E-2</v>
      </c>
    </row>
    <row r="487" spans="1:7" ht="12.75" customHeight="1" x14ac:dyDescent="0.3">
      <c r="A487" s="174">
        <v>44635</v>
      </c>
      <c r="B487" s="155">
        <v>1458.6</v>
      </c>
      <c r="C487" s="155">
        <f t="shared" si="14"/>
        <v>-2.9540918163672714E-2</v>
      </c>
      <c r="E487" s="174">
        <v>44635</v>
      </c>
      <c r="F487" s="175">
        <v>16663</v>
      </c>
      <c r="G487" s="155">
        <f t="shared" si="15"/>
        <v>-1.2346456503312184E-2</v>
      </c>
    </row>
    <row r="488" spans="1:7" ht="12.75" customHeight="1" x14ac:dyDescent="0.3">
      <c r="A488" s="174">
        <v>44636</v>
      </c>
      <c r="B488" s="155">
        <v>1489.9</v>
      </c>
      <c r="C488" s="155">
        <f t="shared" si="14"/>
        <v>2.1458933223639232E-2</v>
      </c>
      <c r="E488" s="174">
        <v>44636</v>
      </c>
      <c r="F488" s="175">
        <v>16975.349609375</v>
      </c>
      <c r="G488" s="155">
        <f t="shared" si="15"/>
        <v>1.8745100484606612E-2</v>
      </c>
    </row>
    <row r="489" spans="1:7" ht="12.75" customHeight="1" x14ac:dyDescent="0.3">
      <c r="A489" s="174">
        <v>44637</v>
      </c>
      <c r="B489" s="155">
        <v>1493.5</v>
      </c>
      <c r="C489" s="155">
        <f t="shared" si="14"/>
        <v>2.4162695482917705E-3</v>
      </c>
      <c r="E489" s="174">
        <v>44637</v>
      </c>
      <c r="F489" s="175">
        <v>17287.05078125</v>
      </c>
      <c r="G489" s="155">
        <f t="shared" si="15"/>
        <v>1.8361988356508215E-2</v>
      </c>
    </row>
    <row r="490" spans="1:7" ht="12.75" customHeight="1" x14ac:dyDescent="0.3">
      <c r="A490" s="174">
        <v>44641</v>
      </c>
      <c r="B490" s="155">
        <v>1479.8</v>
      </c>
      <c r="C490" s="155">
        <f t="shared" si="14"/>
        <v>-9.1730833612320359E-3</v>
      </c>
      <c r="E490" s="174">
        <v>44641</v>
      </c>
      <c r="F490" s="175">
        <v>17117.599609375</v>
      </c>
      <c r="G490" s="155">
        <f t="shared" si="15"/>
        <v>-9.80220247046369E-3</v>
      </c>
    </row>
    <row r="491" spans="1:7" ht="12.75" customHeight="1" x14ac:dyDescent="0.3">
      <c r="A491" s="174">
        <v>44642</v>
      </c>
      <c r="B491" s="155">
        <v>1538.2</v>
      </c>
      <c r="C491" s="155">
        <f t="shared" si="14"/>
        <v>3.9464792539532431E-2</v>
      </c>
      <c r="E491" s="174">
        <v>44642</v>
      </c>
      <c r="F491" s="175">
        <v>17315.5</v>
      </c>
      <c r="G491" s="155">
        <f t="shared" si="15"/>
        <v>1.1561223252155842E-2</v>
      </c>
    </row>
    <row r="492" spans="1:7" ht="12.75" customHeight="1" x14ac:dyDescent="0.3">
      <c r="A492" s="174">
        <v>44643</v>
      </c>
      <c r="B492" s="155">
        <v>1542.15</v>
      </c>
      <c r="C492" s="155">
        <f t="shared" si="14"/>
        <v>2.5679365492133959E-3</v>
      </c>
      <c r="E492" s="174">
        <v>44643</v>
      </c>
      <c r="F492" s="175">
        <v>17245.650390625</v>
      </c>
      <c r="G492" s="155">
        <f t="shared" si="15"/>
        <v>-4.0339354552279749E-3</v>
      </c>
    </row>
    <row r="493" spans="1:7" ht="12.75" customHeight="1" x14ac:dyDescent="0.3">
      <c r="A493" s="174">
        <v>44644</v>
      </c>
      <c r="B493" s="155">
        <v>1568.55</v>
      </c>
      <c r="C493" s="155">
        <f t="shared" si="14"/>
        <v>1.7118957299873463E-2</v>
      </c>
      <c r="E493" s="174">
        <v>44644</v>
      </c>
      <c r="F493" s="175">
        <v>17222.75</v>
      </c>
      <c r="G493" s="155">
        <f t="shared" si="15"/>
        <v>-1.3278937068937106E-3</v>
      </c>
    </row>
    <row r="494" spans="1:7" ht="12.75" customHeight="1" x14ac:dyDescent="0.3">
      <c r="A494" s="174">
        <v>44645</v>
      </c>
      <c r="B494" s="155">
        <v>1530.55</v>
      </c>
      <c r="C494" s="155">
        <f t="shared" si="14"/>
        <v>-2.4226196168435816E-2</v>
      </c>
      <c r="E494" s="174">
        <v>44645</v>
      </c>
      <c r="F494" s="175">
        <v>17153</v>
      </c>
      <c r="G494" s="155">
        <f t="shared" si="15"/>
        <v>-4.0498758909001172E-3</v>
      </c>
    </row>
    <row r="495" spans="1:7" ht="12.75" customHeight="1" x14ac:dyDescent="0.3">
      <c r="A495" s="174">
        <v>44648</v>
      </c>
      <c r="B495" s="155">
        <v>1524.45</v>
      </c>
      <c r="C495" s="155">
        <f t="shared" si="14"/>
        <v>-3.9854954101466201E-3</v>
      </c>
      <c r="E495" s="174">
        <v>44648</v>
      </c>
      <c r="F495" s="175">
        <v>17222</v>
      </c>
      <c r="G495" s="155">
        <f t="shared" si="15"/>
        <v>4.022619949862998E-3</v>
      </c>
    </row>
    <row r="496" spans="1:7" ht="12.75" customHeight="1" x14ac:dyDescent="0.3">
      <c r="A496" s="174">
        <v>44649</v>
      </c>
      <c r="B496" s="155">
        <v>1522.35</v>
      </c>
      <c r="C496" s="155">
        <f t="shared" si="14"/>
        <v>-1.3775460001968817E-3</v>
      </c>
      <c r="E496" s="174">
        <v>44649</v>
      </c>
      <c r="F496" s="175">
        <v>17325.30078125</v>
      </c>
      <c r="G496" s="155">
        <f t="shared" si="15"/>
        <v>5.9981872749970966E-3</v>
      </c>
    </row>
    <row r="497" spans="1:7" ht="12.75" customHeight="1" x14ac:dyDescent="0.3">
      <c r="A497" s="174">
        <v>44650</v>
      </c>
      <c r="B497" s="155">
        <v>1496.3</v>
      </c>
      <c r="C497" s="155">
        <f t="shared" si="14"/>
        <v>-1.7111702302361451E-2</v>
      </c>
      <c r="E497" s="174">
        <v>44650</v>
      </c>
      <c r="F497" s="175">
        <v>17498.25</v>
      </c>
      <c r="G497" s="155">
        <f t="shared" si="15"/>
        <v>9.9824655821947536E-3</v>
      </c>
    </row>
    <row r="498" spans="1:7" ht="12.75" customHeight="1" x14ac:dyDescent="0.3">
      <c r="A498" s="174">
        <v>44651</v>
      </c>
      <c r="B498" s="155">
        <v>1499.45</v>
      </c>
      <c r="C498" s="155">
        <f t="shared" si="14"/>
        <v>2.1051928089287518E-3</v>
      </c>
      <c r="E498" s="174">
        <v>44651</v>
      </c>
      <c r="F498" s="175">
        <v>17464.75</v>
      </c>
      <c r="G498" s="155">
        <f t="shared" si="15"/>
        <v>-1.9144771620019144E-3</v>
      </c>
    </row>
    <row r="499" spans="1:7" ht="12.75" customHeight="1" x14ac:dyDescent="0.3">
      <c r="A499" s="174">
        <v>44652</v>
      </c>
      <c r="B499" s="155">
        <v>1487.1</v>
      </c>
      <c r="C499" s="155">
        <f t="shared" si="14"/>
        <v>-8.2363533295542607E-3</v>
      </c>
      <c r="E499" s="174">
        <v>44652</v>
      </c>
      <c r="F499" s="175">
        <v>17670.44921875</v>
      </c>
      <c r="G499" s="155">
        <f t="shared" si="15"/>
        <v>1.1777965258592307E-2</v>
      </c>
    </row>
    <row r="500" spans="1:7" ht="12.75" customHeight="1" x14ac:dyDescent="0.3">
      <c r="A500" s="174">
        <v>44655</v>
      </c>
      <c r="B500" s="155">
        <v>1498.65</v>
      </c>
      <c r="C500" s="155">
        <f t="shared" si="14"/>
        <v>7.7667944321163224E-3</v>
      </c>
      <c r="E500" s="174">
        <v>44655</v>
      </c>
      <c r="F500" s="175">
        <v>18053.400390625</v>
      </c>
      <c r="G500" s="155">
        <f t="shared" si="15"/>
        <v>2.1671841339984326E-2</v>
      </c>
    </row>
    <row r="501" spans="1:7" ht="12.75" customHeight="1" x14ac:dyDescent="0.3">
      <c r="A501" s="174">
        <v>44656</v>
      </c>
      <c r="B501" s="155">
        <v>1489.05</v>
      </c>
      <c r="C501" s="155">
        <f t="shared" si="14"/>
        <v>-6.4057651886698938E-3</v>
      </c>
      <c r="E501" s="174">
        <v>44656</v>
      </c>
      <c r="F501" s="175">
        <v>17957.400390625</v>
      </c>
      <c r="G501" s="155">
        <f t="shared" si="15"/>
        <v>-5.3175577964720763E-3</v>
      </c>
    </row>
    <row r="502" spans="1:7" ht="12.75" customHeight="1" x14ac:dyDescent="0.3">
      <c r="A502" s="174">
        <v>44657</v>
      </c>
      <c r="B502" s="155">
        <v>1459.35</v>
      </c>
      <c r="C502" s="155">
        <f t="shared" si="14"/>
        <v>-1.9945602901178635E-2</v>
      </c>
      <c r="E502" s="174">
        <v>44657</v>
      </c>
      <c r="F502" s="175">
        <v>17807.650390625</v>
      </c>
      <c r="G502" s="155">
        <f t="shared" si="15"/>
        <v>-8.3391803235717699E-3</v>
      </c>
    </row>
    <row r="503" spans="1:7" ht="12.75" customHeight="1" x14ac:dyDescent="0.3">
      <c r="A503" s="174">
        <v>44658</v>
      </c>
      <c r="B503" s="155">
        <v>1468.55</v>
      </c>
      <c r="C503" s="155">
        <f t="shared" si="14"/>
        <v>6.304176516942506E-3</v>
      </c>
      <c r="E503" s="174">
        <v>44658</v>
      </c>
      <c r="F503" s="175">
        <v>17639.55078125</v>
      </c>
      <c r="G503" s="155">
        <f t="shared" si="15"/>
        <v>-9.4397411049521492E-3</v>
      </c>
    </row>
    <row r="504" spans="1:7" ht="12.75" customHeight="1" x14ac:dyDescent="0.3">
      <c r="A504" s="174">
        <v>44659</v>
      </c>
      <c r="B504" s="155">
        <v>1448.75</v>
      </c>
      <c r="C504" s="155">
        <f t="shared" si="14"/>
        <v>-1.3482687004187774E-2</v>
      </c>
      <c r="E504" s="174">
        <v>44659</v>
      </c>
      <c r="F504" s="175">
        <v>17784.349609375</v>
      </c>
      <c r="G504" s="155">
        <f t="shared" si="15"/>
        <v>8.2087593907954979E-3</v>
      </c>
    </row>
    <row r="505" spans="1:7" ht="12.75" customHeight="1" x14ac:dyDescent="0.3">
      <c r="A505" s="174">
        <v>44662</v>
      </c>
      <c r="B505" s="155">
        <v>1449.2</v>
      </c>
      <c r="C505" s="155">
        <f t="shared" si="14"/>
        <v>3.1061259706646798E-4</v>
      </c>
      <c r="E505" s="174">
        <v>44662</v>
      </c>
      <c r="F505" s="175">
        <v>17674.94921875</v>
      </c>
      <c r="G505" s="155">
        <f t="shared" si="15"/>
        <v>-6.1514979759130298E-3</v>
      </c>
    </row>
    <row r="506" spans="1:7" ht="12.75" customHeight="1" x14ac:dyDescent="0.3">
      <c r="A506" s="174">
        <v>44663</v>
      </c>
      <c r="B506" s="155">
        <v>1415</v>
      </c>
      <c r="C506" s="155">
        <f t="shared" si="14"/>
        <v>-2.3599227159812341E-2</v>
      </c>
      <c r="E506" s="174">
        <v>44663</v>
      </c>
      <c r="F506" s="175">
        <v>17530.30078125</v>
      </c>
      <c r="G506" s="155">
        <f t="shared" si="15"/>
        <v>-8.1838106412522836E-3</v>
      </c>
    </row>
    <row r="507" spans="1:7" ht="12.75" customHeight="1" x14ac:dyDescent="0.3">
      <c r="A507" s="174">
        <v>44664</v>
      </c>
      <c r="B507" s="155">
        <v>1410.45</v>
      </c>
      <c r="C507" s="155">
        <f t="shared" si="14"/>
        <v>-3.2155477031801799E-3</v>
      </c>
      <c r="E507" s="174">
        <v>44664</v>
      </c>
      <c r="F507" s="175">
        <v>17475.650390625</v>
      </c>
      <c r="G507" s="155">
        <f t="shared" si="15"/>
        <v>-3.1174816283501979E-3</v>
      </c>
    </row>
    <row r="508" spans="1:7" ht="12.75" customHeight="1" x14ac:dyDescent="0.3">
      <c r="A508" s="174">
        <v>44669</v>
      </c>
      <c r="B508" s="155">
        <v>1344.55</v>
      </c>
      <c r="C508" s="155">
        <f t="shared" si="14"/>
        <v>-4.6722677159771769E-2</v>
      </c>
      <c r="E508" s="174">
        <v>44669</v>
      </c>
      <c r="F508" s="175">
        <v>17173.650390625</v>
      </c>
      <c r="G508" s="155">
        <f t="shared" si="15"/>
        <v>-1.7281188010147601E-2</v>
      </c>
    </row>
    <row r="509" spans="1:7" ht="12.75" customHeight="1" x14ac:dyDescent="0.3">
      <c r="A509" s="174">
        <v>44670</v>
      </c>
      <c r="B509" s="155">
        <v>1301.2</v>
      </c>
      <c r="C509" s="155">
        <f t="shared" si="14"/>
        <v>-3.2241270313487717E-2</v>
      </c>
      <c r="E509" s="174">
        <v>44670</v>
      </c>
      <c r="F509" s="175">
        <v>16958.650390625</v>
      </c>
      <c r="G509" s="155">
        <f t="shared" si="15"/>
        <v>-1.2519178806467803E-2</v>
      </c>
    </row>
    <row r="510" spans="1:7" ht="12.75" customHeight="1" x14ac:dyDescent="0.3">
      <c r="A510" s="174">
        <v>44671</v>
      </c>
      <c r="B510" s="155">
        <v>1309.2</v>
      </c>
      <c r="C510" s="155">
        <f t="shared" si="14"/>
        <v>6.1481709191515523E-3</v>
      </c>
      <c r="E510" s="174">
        <v>44671</v>
      </c>
      <c r="F510" s="175">
        <v>17136.55078125</v>
      </c>
      <c r="G510" s="155">
        <f t="shared" si="15"/>
        <v>1.0490244596547968E-2</v>
      </c>
    </row>
    <row r="511" spans="1:7" ht="12.75" customHeight="1" x14ac:dyDescent="0.3">
      <c r="A511" s="174">
        <v>44672</v>
      </c>
      <c r="B511" s="155">
        <v>1312.7</v>
      </c>
      <c r="C511" s="155">
        <f t="shared" si="14"/>
        <v>2.673388328750382E-3</v>
      </c>
      <c r="E511" s="174">
        <v>44672</v>
      </c>
      <c r="F511" s="175">
        <v>17392.599609375</v>
      </c>
      <c r="G511" s="155">
        <f t="shared" si="15"/>
        <v>1.4941678252146078E-2</v>
      </c>
    </row>
    <row r="512" spans="1:7" ht="12.75" customHeight="1" x14ac:dyDescent="0.3">
      <c r="A512" s="174">
        <v>44673</v>
      </c>
      <c r="B512" s="155">
        <v>1306.5</v>
      </c>
      <c r="C512" s="155">
        <f t="shared" si="14"/>
        <v>-4.7230898148853855E-3</v>
      </c>
      <c r="E512" s="174">
        <v>44673</v>
      </c>
      <c r="F512" s="175">
        <v>17171.94921875</v>
      </c>
      <c r="G512" s="155">
        <f t="shared" si="15"/>
        <v>-1.2686452605168035E-2</v>
      </c>
    </row>
    <row r="513" spans="1:7" ht="12.75" customHeight="1" x14ac:dyDescent="0.3">
      <c r="A513" s="174">
        <v>44676</v>
      </c>
      <c r="B513" s="155">
        <v>1270.4000000000001</v>
      </c>
      <c r="C513" s="155">
        <f t="shared" si="14"/>
        <v>-2.7631075392269354E-2</v>
      </c>
      <c r="E513" s="174">
        <v>44676</v>
      </c>
      <c r="F513" s="175">
        <v>16953.94921875</v>
      </c>
      <c r="G513" s="155">
        <f t="shared" si="15"/>
        <v>-1.2695122564301929E-2</v>
      </c>
    </row>
    <row r="514" spans="1:7" ht="12.75" customHeight="1" x14ac:dyDescent="0.3">
      <c r="A514" s="174">
        <v>44677</v>
      </c>
      <c r="B514" s="155">
        <v>1275.45</v>
      </c>
      <c r="C514" s="155">
        <f t="shared" si="14"/>
        <v>3.9751259445843469E-3</v>
      </c>
      <c r="E514" s="174">
        <v>44677</v>
      </c>
      <c r="F514" s="175">
        <v>17200.80078125</v>
      </c>
      <c r="G514" s="155">
        <f t="shared" si="15"/>
        <v>1.4560121616207138E-2</v>
      </c>
    </row>
    <row r="515" spans="1:7" ht="12.75" customHeight="1" x14ac:dyDescent="0.3">
      <c r="A515" s="174">
        <v>44678</v>
      </c>
      <c r="B515" s="155">
        <v>1261.25</v>
      </c>
      <c r="C515" s="155">
        <f t="shared" si="14"/>
        <v>-1.1133325492963303E-2</v>
      </c>
      <c r="E515" s="174">
        <v>44678</v>
      </c>
      <c r="F515" s="175">
        <v>17038.400390625</v>
      </c>
      <c r="G515" s="155">
        <f t="shared" si="15"/>
        <v>-9.4414436101153531E-3</v>
      </c>
    </row>
    <row r="516" spans="1:7" ht="12.75" customHeight="1" x14ac:dyDescent="0.3">
      <c r="A516" s="174">
        <v>44679</v>
      </c>
      <c r="B516" s="155">
        <v>1271.3</v>
      </c>
      <c r="C516" s="155">
        <f t="shared" ref="C516:C579" si="16">(B516-B515)/B515</f>
        <v>7.9682854311198849E-3</v>
      </c>
      <c r="E516" s="174">
        <v>44679</v>
      </c>
      <c r="F516" s="175">
        <v>17245.05078125</v>
      </c>
      <c r="G516" s="155">
        <f t="shared" ref="G516:G579" si="17">(F516-F515)/F515</f>
        <v>1.2128508890934666E-2</v>
      </c>
    </row>
    <row r="517" spans="1:7" ht="12.75" customHeight="1" x14ac:dyDescent="0.3">
      <c r="A517" s="174">
        <v>44680</v>
      </c>
      <c r="B517" s="155">
        <v>1259</v>
      </c>
      <c r="C517" s="155">
        <f t="shared" si="16"/>
        <v>-9.6751356878785142E-3</v>
      </c>
      <c r="E517" s="174">
        <v>44680</v>
      </c>
      <c r="F517" s="175">
        <v>17102.55078125</v>
      </c>
      <c r="G517" s="155">
        <f t="shared" si="17"/>
        <v>-8.2632403816946566E-3</v>
      </c>
    </row>
    <row r="518" spans="1:7" ht="12.75" customHeight="1" x14ac:dyDescent="0.3">
      <c r="A518" s="174">
        <v>44683</v>
      </c>
      <c r="B518" s="155">
        <v>1231.2</v>
      </c>
      <c r="C518" s="155">
        <f t="shared" si="16"/>
        <v>-2.2081016679904652E-2</v>
      </c>
      <c r="E518" s="174">
        <v>44683</v>
      </c>
      <c r="F518" s="175">
        <v>17069.099609375</v>
      </c>
      <c r="G518" s="155">
        <f t="shared" si="17"/>
        <v>-1.9559171203674158E-3</v>
      </c>
    </row>
    <row r="519" spans="1:7" ht="12.75" customHeight="1" x14ac:dyDescent="0.3">
      <c r="A519" s="174">
        <v>44685</v>
      </c>
      <c r="B519" s="155">
        <v>1212.8</v>
      </c>
      <c r="C519" s="155">
        <f t="shared" si="16"/>
        <v>-1.4944769330734317E-2</v>
      </c>
      <c r="E519" s="174">
        <v>44685</v>
      </c>
      <c r="F519" s="175">
        <v>16677.599609375</v>
      </c>
      <c r="G519" s="155">
        <f t="shared" si="17"/>
        <v>-2.2936183451936345E-2</v>
      </c>
    </row>
    <row r="520" spans="1:7" ht="12.75" customHeight="1" x14ac:dyDescent="0.3">
      <c r="A520" s="174">
        <v>44686</v>
      </c>
      <c r="B520" s="155">
        <v>1263.3499999999999</v>
      </c>
      <c r="C520" s="155">
        <f t="shared" si="16"/>
        <v>4.1680408970976218E-2</v>
      </c>
      <c r="E520" s="174">
        <v>44686</v>
      </c>
      <c r="F520" s="175">
        <v>16682.650390625</v>
      </c>
      <c r="G520" s="155">
        <f t="shared" si="17"/>
        <v>3.0284821366983761E-4</v>
      </c>
    </row>
    <row r="521" spans="1:7" ht="12.75" customHeight="1" x14ac:dyDescent="0.3">
      <c r="A521" s="174">
        <v>44687</v>
      </c>
      <c r="B521" s="155">
        <v>1290.75</v>
      </c>
      <c r="C521" s="155">
        <f t="shared" si="16"/>
        <v>2.1688368227332167E-2</v>
      </c>
      <c r="E521" s="174">
        <v>44687</v>
      </c>
      <c r="F521" s="175">
        <v>16411.25</v>
      </c>
      <c r="G521" s="155">
        <f t="shared" si="17"/>
        <v>-1.6268421639856246E-2</v>
      </c>
    </row>
    <row r="522" spans="1:7" ht="12.75" customHeight="1" x14ac:dyDescent="0.3">
      <c r="A522" s="174">
        <v>44690</v>
      </c>
      <c r="B522" s="155">
        <v>1261.1500000000001</v>
      </c>
      <c r="C522" s="155">
        <f t="shared" si="16"/>
        <v>-2.2932403641293751E-2</v>
      </c>
      <c r="E522" s="174">
        <v>44690</v>
      </c>
      <c r="F522" s="175">
        <v>16301.849609375</v>
      </c>
      <c r="G522" s="155">
        <f t="shared" si="17"/>
        <v>-6.6661826871810496E-3</v>
      </c>
    </row>
    <row r="523" spans="1:7" ht="12.75" customHeight="1" x14ac:dyDescent="0.3">
      <c r="A523" s="174">
        <v>44691</v>
      </c>
      <c r="B523" s="155">
        <v>1242.3</v>
      </c>
      <c r="C523" s="155">
        <f t="shared" si="16"/>
        <v>-1.4946675653173798E-2</v>
      </c>
      <c r="E523" s="174">
        <v>44691</v>
      </c>
      <c r="F523" s="175">
        <v>16240.0498046875</v>
      </c>
      <c r="G523" s="155">
        <f t="shared" si="17"/>
        <v>-3.7909688880922855E-3</v>
      </c>
    </row>
    <row r="524" spans="1:7" ht="12.75" customHeight="1" x14ac:dyDescent="0.3">
      <c r="A524" s="174">
        <v>44692</v>
      </c>
      <c r="B524" s="155">
        <v>1224.45</v>
      </c>
      <c r="C524" s="155">
        <f t="shared" si="16"/>
        <v>-1.4368510021733808E-2</v>
      </c>
      <c r="E524" s="174">
        <v>44692</v>
      </c>
      <c r="F524" s="175">
        <v>16167.099609375</v>
      </c>
      <c r="G524" s="155">
        <f t="shared" si="17"/>
        <v>-4.4919933245182401E-3</v>
      </c>
    </row>
    <row r="525" spans="1:7" ht="12.75" customHeight="1" x14ac:dyDescent="0.3">
      <c r="A525" s="174">
        <v>44693</v>
      </c>
      <c r="B525" s="155">
        <v>1212.8</v>
      </c>
      <c r="C525" s="155">
        <f t="shared" si="16"/>
        <v>-9.5144758871330733E-3</v>
      </c>
      <c r="E525" s="174">
        <v>44693</v>
      </c>
      <c r="F525" s="175">
        <v>15808</v>
      </c>
      <c r="G525" s="155">
        <f t="shared" si="17"/>
        <v>-2.2211752141785831E-2</v>
      </c>
    </row>
    <row r="526" spans="1:7" ht="12.75" customHeight="1" x14ac:dyDescent="0.3">
      <c r="A526" s="174">
        <v>44694</v>
      </c>
      <c r="B526" s="155">
        <v>1202.8499999999999</v>
      </c>
      <c r="C526" s="155">
        <f t="shared" si="16"/>
        <v>-8.2041556728232566E-3</v>
      </c>
      <c r="E526" s="174">
        <v>44694</v>
      </c>
      <c r="F526" s="175">
        <v>15782.150390625</v>
      </c>
      <c r="G526" s="155">
        <f t="shared" si="17"/>
        <v>-1.6352232651189271E-3</v>
      </c>
    </row>
    <row r="527" spans="1:7" ht="12.75" customHeight="1" x14ac:dyDescent="0.3">
      <c r="A527" s="174">
        <v>44697</v>
      </c>
      <c r="B527" s="155">
        <v>1189.05</v>
      </c>
      <c r="C527" s="155">
        <f t="shared" si="16"/>
        <v>-1.1472752213492917E-2</v>
      </c>
      <c r="E527" s="174">
        <v>44697</v>
      </c>
      <c r="F527" s="175">
        <v>15842.2998046875</v>
      </c>
      <c r="G527" s="155">
        <f t="shared" si="17"/>
        <v>3.8112305721171107E-3</v>
      </c>
    </row>
    <row r="528" spans="1:7" ht="12.75" customHeight="1" x14ac:dyDescent="0.3">
      <c r="A528" s="174">
        <v>44698</v>
      </c>
      <c r="B528" s="155">
        <v>1198.2</v>
      </c>
      <c r="C528" s="155">
        <f t="shared" si="16"/>
        <v>7.6952188722089832E-3</v>
      </c>
      <c r="E528" s="174">
        <v>44698</v>
      </c>
      <c r="F528" s="175">
        <v>16259.2998046875</v>
      </c>
      <c r="G528" s="155">
        <f t="shared" si="17"/>
        <v>2.6321935902047247E-2</v>
      </c>
    </row>
    <row r="529" spans="1:7" ht="12.75" customHeight="1" x14ac:dyDescent="0.3">
      <c r="A529" s="174">
        <v>44699</v>
      </c>
      <c r="B529" s="155">
        <v>1172.05</v>
      </c>
      <c r="C529" s="155">
        <f t="shared" si="16"/>
        <v>-2.1824403271574103E-2</v>
      </c>
      <c r="E529" s="174">
        <v>44699</v>
      </c>
      <c r="F529" s="175">
        <v>16240.2998046875</v>
      </c>
      <c r="G529" s="155">
        <f t="shared" si="17"/>
        <v>-1.1685620062508698E-3</v>
      </c>
    </row>
    <row r="530" spans="1:7" ht="12.75" customHeight="1" x14ac:dyDescent="0.3">
      <c r="A530" s="174">
        <v>44700</v>
      </c>
      <c r="B530" s="155">
        <v>1108.3499999999999</v>
      </c>
      <c r="C530" s="155">
        <f t="shared" si="16"/>
        <v>-5.4349217183567292E-2</v>
      </c>
      <c r="E530" s="174">
        <v>44700</v>
      </c>
      <c r="F530" s="175">
        <v>15809.400390625</v>
      </c>
      <c r="G530" s="155">
        <f t="shared" si="17"/>
        <v>-2.6532725334179351E-2</v>
      </c>
    </row>
    <row r="531" spans="1:7" ht="12.75" customHeight="1" x14ac:dyDescent="0.3">
      <c r="A531" s="174">
        <v>44701</v>
      </c>
      <c r="B531" s="155">
        <v>1130.9000000000001</v>
      </c>
      <c r="C531" s="155">
        <f t="shared" si="16"/>
        <v>2.0345558713402972E-2</v>
      </c>
      <c r="E531" s="174">
        <v>44701</v>
      </c>
      <c r="F531" s="175">
        <v>16266.150390625</v>
      </c>
      <c r="G531" s="155">
        <f t="shared" si="17"/>
        <v>2.8891038794289343E-2</v>
      </c>
    </row>
    <row r="532" spans="1:7" ht="12.75" customHeight="1" x14ac:dyDescent="0.3">
      <c r="A532" s="174">
        <v>44704</v>
      </c>
      <c r="B532" s="155">
        <v>1142.9000000000001</v>
      </c>
      <c r="C532" s="155">
        <f t="shared" si="16"/>
        <v>1.0611017773454769E-2</v>
      </c>
      <c r="E532" s="174">
        <v>44704</v>
      </c>
      <c r="F532" s="175">
        <v>16214.7001953125</v>
      </c>
      <c r="G532" s="155">
        <f t="shared" si="17"/>
        <v>-3.1630222318707523E-3</v>
      </c>
    </row>
    <row r="533" spans="1:7" ht="12.75" customHeight="1" x14ac:dyDescent="0.3">
      <c r="A533" s="174">
        <v>44705</v>
      </c>
      <c r="B533" s="155">
        <v>1098.3499999999999</v>
      </c>
      <c r="C533" s="155">
        <f t="shared" si="16"/>
        <v>-3.8979788257940483E-2</v>
      </c>
      <c r="E533" s="174">
        <v>44705</v>
      </c>
      <c r="F533" s="175">
        <v>16125.150390625</v>
      </c>
      <c r="G533" s="155">
        <f t="shared" si="17"/>
        <v>-5.5227542667355585E-3</v>
      </c>
    </row>
    <row r="534" spans="1:7" ht="12.75" customHeight="1" x14ac:dyDescent="0.3">
      <c r="A534" s="174">
        <v>44706</v>
      </c>
      <c r="B534" s="155">
        <v>1060.1500000000001</v>
      </c>
      <c r="C534" s="155">
        <f t="shared" si="16"/>
        <v>-3.4779441890107725E-2</v>
      </c>
      <c r="E534" s="174">
        <v>44706</v>
      </c>
      <c r="F534" s="175">
        <v>16025.7998046875</v>
      </c>
      <c r="G534" s="155">
        <f t="shared" si="17"/>
        <v>-6.1612191843656494E-3</v>
      </c>
    </row>
    <row r="535" spans="1:7" ht="12.75" customHeight="1" x14ac:dyDescent="0.3">
      <c r="A535" s="174">
        <v>44707</v>
      </c>
      <c r="B535" s="155">
        <v>1078.5999999999999</v>
      </c>
      <c r="C535" s="155">
        <f t="shared" si="16"/>
        <v>1.7403197660708216E-2</v>
      </c>
      <c r="E535" s="174">
        <v>44707</v>
      </c>
      <c r="F535" s="175">
        <v>16170.150390625</v>
      </c>
      <c r="G535" s="155">
        <f t="shared" si="17"/>
        <v>9.0073873189953288E-3</v>
      </c>
    </row>
    <row r="536" spans="1:7" ht="12.75" customHeight="1" x14ac:dyDescent="0.3">
      <c r="A536" s="174">
        <v>44708</v>
      </c>
      <c r="B536" s="155">
        <v>1123.25</v>
      </c>
      <c r="C536" s="155">
        <f t="shared" si="16"/>
        <v>4.1396254403856941E-2</v>
      </c>
      <c r="E536" s="174">
        <v>44708</v>
      </c>
      <c r="F536" s="175">
        <v>16352.4501953125</v>
      </c>
      <c r="G536" s="155">
        <f t="shared" si="17"/>
        <v>1.1273847198922301E-2</v>
      </c>
    </row>
    <row r="537" spans="1:7" ht="12.75" customHeight="1" x14ac:dyDescent="0.3">
      <c r="A537" s="174">
        <v>44711</v>
      </c>
      <c r="B537" s="155">
        <v>1164</v>
      </c>
      <c r="C537" s="155">
        <f t="shared" si="16"/>
        <v>3.627865568662364E-2</v>
      </c>
      <c r="E537" s="174">
        <v>44711</v>
      </c>
      <c r="F537" s="175">
        <v>16661.400390625</v>
      </c>
      <c r="G537" s="155">
        <f t="shared" si="17"/>
        <v>1.8893205092962884E-2</v>
      </c>
    </row>
    <row r="538" spans="1:7" ht="12.75" customHeight="1" x14ac:dyDescent="0.3">
      <c r="A538" s="174">
        <v>44712</v>
      </c>
      <c r="B538" s="155">
        <v>1180.25</v>
      </c>
      <c r="C538" s="155">
        <f t="shared" si="16"/>
        <v>1.3960481099656358E-2</v>
      </c>
      <c r="E538" s="174">
        <v>44712</v>
      </c>
      <c r="F538" s="175">
        <v>16584.55078125</v>
      </c>
      <c r="G538" s="155">
        <f t="shared" si="17"/>
        <v>-4.6124339835348759E-3</v>
      </c>
    </row>
    <row r="539" spans="1:7" ht="12.75" customHeight="1" x14ac:dyDescent="0.3">
      <c r="A539" s="174">
        <v>44713</v>
      </c>
      <c r="B539" s="155">
        <v>1146.5999999999999</v>
      </c>
      <c r="C539" s="155">
        <f t="shared" si="16"/>
        <v>-2.851090870578275E-2</v>
      </c>
      <c r="E539" s="174">
        <v>44713</v>
      </c>
      <c r="F539" s="175">
        <v>16522.75</v>
      </c>
      <c r="G539" s="155">
        <f t="shared" si="17"/>
        <v>-3.7264067061659654E-3</v>
      </c>
    </row>
    <row r="540" spans="1:7" ht="12.75" customHeight="1" x14ac:dyDescent="0.3">
      <c r="A540" s="174">
        <v>44714</v>
      </c>
      <c r="B540" s="155">
        <v>1146</v>
      </c>
      <c r="C540" s="155">
        <f t="shared" si="16"/>
        <v>-5.2328623757187252E-4</v>
      </c>
      <c r="E540" s="174">
        <v>44714</v>
      </c>
      <c r="F540" s="175">
        <v>16628</v>
      </c>
      <c r="G540" s="155">
        <f t="shared" si="17"/>
        <v>6.3700049931155528E-3</v>
      </c>
    </row>
    <row r="541" spans="1:7" ht="12.75" customHeight="1" x14ac:dyDescent="0.3">
      <c r="A541" s="174">
        <v>44715</v>
      </c>
      <c r="B541" s="155">
        <v>1147.9000000000001</v>
      </c>
      <c r="C541" s="155">
        <f t="shared" si="16"/>
        <v>1.6579406631763447E-3</v>
      </c>
      <c r="E541" s="174">
        <v>44715</v>
      </c>
      <c r="F541" s="175">
        <v>16584.30078125</v>
      </c>
      <c r="G541" s="155">
        <f t="shared" si="17"/>
        <v>-2.6280502014674042E-3</v>
      </c>
    </row>
    <row r="542" spans="1:7" ht="12.75" customHeight="1" x14ac:dyDescent="0.3">
      <c r="A542" s="174">
        <v>44718</v>
      </c>
      <c r="B542" s="155">
        <v>1144.2</v>
      </c>
      <c r="C542" s="155">
        <f t="shared" si="16"/>
        <v>-3.2232772889624925E-3</v>
      </c>
      <c r="E542" s="174">
        <v>44718</v>
      </c>
      <c r="F542" s="175">
        <v>16569.55078125</v>
      </c>
      <c r="G542" s="155">
        <f t="shared" si="17"/>
        <v>-8.893953501299351E-4</v>
      </c>
    </row>
    <row r="543" spans="1:7" ht="12.75" customHeight="1" x14ac:dyDescent="0.3">
      <c r="A543" s="174">
        <v>44719</v>
      </c>
      <c r="B543" s="155">
        <v>1130.3</v>
      </c>
      <c r="C543" s="155">
        <f t="shared" si="16"/>
        <v>-1.2148225834644371E-2</v>
      </c>
      <c r="E543" s="174">
        <v>44719</v>
      </c>
      <c r="F543" s="175">
        <v>16416.349609375</v>
      </c>
      <c r="G543" s="155">
        <f t="shared" si="17"/>
        <v>-9.2459460064760173E-3</v>
      </c>
    </row>
    <row r="544" spans="1:7" ht="12.75" customHeight="1" x14ac:dyDescent="0.3">
      <c r="A544" s="174">
        <v>44720</v>
      </c>
      <c r="B544" s="155">
        <v>1124.2</v>
      </c>
      <c r="C544" s="155">
        <f t="shared" si="16"/>
        <v>-5.3967973104484734E-3</v>
      </c>
      <c r="E544" s="174">
        <v>44720</v>
      </c>
      <c r="F544" s="175">
        <v>16356.25</v>
      </c>
      <c r="G544" s="155">
        <f t="shared" si="17"/>
        <v>-3.6609606157923498E-3</v>
      </c>
    </row>
    <row r="545" spans="1:7" ht="12.75" customHeight="1" x14ac:dyDescent="0.3">
      <c r="A545" s="174">
        <v>44721</v>
      </c>
      <c r="B545" s="155">
        <v>1138.5999999999999</v>
      </c>
      <c r="C545" s="155">
        <f t="shared" si="16"/>
        <v>1.2809108699519537E-2</v>
      </c>
      <c r="E545" s="174">
        <v>44721</v>
      </c>
      <c r="F545" s="175">
        <v>16478.099609375</v>
      </c>
      <c r="G545" s="155">
        <f t="shared" si="17"/>
        <v>7.4497277416889565E-3</v>
      </c>
    </row>
    <row r="546" spans="1:7" ht="12.75" customHeight="1" x14ac:dyDescent="0.3">
      <c r="A546" s="174">
        <v>44722</v>
      </c>
      <c r="B546" s="155">
        <v>1109.8499999999999</v>
      </c>
      <c r="C546" s="155">
        <f t="shared" si="16"/>
        <v>-2.5250307395046551E-2</v>
      </c>
      <c r="E546" s="174">
        <v>44722</v>
      </c>
      <c r="F546" s="175">
        <v>16201.7998046875</v>
      </c>
      <c r="G546" s="155">
        <f t="shared" si="17"/>
        <v>-1.6767698414100061E-2</v>
      </c>
    </row>
    <row r="547" spans="1:7" ht="12.75" customHeight="1" x14ac:dyDescent="0.3">
      <c r="A547" s="174">
        <v>44725</v>
      </c>
      <c r="B547" s="155">
        <v>1051.95</v>
      </c>
      <c r="C547" s="155">
        <f t="shared" si="16"/>
        <v>-5.2169212055683083E-2</v>
      </c>
      <c r="E547" s="174">
        <v>44725</v>
      </c>
      <c r="F547" s="175">
        <v>15774.400390625</v>
      </c>
      <c r="G547" s="155">
        <f t="shared" si="17"/>
        <v>-2.6379749115209097E-2</v>
      </c>
    </row>
    <row r="548" spans="1:7" ht="12.75" customHeight="1" x14ac:dyDescent="0.3">
      <c r="A548" s="174">
        <v>44726</v>
      </c>
      <c r="B548" s="155">
        <v>1030.1500000000001</v>
      </c>
      <c r="C548" s="155">
        <f t="shared" si="16"/>
        <v>-2.0723418413422647E-2</v>
      </c>
      <c r="E548" s="174">
        <v>44726</v>
      </c>
      <c r="F548" s="175">
        <v>15732.099609375</v>
      </c>
      <c r="G548" s="155">
        <f t="shared" si="17"/>
        <v>-2.6816094559854137E-3</v>
      </c>
    </row>
    <row r="549" spans="1:7" ht="12.75" customHeight="1" x14ac:dyDescent="0.3">
      <c r="A549" s="174">
        <v>44727</v>
      </c>
      <c r="B549" s="155">
        <v>1020.05</v>
      </c>
      <c r="C549" s="155">
        <f t="shared" si="16"/>
        <v>-9.8043974178519001E-3</v>
      </c>
      <c r="E549" s="174">
        <v>44727</v>
      </c>
      <c r="F549" s="175">
        <v>15692.150390625</v>
      </c>
      <c r="G549" s="155">
        <f t="shared" si="17"/>
        <v>-2.5393443813560425E-3</v>
      </c>
    </row>
    <row r="550" spans="1:7" ht="12.75" customHeight="1" x14ac:dyDescent="0.3">
      <c r="A550" s="174">
        <v>44728</v>
      </c>
      <c r="B550" s="155">
        <v>975.3</v>
      </c>
      <c r="C550" s="155">
        <f t="shared" si="16"/>
        <v>-4.3870398509876972E-2</v>
      </c>
      <c r="E550" s="174">
        <v>44728</v>
      </c>
      <c r="F550" s="175">
        <v>15360.599609375</v>
      </c>
      <c r="G550" s="155">
        <f t="shared" si="17"/>
        <v>-2.1128447854290206E-2</v>
      </c>
    </row>
    <row r="551" spans="1:7" ht="12.75" customHeight="1" x14ac:dyDescent="0.3">
      <c r="A551" s="174">
        <v>44729</v>
      </c>
      <c r="B551" s="155">
        <v>965.05</v>
      </c>
      <c r="C551" s="155">
        <f t="shared" si="16"/>
        <v>-1.0509586793807034E-2</v>
      </c>
      <c r="E551" s="174">
        <v>44729</v>
      </c>
      <c r="F551" s="175">
        <v>15293.5</v>
      </c>
      <c r="G551" s="155">
        <f t="shared" si="17"/>
        <v>-4.3682936266398898E-3</v>
      </c>
    </row>
    <row r="552" spans="1:7" ht="12.75" customHeight="1" x14ac:dyDescent="0.3">
      <c r="A552" s="174">
        <v>44732</v>
      </c>
      <c r="B552" s="155">
        <v>979.35</v>
      </c>
      <c r="C552" s="155">
        <f t="shared" si="16"/>
        <v>1.4817885083674492E-2</v>
      </c>
      <c r="E552" s="174">
        <v>44732</v>
      </c>
      <c r="F552" s="175">
        <v>15350.150390625</v>
      </c>
      <c r="G552" s="155">
        <f t="shared" si="17"/>
        <v>3.7042135956452085E-3</v>
      </c>
    </row>
    <row r="553" spans="1:7" ht="12.75" customHeight="1" x14ac:dyDescent="0.3">
      <c r="A553" s="174">
        <v>44733</v>
      </c>
      <c r="B553" s="155">
        <v>1000.1</v>
      </c>
      <c r="C553" s="155">
        <f t="shared" si="16"/>
        <v>2.1187522336243426E-2</v>
      </c>
      <c r="E553" s="174">
        <v>44733</v>
      </c>
      <c r="F553" s="175">
        <v>15638.7998046875</v>
      </c>
      <c r="G553" s="155">
        <f t="shared" si="17"/>
        <v>1.8804337854487124E-2</v>
      </c>
    </row>
    <row r="554" spans="1:7" ht="12.75" customHeight="1" x14ac:dyDescent="0.3">
      <c r="A554" s="174">
        <v>44734</v>
      </c>
      <c r="B554" s="155">
        <v>980</v>
      </c>
      <c r="C554" s="155">
        <f t="shared" si="16"/>
        <v>-2.0097990200979923E-2</v>
      </c>
      <c r="E554" s="174">
        <v>44734</v>
      </c>
      <c r="F554" s="175">
        <v>15413.2998046875</v>
      </c>
      <c r="G554" s="155">
        <f t="shared" si="17"/>
        <v>-1.4419265085317462E-2</v>
      </c>
    </row>
    <row r="555" spans="1:7" ht="12.75" customHeight="1" x14ac:dyDescent="0.3">
      <c r="A555" s="174">
        <v>44735</v>
      </c>
      <c r="B555" s="155">
        <v>991.1</v>
      </c>
      <c r="C555" s="155">
        <f t="shared" si="16"/>
        <v>1.1326530612244921E-2</v>
      </c>
      <c r="E555" s="174">
        <v>44735</v>
      </c>
      <c r="F555" s="175">
        <v>15556.650390625</v>
      </c>
      <c r="G555" s="155">
        <f t="shared" si="17"/>
        <v>9.3004475196092756E-3</v>
      </c>
    </row>
    <row r="556" spans="1:7" ht="12.75" customHeight="1" x14ac:dyDescent="0.3">
      <c r="A556" s="174">
        <v>44736</v>
      </c>
      <c r="B556" s="155">
        <v>981.2</v>
      </c>
      <c r="C556" s="155">
        <f t="shared" si="16"/>
        <v>-9.9889012208656813E-3</v>
      </c>
      <c r="E556" s="174">
        <v>44736</v>
      </c>
      <c r="F556" s="175">
        <v>15699.25</v>
      </c>
      <c r="G556" s="155">
        <f t="shared" si="17"/>
        <v>9.1664725885294493E-3</v>
      </c>
    </row>
    <row r="557" spans="1:7" ht="12.75" customHeight="1" x14ac:dyDescent="0.3">
      <c r="A557" s="174">
        <v>44739</v>
      </c>
      <c r="B557" s="155">
        <v>1007.2</v>
      </c>
      <c r="C557" s="155">
        <f t="shared" si="16"/>
        <v>2.6498165511618425E-2</v>
      </c>
      <c r="E557" s="174">
        <v>44739</v>
      </c>
      <c r="F557" s="175">
        <v>15832.0498046875</v>
      </c>
      <c r="G557" s="155">
        <f t="shared" si="17"/>
        <v>8.4589903777250505E-3</v>
      </c>
    </row>
    <row r="558" spans="1:7" ht="12.75" customHeight="1" x14ac:dyDescent="0.3">
      <c r="A558" s="174">
        <v>44740</v>
      </c>
      <c r="B558" s="155">
        <v>1020.7</v>
      </c>
      <c r="C558" s="155">
        <f t="shared" si="16"/>
        <v>1.3403494837172358E-2</v>
      </c>
      <c r="E558" s="174">
        <v>44740</v>
      </c>
      <c r="F558" s="175">
        <v>15850.2001953125</v>
      </c>
      <c r="G558" s="155">
        <f t="shared" si="17"/>
        <v>1.14643339611186E-3</v>
      </c>
    </row>
    <row r="559" spans="1:7" ht="12.75" customHeight="1" x14ac:dyDescent="0.3">
      <c r="A559" s="174">
        <v>44741</v>
      </c>
      <c r="B559" s="155">
        <v>1021.1</v>
      </c>
      <c r="C559" s="155">
        <f t="shared" si="16"/>
        <v>3.9188792005484199E-4</v>
      </c>
      <c r="E559" s="174">
        <v>44741</v>
      </c>
      <c r="F559" s="175">
        <v>15799.099609375</v>
      </c>
      <c r="G559" s="155">
        <f t="shared" si="17"/>
        <v>-3.2239710103227821E-3</v>
      </c>
    </row>
    <row r="560" spans="1:7" ht="12.75" customHeight="1" x14ac:dyDescent="0.3">
      <c r="A560" s="174">
        <v>44742</v>
      </c>
      <c r="B560" s="155">
        <v>1000</v>
      </c>
      <c r="C560" s="155">
        <f t="shared" si="16"/>
        <v>-2.0663989814905515E-2</v>
      </c>
      <c r="E560" s="174">
        <v>44742</v>
      </c>
      <c r="F560" s="175">
        <v>15780.25</v>
      </c>
      <c r="G560" s="155">
        <f t="shared" si="17"/>
        <v>-1.1930812414028243E-3</v>
      </c>
    </row>
    <row r="561" spans="1:7" ht="12.75" customHeight="1" x14ac:dyDescent="0.3">
      <c r="A561" s="174">
        <v>44743</v>
      </c>
      <c r="B561" s="155">
        <v>1010.7</v>
      </c>
      <c r="C561" s="155">
        <f t="shared" si="16"/>
        <v>1.0700000000000046E-2</v>
      </c>
      <c r="E561" s="174">
        <v>44743</v>
      </c>
      <c r="F561" s="175">
        <v>15752.0498046875</v>
      </c>
      <c r="G561" s="155">
        <f t="shared" si="17"/>
        <v>-1.7870563085185596E-3</v>
      </c>
    </row>
    <row r="562" spans="1:7" ht="12.75" customHeight="1" x14ac:dyDescent="0.3">
      <c r="A562" s="174">
        <v>44746</v>
      </c>
      <c r="B562" s="155">
        <v>999.95</v>
      </c>
      <c r="C562" s="155">
        <f t="shared" si="16"/>
        <v>-1.0636192737706539E-2</v>
      </c>
      <c r="E562" s="174">
        <v>44746</v>
      </c>
      <c r="F562" s="175">
        <v>15835.349609375</v>
      </c>
      <c r="G562" s="155">
        <f t="shared" si="17"/>
        <v>5.288188249805534E-3</v>
      </c>
    </row>
    <row r="563" spans="1:7" ht="12.75" customHeight="1" x14ac:dyDescent="0.3">
      <c r="A563" s="174">
        <v>44747</v>
      </c>
      <c r="B563" s="155">
        <v>1003.2</v>
      </c>
      <c r="C563" s="155">
        <f t="shared" si="16"/>
        <v>3.2501625081254059E-3</v>
      </c>
      <c r="E563" s="174">
        <v>44747</v>
      </c>
      <c r="F563" s="175">
        <v>15810.849609375</v>
      </c>
      <c r="G563" s="155">
        <f t="shared" si="17"/>
        <v>-1.5471713984448608E-3</v>
      </c>
    </row>
    <row r="564" spans="1:7" ht="12.75" customHeight="1" x14ac:dyDescent="0.3">
      <c r="A564" s="174">
        <v>44748</v>
      </c>
      <c r="B564" s="155">
        <v>1009.9</v>
      </c>
      <c r="C564" s="155">
        <f t="shared" si="16"/>
        <v>6.6786283891546363E-3</v>
      </c>
      <c r="E564" s="174">
        <v>44748</v>
      </c>
      <c r="F564" s="175">
        <v>15989.7998046875</v>
      </c>
      <c r="G564" s="155">
        <f t="shared" si="17"/>
        <v>1.1318189707300232E-2</v>
      </c>
    </row>
    <row r="565" spans="1:7" ht="12.75" customHeight="1" x14ac:dyDescent="0.3">
      <c r="A565" s="174">
        <v>44749</v>
      </c>
      <c r="B565" s="155">
        <v>1020.75</v>
      </c>
      <c r="C565" s="155">
        <f t="shared" si="16"/>
        <v>1.0743637983958831E-2</v>
      </c>
      <c r="E565" s="174">
        <v>44749</v>
      </c>
      <c r="F565" s="175">
        <v>16132.900390625</v>
      </c>
      <c r="G565" s="155">
        <f t="shared" si="17"/>
        <v>8.9494920315105666E-3</v>
      </c>
    </row>
    <row r="566" spans="1:7" ht="12.75" customHeight="1" x14ac:dyDescent="0.3">
      <c r="A566" s="174">
        <v>44750</v>
      </c>
      <c r="B566" s="155">
        <v>1026.5</v>
      </c>
      <c r="C566" s="155">
        <f t="shared" si="16"/>
        <v>5.6331129071760964E-3</v>
      </c>
      <c r="E566" s="174">
        <v>44750</v>
      </c>
      <c r="F566" s="175">
        <v>16220.599609375</v>
      </c>
      <c r="G566" s="155">
        <f t="shared" si="17"/>
        <v>5.436047866567313E-3</v>
      </c>
    </row>
    <row r="567" spans="1:7" ht="12.75" customHeight="1" x14ac:dyDescent="0.3">
      <c r="A567" s="174">
        <v>44753</v>
      </c>
      <c r="B567" s="155">
        <v>1007.55</v>
      </c>
      <c r="C567" s="155">
        <f t="shared" si="16"/>
        <v>-1.846078908913789E-2</v>
      </c>
      <c r="E567" s="174">
        <v>44753</v>
      </c>
      <c r="F567" s="175">
        <v>16216</v>
      </c>
      <c r="G567" s="155">
        <f t="shared" si="17"/>
        <v>-2.8356592763325282E-4</v>
      </c>
    </row>
    <row r="568" spans="1:7" ht="12.75" customHeight="1" x14ac:dyDescent="0.3">
      <c r="A568" s="174">
        <v>44754</v>
      </c>
      <c r="B568" s="155">
        <v>997.35</v>
      </c>
      <c r="C568" s="155">
        <f t="shared" si="16"/>
        <v>-1.0123567068631762E-2</v>
      </c>
      <c r="E568" s="174">
        <v>44754</v>
      </c>
      <c r="F568" s="175">
        <v>16058.2998046875</v>
      </c>
      <c r="G568" s="155">
        <f t="shared" si="17"/>
        <v>-9.7249750439380861E-3</v>
      </c>
    </row>
    <row r="569" spans="1:7" ht="12.75" customHeight="1" x14ac:dyDescent="0.3">
      <c r="A569" s="174">
        <v>44755</v>
      </c>
      <c r="B569" s="155">
        <v>990.05</v>
      </c>
      <c r="C569" s="155">
        <f t="shared" si="16"/>
        <v>-7.3193964004612906E-3</v>
      </c>
      <c r="E569" s="174">
        <v>44755</v>
      </c>
      <c r="F569" s="175">
        <v>15966.650390625</v>
      </c>
      <c r="G569" s="155">
        <f t="shared" si="17"/>
        <v>-5.707292501522924E-3</v>
      </c>
    </row>
    <row r="570" spans="1:7" ht="12.75" customHeight="1" x14ac:dyDescent="0.3">
      <c r="A570" s="174">
        <v>44756</v>
      </c>
      <c r="B570" s="155">
        <v>975.8</v>
      </c>
      <c r="C570" s="155">
        <f t="shared" si="16"/>
        <v>-1.439321246401697E-2</v>
      </c>
      <c r="E570" s="174">
        <v>44756</v>
      </c>
      <c r="F570" s="175">
        <v>15938.650390625</v>
      </c>
      <c r="G570" s="155">
        <f t="shared" si="17"/>
        <v>-1.7536552323109999E-3</v>
      </c>
    </row>
    <row r="571" spans="1:7" ht="12.75" customHeight="1" x14ac:dyDescent="0.3">
      <c r="A571" s="174">
        <v>44757</v>
      </c>
      <c r="B571" s="155">
        <v>973.8</v>
      </c>
      <c r="C571" s="155">
        <f t="shared" si="16"/>
        <v>-2.0496003279360524E-3</v>
      </c>
      <c r="E571" s="174">
        <v>44757</v>
      </c>
      <c r="F571" s="175">
        <v>16049.2001953125</v>
      </c>
      <c r="G571" s="155">
        <f t="shared" si="17"/>
        <v>6.9359576863875878E-3</v>
      </c>
    </row>
    <row r="572" spans="1:7" ht="12.75" customHeight="1" x14ac:dyDescent="0.3">
      <c r="A572" s="174">
        <v>44760</v>
      </c>
      <c r="B572" s="155">
        <v>1008</v>
      </c>
      <c r="C572" s="155">
        <f t="shared" si="16"/>
        <v>3.5120147874306888E-2</v>
      </c>
      <c r="E572" s="174">
        <v>44760</v>
      </c>
      <c r="F572" s="175">
        <v>16278.5</v>
      </c>
      <c r="G572" s="155">
        <f t="shared" si="17"/>
        <v>1.4287304158276481E-2</v>
      </c>
    </row>
    <row r="573" spans="1:7" ht="12.75" customHeight="1" x14ac:dyDescent="0.3">
      <c r="A573" s="174">
        <v>44761</v>
      </c>
      <c r="B573" s="155">
        <v>1007.7</v>
      </c>
      <c r="C573" s="155">
        <f t="shared" si="16"/>
        <v>-2.9761904761900249E-4</v>
      </c>
      <c r="E573" s="174">
        <v>44761</v>
      </c>
      <c r="F573" s="175">
        <v>16340.5498046875</v>
      </c>
      <c r="G573" s="155">
        <f t="shared" si="17"/>
        <v>3.8117642711244892E-3</v>
      </c>
    </row>
    <row r="574" spans="1:7" ht="12.75" customHeight="1" x14ac:dyDescent="0.3">
      <c r="A574" s="174">
        <v>44762</v>
      </c>
      <c r="B574" s="155">
        <v>1045.5</v>
      </c>
      <c r="C574" s="155">
        <f t="shared" si="16"/>
        <v>3.7511164036915699E-2</v>
      </c>
      <c r="E574" s="174">
        <v>44762</v>
      </c>
      <c r="F574" s="175">
        <v>16520.849609375</v>
      </c>
      <c r="G574" s="155">
        <f t="shared" si="17"/>
        <v>1.1033888506969248E-2</v>
      </c>
    </row>
    <row r="575" spans="1:7" ht="12.75" customHeight="1" x14ac:dyDescent="0.3">
      <c r="A575" s="174">
        <v>44763</v>
      </c>
      <c r="B575" s="155">
        <v>1032.75</v>
      </c>
      <c r="C575" s="155">
        <f t="shared" si="16"/>
        <v>-1.2195121951219513E-2</v>
      </c>
      <c r="E575" s="174">
        <v>44763</v>
      </c>
      <c r="F575" s="175">
        <v>16605.25</v>
      </c>
      <c r="G575" s="155">
        <f t="shared" si="17"/>
        <v>5.1087197462959628E-3</v>
      </c>
    </row>
    <row r="576" spans="1:7" ht="12.75" customHeight="1" x14ac:dyDescent="0.3">
      <c r="A576" s="174">
        <v>44764</v>
      </c>
      <c r="B576" s="155">
        <v>1028.7</v>
      </c>
      <c r="C576" s="155">
        <f t="shared" si="16"/>
        <v>-3.9215686274509361E-3</v>
      </c>
      <c r="E576" s="174">
        <v>44764</v>
      </c>
      <c r="F576" s="175">
        <v>16719.44921875</v>
      </c>
      <c r="G576" s="155">
        <f t="shared" si="17"/>
        <v>6.8772959606148657E-3</v>
      </c>
    </row>
    <row r="577" spans="1:7" ht="12.75" customHeight="1" x14ac:dyDescent="0.3">
      <c r="A577" s="174">
        <v>44767</v>
      </c>
      <c r="B577" s="155">
        <v>1017.25</v>
      </c>
      <c r="C577" s="155">
        <f t="shared" si="16"/>
        <v>-1.1130553125303826E-2</v>
      </c>
      <c r="E577" s="174">
        <v>44767</v>
      </c>
      <c r="F577" s="175">
        <v>16631</v>
      </c>
      <c r="G577" s="155">
        <f t="shared" si="17"/>
        <v>-5.2901993117577557E-3</v>
      </c>
    </row>
    <row r="578" spans="1:7" ht="12.75" customHeight="1" x14ac:dyDescent="0.3">
      <c r="A578" s="174">
        <v>44768</v>
      </c>
      <c r="B578" s="155">
        <v>999.35</v>
      </c>
      <c r="C578" s="155">
        <f t="shared" si="16"/>
        <v>-1.7596461046940258E-2</v>
      </c>
      <c r="E578" s="174">
        <v>44768</v>
      </c>
      <c r="F578" s="175">
        <v>16483.849609375</v>
      </c>
      <c r="G578" s="155">
        <f t="shared" si="17"/>
        <v>-8.8479580677650171E-3</v>
      </c>
    </row>
    <row r="579" spans="1:7" ht="12.75" customHeight="1" x14ac:dyDescent="0.3">
      <c r="A579" s="174">
        <v>44769</v>
      </c>
      <c r="B579" s="155">
        <v>1007.65</v>
      </c>
      <c r="C579" s="155">
        <f t="shared" si="16"/>
        <v>8.3053985090308247E-3</v>
      </c>
      <c r="E579" s="174">
        <v>44769</v>
      </c>
      <c r="F579" s="175">
        <v>16641.80078125</v>
      </c>
      <c r="G579" s="155">
        <f t="shared" si="17"/>
        <v>9.5821774414374099E-3</v>
      </c>
    </row>
    <row r="580" spans="1:7" ht="12.75" customHeight="1" x14ac:dyDescent="0.3">
      <c r="A580" s="174">
        <v>44770</v>
      </c>
      <c r="B580" s="155">
        <v>1038</v>
      </c>
      <c r="C580" s="155">
        <f t="shared" ref="C580:C643" si="18">(B580-B579)/B579</f>
        <v>3.0119585173423336E-2</v>
      </c>
      <c r="E580" s="174">
        <v>44770</v>
      </c>
      <c r="F580" s="175">
        <v>16929.599609375</v>
      </c>
      <c r="G580" s="155">
        <f t="shared" ref="G580:G643" si="19">(F580-F579)/F579</f>
        <v>1.7293731123692903E-2</v>
      </c>
    </row>
    <row r="581" spans="1:7" ht="12.75" customHeight="1" x14ac:dyDescent="0.3">
      <c r="A581" s="174">
        <v>44771</v>
      </c>
      <c r="B581" s="155">
        <v>1048.6500000000001</v>
      </c>
      <c r="C581" s="155">
        <f t="shared" si="18"/>
        <v>1.0260115606936503E-2</v>
      </c>
      <c r="E581" s="174">
        <v>44771</v>
      </c>
      <c r="F581" s="175">
        <v>17158.25</v>
      </c>
      <c r="G581" s="155">
        <f t="shared" si="19"/>
        <v>1.3505953826479256E-2</v>
      </c>
    </row>
    <row r="582" spans="1:7" ht="12.75" customHeight="1" x14ac:dyDescent="0.3">
      <c r="A582" s="174">
        <v>44774</v>
      </c>
      <c r="B582" s="155">
        <v>1049.5999999999999</v>
      </c>
      <c r="C582" s="155">
        <f t="shared" si="18"/>
        <v>9.0592666762010019E-4</v>
      </c>
      <c r="E582" s="174">
        <v>44774</v>
      </c>
      <c r="F582" s="175">
        <v>17340.05078125</v>
      </c>
      <c r="G582" s="155">
        <f t="shared" si="19"/>
        <v>1.059553166843938E-2</v>
      </c>
    </row>
    <row r="583" spans="1:7" ht="12.75" customHeight="1" x14ac:dyDescent="0.3">
      <c r="A583" s="174">
        <v>44775</v>
      </c>
      <c r="B583" s="155">
        <v>1032.5999999999999</v>
      </c>
      <c r="C583" s="155">
        <f t="shared" si="18"/>
        <v>-1.6196646341463415E-2</v>
      </c>
      <c r="E583" s="174">
        <v>44775</v>
      </c>
      <c r="F583" s="175">
        <v>17345.44921875</v>
      </c>
      <c r="G583" s="155">
        <f t="shared" si="19"/>
        <v>3.1132766380577117E-4</v>
      </c>
    </row>
    <row r="584" spans="1:7" ht="12.75" customHeight="1" x14ac:dyDescent="0.3">
      <c r="A584" s="174">
        <v>44776</v>
      </c>
      <c r="B584" s="155">
        <v>1052.6500000000001</v>
      </c>
      <c r="C584" s="155">
        <f t="shared" si="18"/>
        <v>1.9417005616889582E-2</v>
      </c>
      <c r="E584" s="174">
        <v>44776</v>
      </c>
      <c r="F584" s="175">
        <v>17388.150390625</v>
      </c>
      <c r="G584" s="155">
        <f t="shared" si="19"/>
        <v>2.4618083588657416E-3</v>
      </c>
    </row>
    <row r="585" spans="1:7" ht="12.75" customHeight="1" x14ac:dyDescent="0.3">
      <c r="A585" s="174">
        <v>44777</v>
      </c>
      <c r="B585" s="155">
        <v>1056.05</v>
      </c>
      <c r="C585" s="155">
        <f t="shared" si="18"/>
        <v>3.2299434759890402E-3</v>
      </c>
      <c r="E585" s="174">
        <v>44777</v>
      </c>
      <c r="F585" s="175">
        <v>17382</v>
      </c>
      <c r="G585" s="155">
        <f t="shared" si="19"/>
        <v>-3.537116074356043E-4</v>
      </c>
    </row>
    <row r="586" spans="1:7" ht="12.75" customHeight="1" x14ac:dyDescent="0.3">
      <c r="A586" s="174">
        <v>44778</v>
      </c>
      <c r="B586" s="155">
        <v>1058.2</v>
      </c>
      <c r="C586" s="155">
        <f t="shared" si="18"/>
        <v>2.0358884522514E-3</v>
      </c>
      <c r="E586" s="174">
        <v>44778</v>
      </c>
      <c r="F586" s="175">
        <v>17397.5</v>
      </c>
      <c r="G586" s="155">
        <f t="shared" si="19"/>
        <v>8.9172707398458174E-4</v>
      </c>
    </row>
    <row r="587" spans="1:7" ht="12.75" customHeight="1" x14ac:dyDescent="0.3">
      <c r="A587" s="174">
        <v>44781</v>
      </c>
      <c r="B587" s="155">
        <v>1056.5999999999999</v>
      </c>
      <c r="C587" s="155">
        <f t="shared" si="18"/>
        <v>-1.5120015120016408E-3</v>
      </c>
      <c r="E587" s="174">
        <v>44781</v>
      </c>
      <c r="F587" s="175">
        <v>17525.099609375</v>
      </c>
      <c r="G587" s="155">
        <f t="shared" si="19"/>
        <v>7.3343646716482252E-3</v>
      </c>
    </row>
    <row r="588" spans="1:7" ht="12.75" customHeight="1" x14ac:dyDescent="0.3">
      <c r="A588" s="174">
        <v>44783</v>
      </c>
      <c r="B588" s="155">
        <v>1055.2</v>
      </c>
      <c r="C588" s="155">
        <f t="shared" si="18"/>
        <v>-1.3250047321596288E-3</v>
      </c>
      <c r="E588" s="174">
        <v>44783</v>
      </c>
      <c r="F588" s="175">
        <v>17534.75</v>
      </c>
      <c r="G588" s="155">
        <f t="shared" si="19"/>
        <v>5.5066109979982946E-4</v>
      </c>
    </row>
    <row r="589" spans="1:7" ht="12.75" customHeight="1" x14ac:dyDescent="0.3">
      <c r="A589" s="174">
        <v>44784</v>
      </c>
      <c r="B589" s="155">
        <v>1077.25</v>
      </c>
      <c r="C589" s="155">
        <f t="shared" si="18"/>
        <v>2.0896512509476831E-2</v>
      </c>
      <c r="E589" s="174">
        <v>44784</v>
      </c>
      <c r="F589" s="175">
        <v>17659</v>
      </c>
      <c r="G589" s="155">
        <f t="shared" si="19"/>
        <v>7.0859293688247619E-3</v>
      </c>
    </row>
    <row r="590" spans="1:7" ht="12.75" customHeight="1" x14ac:dyDescent="0.3">
      <c r="A590" s="174">
        <v>44785</v>
      </c>
      <c r="B590" s="155">
        <v>1065.9000000000001</v>
      </c>
      <c r="C590" s="155">
        <f t="shared" si="18"/>
        <v>-1.0536087259224794E-2</v>
      </c>
      <c r="E590" s="174">
        <v>44785</v>
      </c>
      <c r="F590" s="175">
        <v>17698.150390625</v>
      </c>
      <c r="G590" s="155">
        <f t="shared" si="19"/>
        <v>2.2170219505634522E-3</v>
      </c>
    </row>
    <row r="591" spans="1:7" ht="12.75" customHeight="1" x14ac:dyDescent="0.3">
      <c r="A591" s="174">
        <v>44789</v>
      </c>
      <c r="B591" s="155">
        <v>1077.7</v>
      </c>
      <c r="C591" s="155">
        <f t="shared" si="18"/>
        <v>1.1070456890890285E-2</v>
      </c>
      <c r="E591" s="174">
        <v>44789</v>
      </c>
      <c r="F591" s="175">
        <v>17825.25</v>
      </c>
      <c r="G591" s="155">
        <f t="shared" si="19"/>
        <v>7.18151934353133E-3</v>
      </c>
    </row>
    <row r="592" spans="1:7" ht="12.75" customHeight="1" x14ac:dyDescent="0.3">
      <c r="A592" s="174">
        <v>44790</v>
      </c>
      <c r="B592" s="155">
        <v>1104.5</v>
      </c>
      <c r="C592" s="155">
        <f t="shared" si="18"/>
        <v>2.4867773963069457E-2</v>
      </c>
      <c r="E592" s="174">
        <v>44790</v>
      </c>
      <c r="F592" s="175">
        <v>17944.25</v>
      </c>
      <c r="G592" s="155">
        <f t="shared" si="19"/>
        <v>6.675923198833116E-3</v>
      </c>
    </row>
    <row r="593" spans="1:7" ht="12.75" customHeight="1" x14ac:dyDescent="0.3">
      <c r="A593" s="174">
        <v>44791</v>
      </c>
      <c r="B593" s="155">
        <v>1105.1500000000001</v>
      </c>
      <c r="C593" s="155">
        <f t="shared" si="18"/>
        <v>5.8850158442742503E-4</v>
      </c>
      <c r="E593" s="174">
        <v>44791</v>
      </c>
      <c r="F593" s="175">
        <v>17956.5</v>
      </c>
      <c r="G593" s="155">
        <f t="shared" si="19"/>
        <v>6.8266993605193866E-4</v>
      </c>
    </row>
    <row r="594" spans="1:7" ht="12.75" customHeight="1" x14ac:dyDescent="0.3">
      <c r="A594" s="174">
        <v>44792</v>
      </c>
      <c r="B594" s="155">
        <v>1104.1500000000001</v>
      </c>
      <c r="C594" s="155">
        <f t="shared" si="18"/>
        <v>-9.0485454463195029E-4</v>
      </c>
      <c r="E594" s="174">
        <v>44792</v>
      </c>
      <c r="F594" s="175">
        <v>17758.44921875</v>
      </c>
      <c r="G594" s="155">
        <f t="shared" si="19"/>
        <v>-1.1029475746944004E-2</v>
      </c>
    </row>
    <row r="595" spans="1:7" ht="12.75" customHeight="1" x14ac:dyDescent="0.3">
      <c r="A595" s="174">
        <v>44795</v>
      </c>
      <c r="B595" s="155">
        <v>1078.7</v>
      </c>
      <c r="C595" s="155">
        <f t="shared" si="18"/>
        <v>-2.3049404519313539E-2</v>
      </c>
      <c r="E595" s="174">
        <v>44795</v>
      </c>
      <c r="F595" s="175">
        <v>17490.69921875</v>
      </c>
      <c r="G595" s="155">
        <f t="shared" si="19"/>
        <v>-1.5077330047338822E-2</v>
      </c>
    </row>
    <row r="596" spans="1:7" ht="12.75" customHeight="1" x14ac:dyDescent="0.3">
      <c r="A596" s="174">
        <v>44796</v>
      </c>
      <c r="B596" s="155">
        <v>1065.9000000000001</v>
      </c>
      <c r="C596" s="155">
        <f t="shared" si="18"/>
        <v>-1.1866135162695794E-2</v>
      </c>
      <c r="E596" s="174">
        <v>44796</v>
      </c>
      <c r="F596" s="175">
        <v>17577.5</v>
      </c>
      <c r="G596" s="155">
        <f t="shared" si="19"/>
        <v>4.9626821755044369E-3</v>
      </c>
    </row>
    <row r="597" spans="1:7" ht="12.75" customHeight="1" x14ac:dyDescent="0.3">
      <c r="A597" s="174">
        <v>44797</v>
      </c>
      <c r="B597" s="155">
        <v>1070.95</v>
      </c>
      <c r="C597" s="155">
        <f t="shared" si="18"/>
        <v>4.737780279575902E-3</v>
      </c>
      <c r="E597" s="174">
        <v>44797</v>
      </c>
      <c r="F597" s="175">
        <v>17604.94921875</v>
      </c>
      <c r="G597" s="155">
        <f t="shared" si="19"/>
        <v>1.5616110795050491E-3</v>
      </c>
    </row>
    <row r="598" spans="1:7" ht="12.75" customHeight="1" x14ac:dyDescent="0.3">
      <c r="A598" s="174">
        <v>44798</v>
      </c>
      <c r="B598" s="155">
        <v>1070.5999999999999</v>
      </c>
      <c r="C598" s="155">
        <f t="shared" si="18"/>
        <v>-3.2681264298065868E-4</v>
      </c>
      <c r="E598" s="174">
        <v>44798</v>
      </c>
      <c r="F598" s="175">
        <v>17522.44921875</v>
      </c>
      <c r="G598" s="155">
        <f t="shared" si="19"/>
        <v>-4.686182219266732E-3</v>
      </c>
    </row>
    <row r="599" spans="1:7" ht="12.75" customHeight="1" x14ac:dyDescent="0.3">
      <c r="A599" s="174">
        <v>44799</v>
      </c>
      <c r="B599" s="155">
        <v>1085.55</v>
      </c>
      <c r="C599" s="155">
        <f t="shared" si="18"/>
        <v>1.3964132262282875E-2</v>
      </c>
      <c r="E599" s="174">
        <v>44799</v>
      </c>
      <c r="F599" s="175">
        <v>17558.900390625</v>
      </c>
      <c r="G599" s="155">
        <f t="shared" si="19"/>
        <v>2.0802555293466174E-3</v>
      </c>
    </row>
    <row r="600" spans="1:7" ht="12.75" customHeight="1" x14ac:dyDescent="0.3">
      <c r="A600" s="174">
        <v>44802</v>
      </c>
      <c r="B600" s="155">
        <v>1035.55</v>
      </c>
      <c r="C600" s="155">
        <f t="shared" si="18"/>
        <v>-4.6059601123854273E-2</v>
      </c>
      <c r="E600" s="174">
        <v>44802</v>
      </c>
      <c r="F600" s="175">
        <v>17312.900390625</v>
      </c>
      <c r="G600" s="155">
        <f t="shared" si="19"/>
        <v>-1.400998892455382E-2</v>
      </c>
    </row>
    <row r="601" spans="1:7" ht="12.75" customHeight="1" x14ac:dyDescent="0.3">
      <c r="A601" s="174">
        <v>44803</v>
      </c>
      <c r="B601" s="155">
        <v>1076.0999999999999</v>
      </c>
      <c r="C601" s="155">
        <f t="shared" si="18"/>
        <v>3.915793539664908E-2</v>
      </c>
      <c r="E601" s="174">
        <v>44803</v>
      </c>
      <c r="F601" s="175">
        <v>17759.30078125</v>
      </c>
      <c r="G601" s="155">
        <f t="shared" si="19"/>
        <v>2.5784263789025638E-2</v>
      </c>
    </row>
    <row r="602" spans="1:7" ht="12.75" customHeight="1" x14ac:dyDescent="0.3">
      <c r="A602" s="174">
        <v>44805</v>
      </c>
      <c r="B602" s="155">
        <v>1052.9000000000001</v>
      </c>
      <c r="C602" s="155">
        <f t="shared" si="18"/>
        <v>-2.1559334634327496E-2</v>
      </c>
      <c r="E602" s="174">
        <v>44805</v>
      </c>
      <c r="F602" s="175">
        <v>17542.80078125</v>
      </c>
      <c r="G602" s="155">
        <f t="shared" si="19"/>
        <v>-1.2190795272107639E-2</v>
      </c>
    </row>
    <row r="603" spans="1:7" ht="12.75" customHeight="1" x14ac:dyDescent="0.3">
      <c r="A603" s="174">
        <v>44806</v>
      </c>
      <c r="B603" s="155">
        <v>1056.4000000000001</v>
      </c>
      <c r="C603" s="155">
        <f t="shared" si="18"/>
        <v>3.3241523411530055E-3</v>
      </c>
      <c r="E603" s="174">
        <v>44806</v>
      </c>
      <c r="F603" s="175">
        <v>17539.44921875</v>
      </c>
      <c r="G603" s="155">
        <f t="shared" si="19"/>
        <v>-1.9105059344812252E-4</v>
      </c>
    </row>
    <row r="604" spans="1:7" ht="12.75" customHeight="1" x14ac:dyDescent="0.3">
      <c r="A604" s="174">
        <v>44809</v>
      </c>
      <c r="B604" s="155">
        <v>1065.05</v>
      </c>
      <c r="C604" s="155">
        <f t="shared" si="18"/>
        <v>8.1881862930706772E-3</v>
      </c>
      <c r="E604" s="174">
        <v>44809</v>
      </c>
      <c r="F604" s="175">
        <v>17665.80078125</v>
      </c>
      <c r="G604" s="155">
        <f t="shared" si="19"/>
        <v>7.2038500710117975E-3</v>
      </c>
    </row>
    <row r="605" spans="1:7" ht="12.75" customHeight="1" x14ac:dyDescent="0.3">
      <c r="A605" s="174">
        <v>44810</v>
      </c>
      <c r="B605" s="155">
        <v>1063.7</v>
      </c>
      <c r="C605" s="155">
        <f t="shared" si="18"/>
        <v>-1.2675461245950041E-3</v>
      </c>
      <c r="E605" s="174">
        <v>44810</v>
      </c>
      <c r="F605" s="175">
        <v>17655.599609375</v>
      </c>
      <c r="G605" s="155">
        <f t="shared" si="19"/>
        <v>-5.7745312546642362E-4</v>
      </c>
    </row>
    <row r="606" spans="1:7" ht="12.75" customHeight="1" x14ac:dyDescent="0.3">
      <c r="A606" s="174">
        <v>44811</v>
      </c>
      <c r="B606" s="155">
        <v>1055.8499999999999</v>
      </c>
      <c r="C606" s="155">
        <f t="shared" si="18"/>
        <v>-7.3799003478425646E-3</v>
      </c>
      <c r="E606" s="174">
        <v>44811</v>
      </c>
      <c r="F606" s="175">
        <v>17624.400390625</v>
      </c>
      <c r="G606" s="155">
        <f t="shared" si="19"/>
        <v>-1.7671004916442166E-3</v>
      </c>
    </row>
    <row r="607" spans="1:7" ht="12.75" customHeight="1" x14ac:dyDescent="0.3">
      <c r="A607" s="174">
        <v>44812</v>
      </c>
      <c r="B607" s="155">
        <v>1089.5999999999999</v>
      </c>
      <c r="C607" s="155">
        <f t="shared" si="18"/>
        <v>3.1964767722687887E-2</v>
      </c>
      <c r="E607" s="174">
        <v>44812</v>
      </c>
      <c r="F607" s="175">
        <v>17798.75</v>
      </c>
      <c r="G607" s="155">
        <f t="shared" si="19"/>
        <v>9.8925129655895866E-3</v>
      </c>
    </row>
    <row r="608" spans="1:7" ht="12.75" customHeight="1" x14ac:dyDescent="0.3">
      <c r="A608" s="174">
        <v>44813</v>
      </c>
      <c r="B608" s="155">
        <v>1126.6500000000001</v>
      </c>
      <c r="C608" s="155">
        <f t="shared" si="18"/>
        <v>3.4003303964757876E-2</v>
      </c>
      <c r="E608" s="174">
        <v>44813</v>
      </c>
      <c r="F608" s="175">
        <v>17833.349609375</v>
      </c>
      <c r="G608" s="155">
        <f t="shared" si="19"/>
        <v>1.943934791769085E-3</v>
      </c>
    </row>
    <row r="609" spans="1:7" ht="12.75" customHeight="1" x14ac:dyDescent="0.3">
      <c r="A609" s="174">
        <v>44816</v>
      </c>
      <c r="B609" s="155">
        <v>1150.0999999999999</v>
      </c>
      <c r="C609" s="155">
        <f t="shared" si="18"/>
        <v>2.0813917365641341E-2</v>
      </c>
      <c r="E609" s="174">
        <v>44816</v>
      </c>
      <c r="F609" s="175">
        <v>17936.349609375</v>
      </c>
      <c r="G609" s="155">
        <f t="shared" si="19"/>
        <v>5.77569566324505E-3</v>
      </c>
    </row>
    <row r="610" spans="1:7" ht="12.75" customHeight="1" x14ac:dyDescent="0.3">
      <c r="A610" s="174">
        <v>44817</v>
      </c>
      <c r="B610" s="155">
        <v>1147.45</v>
      </c>
      <c r="C610" s="155">
        <f t="shared" si="18"/>
        <v>-2.3041474654376696E-3</v>
      </c>
      <c r="E610" s="174">
        <v>44817</v>
      </c>
      <c r="F610" s="175">
        <v>18070.05078125</v>
      </c>
      <c r="G610" s="155">
        <f t="shared" si="19"/>
        <v>7.4542019299800475E-3</v>
      </c>
    </row>
    <row r="611" spans="1:7" ht="12.75" customHeight="1" x14ac:dyDescent="0.3">
      <c r="A611" s="174">
        <v>44818</v>
      </c>
      <c r="B611" s="155">
        <v>1114.7</v>
      </c>
      <c r="C611" s="155">
        <f t="shared" si="18"/>
        <v>-2.8541548651357357E-2</v>
      </c>
      <c r="E611" s="174">
        <v>44818</v>
      </c>
      <c r="F611" s="175">
        <v>18003.75</v>
      </c>
      <c r="G611" s="155">
        <f t="shared" si="19"/>
        <v>-3.6690976717561625E-3</v>
      </c>
    </row>
    <row r="612" spans="1:7" ht="12.75" customHeight="1" x14ac:dyDescent="0.3">
      <c r="A612" s="174">
        <v>44819</v>
      </c>
      <c r="B612" s="155">
        <v>1083</v>
      </c>
      <c r="C612" s="155">
        <f t="shared" si="18"/>
        <v>-2.8438144792320843E-2</v>
      </c>
      <c r="E612" s="174">
        <v>44819</v>
      </c>
      <c r="F612" s="175">
        <v>17877.400390625</v>
      </c>
      <c r="G612" s="155">
        <f t="shared" si="19"/>
        <v>-7.0179606679164064E-3</v>
      </c>
    </row>
    <row r="613" spans="1:7" ht="12.75" customHeight="1" x14ac:dyDescent="0.3">
      <c r="A613" s="174">
        <v>44820</v>
      </c>
      <c r="B613" s="155">
        <v>1033.2</v>
      </c>
      <c r="C613" s="155">
        <f t="shared" si="18"/>
        <v>-4.5983379501385001E-2</v>
      </c>
      <c r="E613" s="174">
        <v>44820</v>
      </c>
      <c r="F613" s="175">
        <v>17530.849609375</v>
      </c>
      <c r="G613" s="155">
        <f t="shared" si="19"/>
        <v>-1.9384853148544628E-2</v>
      </c>
    </row>
    <row r="614" spans="1:7" ht="12.75" customHeight="1" x14ac:dyDescent="0.3">
      <c r="A614" s="174">
        <v>44823</v>
      </c>
      <c r="B614" s="155">
        <v>1039.5</v>
      </c>
      <c r="C614" s="155">
        <f t="shared" si="18"/>
        <v>6.0975609756097121E-3</v>
      </c>
      <c r="E614" s="174">
        <v>44823</v>
      </c>
      <c r="F614" s="175">
        <v>17622.25</v>
      </c>
      <c r="G614" s="155">
        <f t="shared" si="19"/>
        <v>5.2136885924867933E-3</v>
      </c>
    </row>
    <row r="615" spans="1:7" ht="12.75" customHeight="1" x14ac:dyDescent="0.3">
      <c r="A615" s="174">
        <v>44824</v>
      </c>
      <c r="B615" s="155">
        <v>1056.1500000000001</v>
      </c>
      <c r="C615" s="155">
        <f t="shared" si="18"/>
        <v>1.6017316017316104E-2</v>
      </c>
      <c r="E615" s="174">
        <v>44824</v>
      </c>
      <c r="F615" s="175">
        <v>17816.25</v>
      </c>
      <c r="G615" s="155">
        <f t="shared" si="19"/>
        <v>1.1008809885230319E-2</v>
      </c>
    </row>
    <row r="616" spans="1:7" ht="12.75" customHeight="1" x14ac:dyDescent="0.3">
      <c r="A616" s="174">
        <v>44825</v>
      </c>
      <c r="B616" s="155">
        <v>1060.1500000000001</v>
      </c>
      <c r="C616" s="155">
        <f t="shared" si="18"/>
        <v>3.7873408133314392E-3</v>
      </c>
      <c r="E616" s="174">
        <v>44825</v>
      </c>
      <c r="F616" s="175">
        <v>17718.349609375</v>
      </c>
      <c r="G616" s="155">
        <f t="shared" si="19"/>
        <v>-5.4950054374517648E-3</v>
      </c>
    </row>
    <row r="617" spans="1:7" ht="12.75" customHeight="1" x14ac:dyDescent="0.3">
      <c r="A617" s="174">
        <v>44826</v>
      </c>
      <c r="B617" s="155">
        <v>1048.4000000000001</v>
      </c>
      <c r="C617" s="155">
        <f t="shared" si="18"/>
        <v>-1.1083337263594773E-2</v>
      </c>
      <c r="E617" s="174">
        <v>44826</v>
      </c>
      <c r="F617" s="175">
        <v>17629.80078125</v>
      </c>
      <c r="G617" s="155">
        <f t="shared" si="19"/>
        <v>-4.9975776569025207E-3</v>
      </c>
    </row>
    <row r="618" spans="1:7" ht="12.75" customHeight="1" x14ac:dyDescent="0.3">
      <c r="A618" s="174">
        <v>44827</v>
      </c>
      <c r="B618" s="155">
        <v>1035.0999999999999</v>
      </c>
      <c r="C618" s="155">
        <f t="shared" si="18"/>
        <v>-1.2685997710797578E-2</v>
      </c>
      <c r="E618" s="174">
        <v>44827</v>
      </c>
      <c r="F618" s="175">
        <v>17327.349609375</v>
      </c>
      <c r="G618" s="155">
        <f t="shared" si="19"/>
        <v>-1.7155677232420515E-2</v>
      </c>
    </row>
    <row r="619" spans="1:7" ht="12.75" customHeight="1" x14ac:dyDescent="0.3">
      <c r="A619" s="174">
        <v>44830</v>
      </c>
      <c r="B619" s="155">
        <v>1032.9000000000001</v>
      </c>
      <c r="C619" s="155">
        <f t="shared" si="18"/>
        <v>-2.1253985122208661E-3</v>
      </c>
      <c r="E619" s="174">
        <v>44830</v>
      </c>
      <c r="F619" s="175">
        <v>17016.30078125</v>
      </c>
      <c r="G619" s="155">
        <f t="shared" si="19"/>
        <v>-1.7951321762256493E-2</v>
      </c>
    </row>
    <row r="620" spans="1:7" ht="12.75" customHeight="1" x14ac:dyDescent="0.3">
      <c r="A620" s="174">
        <v>44831</v>
      </c>
      <c r="B620" s="155">
        <v>1022.5</v>
      </c>
      <c r="C620" s="155">
        <f t="shared" si="18"/>
        <v>-1.0068738503243383E-2</v>
      </c>
      <c r="E620" s="174">
        <v>44831</v>
      </c>
      <c r="F620" s="175">
        <v>17007.400390625</v>
      </c>
      <c r="G620" s="155">
        <f t="shared" si="19"/>
        <v>-5.2305085220444639E-4</v>
      </c>
    </row>
    <row r="621" spans="1:7" ht="12.75" customHeight="1" x14ac:dyDescent="0.3">
      <c r="A621" s="174">
        <v>44832</v>
      </c>
      <c r="B621" s="155">
        <v>1029.7</v>
      </c>
      <c r="C621" s="155">
        <f t="shared" si="18"/>
        <v>7.0415647921760836E-3</v>
      </c>
      <c r="E621" s="174">
        <v>44832</v>
      </c>
      <c r="F621" s="175">
        <v>16858.599609375</v>
      </c>
      <c r="G621" s="155">
        <f t="shared" si="19"/>
        <v>-8.7491784653946029E-3</v>
      </c>
    </row>
    <row r="622" spans="1:7" ht="12.75" customHeight="1" x14ac:dyDescent="0.3">
      <c r="A622" s="174">
        <v>44833</v>
      </c>
      <c r="B622" s="155">
        <v>1007.1</v>
      </c>
      <c r="C622" s="155">
        <f t="shared" si="18"/>
        <v>-2.1948140235019929E-2</v>
      </c>
      <c r="E622" s="174">
        <v>44833</v>
      </c>
      <c r="F622" s="175">
        <v>16818.099609375</v>
      </c>
      <c r="G622" s="155">
        <f t="shared" si="19"/>
        <v>-2.4023347691037229E-3</v>
      </c>
    </row>
    <row r="623" spans="1:7" ht="12.75" customHeight="1" x14ac:dyDescent="0.3">
      <c r="A623" s="174">
        <v>44834</v>
      </c>
      <c r="B623" s="155">
        <v>1008.6</v>
      </c>
      <c r="C623" s="155">
        <f t="shared" si="18"/>
        <v>1.4894250819183794E-3</v>
      </c>
      <c r="E623" s="174">
        <v>44834</v>
      </c>
      <c r="F623" s="175">
        <v>17094.349609375</v>
      </c>
      <c r="G623" s="155">
        <f t="shared" si="19"/>
        <v>1.6425755966269134E-2</v>
      </c>
    </row>
    <row r="624" spans="1:7" ht="12.75" customHeight="1" x14ac:dyDescent="0.3">
      <c r="A624" s="174">
        <v>44837</v>
      </c>
      <c r="B624" s="155">
        <v>1005.5</v>
      </c>
      <c r="C624" s="155">
        <f t="shared" si="18"/>
        <v>-3.0735673210390865E-3</v>
      </c>
      <c r="E624" s="174">
        <v>44837</v>
      </c>
      <c r="F624" s="175">
        <v>16887.349609375</v>
      </c>
      <c r="G624" s="155">
        <f t="shared" si="19"/>
        <v>-1.2109264448790473E-2</v>
      </c>
    </row>
    <row r="625" spans="1:7" ht="12.75" customHeight="1" x14ac:dyDescent="0.3">
      <c r="A625" s="174">
        <v>44838</v>
      </c>
      <c r="B625" s="155">
        <v>1028.3</v>
      </c>
      <c r="C625" s="155">
        <f t="shared" si="18"/>
        <v>2.2675285927399258E-2</v>
      </c>
      <c r="E625" s="174">
        <v>44838</v>
      </c>
      <c r="F625" s="175">
        <v>17274.30078125</v>
      </c>
      <c r="G625" s="155">
        <f t="shared" si="19"/>
        <v>2.2913670932719031E-2</v>
      </c>
    </row>
    <row r="626" spans="1:7" ht="12.75" customHeight="1" x14ac:dyDescent="0.3">
      <c r="A626" s="174">
        <v>44840</v>
      </c>
      <c r="B626" s="155">
        <v>1031.3</v>
      </c>
      <c r="C626" s="155">
        <f t="shared" si="18"/>
        <v>2.9174365457551301E-3</v>
      </c>
      <c r="E626" s="174">
        <v>44840</v>
      </c>
      <c r="F626" s="175">
        <v>17331.80078125</v>
      </c>
      <c r="G626" s="155">
        <f t="shared" si="19"/>
        <v>3.3286441360574244E-3</v>
      </c>
    </row>
    <row r="627" spans="1:7" ht="12.75" customHeight="1" x14ac:dyDescent="0.3">
      <c r="A627" s="174">
        <v>44841</v>
      </c>
      <c r="B627" s="155">
        <v>1023.85</v>
      </c>
      <c r="C627" s="155">
        <f t="shared" si="18"/>
        <v>-7.2238921749247864E-3</v>
      </c>
      <c r="E627" s="174">
        <v>44841</v>
      </c>
      <c r="F627" s="175">
        <v>17314.650390625</v>
      </c>
      <c r="G627" s="155">
        <f t="shared" si="19"/>
        <v>-9.8953310400115763E-4</v>
      </c>
    </row>
    <row r="628" spans="1:7" ht="12.75" customHeight="1" x14ac:dyDescent="0.3">
      <c r="A628" s="174">
        <v>44844</v>
      </c>
      <c r="B628" s="155">
        <v>1029.3499999999999</v>
      </c>
      <c r="C628" s="155">
        <f t="shared" si="18"/>
        <v>5.3718806465789777E-3</v>
      </c>
      <c r="E628" s="174">
        <v>44844</v>
      </c>
      <c r="F628" s="175">
        <v>17241</v>
      </c>
      <c r="G628" s="155">
        <f t="shared" si="19"/>
        <v>-4.253645841147213E-3</v>
      </c>
    </row>
    <row r="629" spans="1:7" ht="12.75" customHeight="1" x14ac:dyDescent="0.3">
      <c r="A629" s="174">
        <v>44845</v>
      </c>
      <c r="B629" s="155">
        <v>1004.85</v>
      </c>
      <c r="C629" s="155">
        <f t="shared" si="18"/>
        <v>-2.3801428085685031E-2</v>
      </c>
      <c r="E629" s="174">
        <v>44845</v>
      </c>
      <c r="F629" s="175">
        <v>16983.55078125</v>
      </c>
      <c r="G629" s="155">
        <f t="shared" si="19"/>
        <v>-1.4932383199930399E-2</v>
      </c>
    </row>
    <row r="630" spans="1:7" ht="12.75" customHeight="1" x14ac:dyDescent="0.3">
      <c r="A630" s="174">
        <v>44846</v>
      </c>
      <c r="B630" s="155">
        <v>1015.9</v>
      </c>
      <c r="C630" s="155">
        <f t="shared" si="18"/>
        <v>1.0996666169079917E-2</v>
      </c>
      <c r="E630" s="174">
        <v>44846</v>
      </c>
      <c r="F630" s="175">
        <v>17123.599609375</v>
      </c>
      <c r="G630" s="155">
        <f t="shared" si="19"/>
        <v>8.2461453396197471E-3</v>
      </c>
    </row>
    <row r="631" spans="1:7" ht="12.75" customHeight="1" x14ac:dyDescent="0.3">
      <c r="A631" s="174">
        <v>44847</v>
      </c>
      <c r="B631" s="155">
        <v>1012.95</v>
      </c>
      <c r="C631" s="155">
        <f t="shared" si="18"/>
        <v>-2.9038291170390114E-3</v>
      </c>
      <c r="E631" s="174">
        <v>44847</v>
      </c>
      <c r="F631" s="175">
        <v>17014.349609375</v>
      </c>
      <c r="G631" s="155">
        <f t="shared" si="19"/>
        <v>-6.3800837728176449E-3</v>
      </c>
    </row>
    <row r="632" spans="1:7" ht="12.75" customHeight="1" x14ac:dyDescent="0.3">
      <c r="A632" s="174">
        <v>44848</v>
      </c>
      <c r="B632" s="155">
        <v>1019.85</v>
      </c>
      <c r="C632" s="155">
        <f t="shared" si="18"/>
        <v>6.8117873537686729E-3</v>
      </c>
      <c r="E632" s="174">
        <v>44848</v>
      </c>
      <c r="F632" s="175">
        <v>17185.69921875</v>
      </c>
      <c r="G632" s="155">
        <f t="shared" si="19"/>
        <v>1.0070888003887344E-2</v>
      </c>
    </row>
    <row r="633" spans="1:7" ht="12.75" customHeight="1" x14ac:dyDescent="0.3">
      <c r="A633" s="174">
        <v>44851</v>
      </c>
      <c r="B633" s="155">
        <v>1023.25</v>
      </c>
      <c r="C633" s="155">
        <f t="shared" si="18"/>
        <v>3.3338236015100038E-3</v>
      </c>
      <c r="E633" s="174">
        <v>44851</v>
      </c>
      <c r="F633" s="175">
        <v>17311.80078125</v>
      </c>
      <c r="G633" s="155">
        <f t="shared" si="19"/>
        <v>7.3375869608156676E-3</v>
      </c>
    </row>
    <row r="634" spans="1:7" ht="12.75" customHeight="1" x14ac:dyDescent="0.3">
      <c r="A634" s="174">
        <v>44852</v>
      </c>
      <c r="B634" s="155">
        <v>1019.4</v>
      </c>
      <c r="C634" s="155">
        <f t="shared" si="18"/>
        <v>-3.7625213779623971E-3</v>
      </c>
      <c r="E634" s="174">
        <v>44852</v>
      </c>
      <c r="F634" s="175">
        <v>17486.94921875</v>
      </c>
      <c r="G634" s="155">
        <f t="shared" si="19"/>
        <v>1.0117285874136163E-2</v>
      </c>
    </row>
    <row r="635" spans="1:7" ht="12.75" customHeight="1" x14ac:dyDescent="0.3">
      <c r="A635" s="174">
        <v>44853</v>
      </c>
      <c r="B635" s="155">
        <v>1019.2</v>
      </c>
      <c r="C635" s="155">
        <f t="shared" si="18"/>
        <v>-1.9619383951337236E-4</v>
      </c>
      <c r="E635" s="174">
        <v>44853</v>
      </c>
      <c r="F635" s="175">
        <v>17512.25</v>
      </c>
      <c r="G635" s="155">
        <f t="shared" si="19"/>
        <v>1.4468379208691124E-3</v>
      </c>
    </row>
    <row r="636" spans="1:7" ht="12.75" customHeight="1" x14ac:dyDescent="0.3">
      <c r="A636" s="174">
        <v>44854</v>
      </c>
      <c r="B636" s="155">
        <v>1041.6500000000001</v>
      </c>
      <c r="C636" s="155">
        <f t="shared" si="18"/>
        <v>2.2027080062794392E-2</v>
      </c>
      <c r="E636" s="174">
        <v>44854</v>
      </c>
      <c r="F636" s="175">
        <v>17563.94921875</v>
      </c>
      <c r="G636" s="155">
        <f t="shared" si="19"/>
        <v>2.9521745492441004E-3</v>
      </c>
    </row>
    <row r="637" spans="1:7" ht="12.75" customHeight="1" x14ac:dyDescent="0.3">
      <c r="A637" s="174">
        <v>44855</v>
      </c>
      <c r="B637" s="155">
        <v>1041.1500000000001</v>
      </c>
      <c r="C637" s="155">
        <f t="shared" si="18"/>
        <v>-4.8000768012288191E-4</v>
      </c>
      <c r="E637" s="174">
        <v>44855</v>
      </c>
      <c r="F637" s="175">
        <v>17576.30078125</v>
      </c>
      <c r="G637" s="155">
        <f t="shared" si="19"/>
        <v>7.0323378564624668E-4</v>
      </c>
    </row>
    <row r="638" spans="1:7" ht="12.75" customHeight="1" x14ac:dyDescent="0.3">
      <c r="A638" s="174">
        <v>44858</v>
      </c>
      <c r="B638" s="155">
        <v>1048.1500000000001</v>
      </c>
      <c r="C638" s="155">
        <f t="shared" si="18"/>
        <v>6.7233347740479274E-3</v>
      </c>
      <c r="E638" s="174">
        <v>44858</v>
      </c>
      <c r="F638" s="175">
        <v>17730.75</v>
      </c>
      <c r="G638" s="155">
        <f t="shared" si="19"/>
        <v>8.7873563767617655E-3</v>
      </c>
    </row>
    <row r="639" spans="1:7" ht="12.75" customHeight="1" x14ac:dyDescent="0.3">
      <c r="A639" s="174">
        <v>44859</v>
      </c>
      <c r="B639" s="155">
        <v>1082.5</v>
      </c>
      <c r="C639" s="155">
        <f t="shared" si="18"/>
        <v>3.2772026904546017E-2</v>
      </c>
      <c r="E639" s="174">
        <v>44859</v>
      </c>
      <c r="F639" s="175">
        <v>17656.349609375</v>
      </c>
      <c r="G639" s="155">
        <f t="shared" si="19"/>
        <v>-4.1961220267050185E-3</v>
      </c>
    </row>
    <row r="640" spans="1:7" ht="12.75" customHeight="1" x14ac:dyDescent="0.3">
      <c r="A640" s="174">
        <v>44861</v>
      </c>
      <c r="B640" s="155">
        <v>1075.8499999999999</v>
      </c>
      <c r="C640" s="155">
        <f t="shared" si="18"/>
        <v>-6.1431870669746797E-3</v>
      </c>
      <c r="E640" s="174">
        <v>44861</v>
      </c>
      <c r="F640" s="175">
        <v>17736.94921875</v>
      </c>
      <c r="G640" s="155">
        <f t="shared" si="19"/>
        <v>4.5649078749666347E-3</v>
      </c>
    </row>
    <row r="641" spans="1:7" ht="12.75" customHeight="1" x14ac:dyDescent="0.3">
      <c r="A641" s="174">
        <v>44862</v>
      </c>
      <c r="B641" s="155">
        <v>1048.95</v>
      </c>
      <c r="C641" s="155">
        <f t="shared" si="18"/>
        <v>-2.5003485616024414E-2</v>
      </c>
      <c r="E641" s="174">
        <v>44862</v>
      </c>
      <c r="F641" s="175">
        <v>17786.80078125</v>
      </c>
      <c r="G641" s="155">
        <f t="shared" si="19"/>
        <v>2.8106052447453111E-3</v>
      </c>
    </row>
    <row r="642" spans="1:7" ht="12.75" customHeight="1" x14ac:dyDescent="0.3">
      <c r="A642" s="174">
        <v>44865</v>
      </c>
      <c r="B642" s="155">
        <v>1063.4000000000001</v>
      </c>
      <c r="C642" s="155">
        <f t="shared" si="18"/>
        <v>1.3775680442347152E-2</v>
      </c>
      <c r="E642" s="174">
        <v>44865</v>
      </c>
      <c r="F642" s="175">
        <v>18012.19921875</v>
      </c>
      <c r="G642" s="155">
        <f t="shared" si="19"/>
        <v>1.2672230395564126E-2</v>
      </c>
    </row>
    <row r="643" spans="1:7" ht="12.75" customHeight="1" x14ac:dyDescent="0.3">
      <c r="A643" s="174">
        <v>44866</v>
      </c>
      <c r="B643" s="155">
        <v>1070.9000000000001</v>
      </c>
      <c r="C643" s="155">
        <f t="shared" si="18"/>
        <v>7.0528493511378592E-3</v>
      </c>
      <c r="E643" s="174">
        <v>44866</v>
      </c>
      <c r="F643" s="175">
        <v>18145.400390625</v>
      </c>
      <c r="G643" s="155">
        <f t="shared" si="19"/>
        <v>7.3950532223928962E-3</v>
      </c>
    </row>
    <row r="644" spans="1:7" ht="12.75" customHeight="1" x14ac:dyDescent="0.3">
      <c r="A644" s="174">
        <v>44867</v>
      </c>
      <c r="B644" s="155">
        <v>1082</v>
      </c>
      <c r="C644" s="155">
        <f t="shared" ref="C644:C707" si="20">(B644-B643)/B643</f>
        <v>1.0365113455971527E-2</v>
      </c>
      <c r="E644" s="174">
        <v>44867</v>
      </c>
      <c r="F644" s="175">
        <v>18082.849609375</v>
      </c>
      <c r="G644" s="155">
        <f t="shared" ref="G644:G707" si="21">(F644-F643)/F643</f>
        <v>-3.4471976315450983E-3</v>
      </c>
    </row>
    <row r="645" spans="1:7" ht="12.75" customHeight="1" x14ac:dyDescent="0.3">
      <c r="A645" s="174">
        <v>44868</v>
      </c>
      <c r="B645" s="155">
        <v>1052.8499999999999</v>
      </c>
      <c r="C645" s="155">
        <f t="shared" si="20"/>
        <v>-2.6940850277264408E-2</v>
      </c>
      <c r="E645" s="174">
        <v>44868</v>
      </c>
      <c r="F645" s="175">
        <v>18052.69921875</v>
      </c>
      <c r="G645" s="155">
        <f t="shared" si="21"/>
        <v>-1.6673473084335456E-3</v>
      </c>
    </row>
    <row r="646" spans="1:7" ht="12.75" customHeight="1" x14ac:dyDescent="0.3">
      <c r="A646" s="174">
        <v>44869</v>
      </c>
      <c r="B646" s="155">
        <v>1053.6500000000001</v>
      </c>
      <c r="C646" s="155">
        <f t="shared" si="20"/>
        <v>7.5984233271613431E-4</v>
      </c>
      <c r="E646" s="174">
        <v>44869</v>
      </c>
      <c r="F646" s="175">
        <v>18117.150390625</v>
      </c>
      <c r="G646" s="155">
        <f t="shared" si="21"/>
        <v>3.5701681556882833E-3</v>
      </c>
    </row>
    <row r="647" spans="1:7" ht="12.75" customHeight="1" x14ac:dyDescent="0.3">
      <c r="A647" s="174">
        <v>44872</v>
      </c>
      <c r="B647" s="155">
        <v>1053.5</v>
      </c>
      <c r="C647" s="155">
        <f t="shared" si="20"/>
        <v>-1.4236226450917378E-4</v>
      </c>
      <c r="E647" s="174">
        <v>44872</v>
      </c>
      <c r="F647" s="175">
        <v>18202.80078125</v>
      </c>
      <c r="G647" s="155">
        <f t="shared" si="21"/>
        <v>4.7275862251119315E-3</v>
      </c>
    </row>
    <row r="648" spans="1:7" ht="12.75" customHeight="1" x14ac:dyDescent="0.3">
      <c r="A648" s="174">
        <v>44874</v>
      </c>
      <c r="B648" s="155">
        <v>1028.7</v>
      </c>
      <c r="C648" s="155">
        <f t="shared" si="20"/>
        <v>-2.3540579022306555E-2</v>
      </c>
      <c r="E648" s="174">
        <v>44874</v>
      </c>
      <c r="F648" s="175">
        <v>18157</v>
      </c>
      <c r="G648" s="155">
        <f t="shared" si="21"/>
        <v>-2.5161392359563488E-3</v>
      </c>
    </row>
    <row r="649" spans="1:7" ht="12.75" customHeight="1" x14ac:dyDescent="0.3">
      <c r="A649" s="174">
        <v>44875</v>
      </c>
      <c r="B649" s="155">
        <v>1021.1</v>
      </c>
      <c r="C649" s="155">
        <f t="shared" si="20"/>
        <v>-7.3879653932147592E-3</v>
      </c>
      <c r="E649" s="174">
        <v>44875</v>
      </c>
      <c r="F649" s="175">
        <v>18028.19921875</v>
      </c>
      <c r="G649" s="155">
        <f t="shared" si="21"/>
        <v>-7.093725904609792E-3</v>
      </c>
    </row>
    <row r="650" spans="1:7" ht="12.75" customHeight="1" x14ac:dyDescent="0.3">
      <c r="A650" s="174">
        <v>44876</v>
      </c>
      <c r="B650" s="155">
        <v>1058.7</v>
      </c>
      <c r="C650" s="155">
        <f t="shared" si="20"/>
        <v>3.6823033982959573E-2</v>
      </c>
      <c r="E650" s="174">
        <v>44876</v>
      </c>
      <c r="F650" s="175">
        <v>18349.69921875</v>
      </c>
      <c r="G650" s="155">
        <f t="shared" si="21"/>
        <v>1.7833173247033349E-2</v>
      </c>
    </row>
    <row r="651" spans="1:7" ht="12.75" customHeight="1" x14ac:dyDescent="0.3">
      <c r="A651" s="174">
        <v>44879</v>
      </c>
      <c r="B651" s="155">
        <v>1065.3499999999999</v>
      </c>
      <c r="C651" s="155">
        <f t="shared" si="20"/>
        <v>6.2812883725322215E-3</v>
      </c>
      <c r="E651" s="174">
        <v>44879</v>
      </c>
      <c r="F651" s="175">
        <v>18329.150390625</v>
      </c>
      <c r="G651" s="155">
        <f t="shared" si="21"/>
        <v>-1.1198455015547556E-3</v>
      </c>
    </row>
    <row r="652" spans="1:7" ht="12.75" customHeight="1" x14ac:dyDescent="0.3">
      <c r="A652" s="174">
        <v>44880</v>
      </c>
      <c r="B652" s="155">
        <v>1066.95</v>
      </c>
      <c r="C652" s="155">
        <f t="shared" si="20"/>
        <v>1.5018538508472677E-3</v>
      </c>
      <c r="E652" s="174">
        <v>44880</v>
      </c>
      <c r="F652" s="175">
        <v>18403.400390625</v>
      </c>
      <c r="G652" s="155">
        <f t="shared" si="21"/>
        <v>4.0509242609508738E-3</v>
      </c>
    </row>
    <row r="653" spans="1:7" ht="12.75" customHeight="1" x14ac:dyDescent="0.3">
      <c r="A653" s="174">
        <v>44881</v>
      </c>
      <c r="B653" s="155">
        <v>1066.8499999999999</v>
      </c>
      <c r="C653" s="155">
        <f t="shared" si="20"/>
        <v>-9.3725104269306366E-5</v>
      </c>
      <c r="E653" s="174">
        <v>44881</v>
      </c>
      <c r="F653" s="175">
        <v>18409.650390625</v>
      </c>
      <c r="G653" s="155">
        <f t="shared" si="21"/>
        <v>3.3961115159912808E-4</v>
      </c>
    </row>
    <row r="654" spans="1:7" ht="12.75" customHeight="1" x14ac:dyDescent="0.3">
      <c r="A654" s="174">
        <v>44882</v>
      </c>
      <c r="B654" s="155">
        <v>1058.55</v>
      </c>
      <c r="C654" s="155">
        <f t="shared" si="20"/>
        <v>-7.7799128274827342E-3</v>
      </c>
      <c r="E654" s="174">
        <v>44882</v>
      </c>
      <c r="F654" s="175">
        <v>18343.900390625</v>
      </c>
      <c r="G654" s="155">
        <f t="shared" si="21"/>
        <v>-3.5714963948192506E-3</v>
      </c>
    </row>
    <row r="655" spans="1:7" ht="12.75" customHeight="1" x14ac:dyDescent="0.3">
      <c r="A655" s="174">
        <v>44883</v>
      </c>
      <c r="B655" s="155">
        <v>1060.8499999999999</v>
      </c>
      <c r="C655" s="155">
        <f t="shared" si="20"/>
        <v>2.1727835246327094E-3</v>
      </c>
      <c r="E655" s="174">
        <v>44883</v>
      </c>
      <c r="F655" s="175">
        <v>18307.650390625</v>
      </c>
      <c r="G655" s="155">
        <f t="shared" si="21"/>
        <v>-1.9761337135545203E-3</v>
      </c>
    </row>
    <row r="656" spans="1:7" ht="12.75" customHeight="1" x14ac:dyDescent="0.3">
      <c r="A656" s="174">
        <v>44886</v>
      </c>
      <c r="B656" s="155">
        <v>1042.5999999999999</v>
      </c>
      <c r="C656" s="155">
        <f t="shared" si="20"/>
        <v>-1.720318612433426E-2</v>
      </c>
      <c r="E656" s="174">
        <v>44886</v>
      </c>
      <c r="F656" s="175">
        <v>18159.94921875</v>
      </c>
      <c r="G656" s="155">
        <f t="shared" si="21"/>
        <v>-8.0677295405769262E-3</v>
      </c>
    </row>
    <row r="657" spans="1:7" ht="12.75" customHeight="1" x14ac:dyDescent="0.3">
      <c r="A657" s="174">
        <v>44887</v>
      </c>
      <c r="B657" s="155">
        <v>1050.6500000000001</v>
      </c>
      <c r="C657" s="155">
        <f t="shared" si="20"/>
        <v>7.7210819106082705E-3</v>
      </c>
      <c r="E657" s="174">
        <v>44887</v>
      </c>
      <c r="F657" s="175">
        <v>18244.19921875</v>
      </c>
      <c r="G657" s="155">
        <f t="shared" si="21"/>
        <v>4.6393301536885668E-3</v>
      </c>
    </row>
    <row r="658" spans="1:7" ht="12.75" customHeight="1" x14ac:dyDescent="0.3">
      <c r="A658" s="174">
        <v>44888</v>
      </c>
      <c r="B658" s="155">
        <v>1044.05</v>
      </c>
      <c r="C658" s="155">
        <f t="shared" si="20"/>
        <v>-6.2818255365727277E-3</v>
      </c>
      <c r="E658" s="174">
        <v>44888</v>
      </c>
      <c r="F658" s="175">
        <v>18267.25</v>
      </c>
      <c r="G658" s="155">
        <f t="shared" si="21"/>
        <v>1.2634580983039343E-3</v>
      </c>
    </row>
    <row r="659" spans="1:7" ht="12.75" customHeight="1" x14ac:dyDescent="0.3">
      <c r="A659" s="174">
        <v>44889</v>
      </c>
      <c r="B659" s="155">
        <v>1069.3</v>
      </c>
      <c r="C659" s="155">
        <f t="shared" si="20"/>
        <v>2.4184665485369475E-2</v>
      </c>
      <c r="E659" s="174">
        <v>44889</v>
      </c>
      <c r="F659" s="175">
        <v>18484.099609375</v>
      </c>
      <c r="G659" s="155">
        <f t="shared" si="21"/>
        <v>1.1870949889830161E-2</v>
      </c>
    </row>
    <row r="660" spans="1:7" ht="12.75" customHeight="1" x14ac:dyDescent="0.3">
      <c r="A660" s="174">
        <v>44890</v>
      </c>
      <c r="B660" s="155">
        <v>1080.1500000000001</v>
      </c>
      <c r="C660" s="155">
        <f t="shared" si="20"/>
        <v>1.0146825025717888E-2</v>
      </c>
      <c r="E660" s="174">
        <v>44890</v>
      </c>
      <c r="F660" s="175">
        <v>18512.75</v>
      </c>
      <c r="G660" s="155">
        <f t="shared" si="21"/>
        <v>1.5500019600883741E-3</v>
      </c>
    </row>
    <row r="661" spans="1:7" ht="12.75" customHeight="1" x14ac:dyDescent="0.3">
      <c r="A661" s="174">
        <v>44893</v>
      </c>
      <c r="B661" s="155">
        <v>1077.2</v>
      </c>
      <c r="C661" s="155">
        <f t="shared" si="20"/>
        <v>-2.7311021617368375E-3</v>
      </c>
      <c r="E661" s="174">
        <v>44893</v>
      </c>
      <c r="F661" s="175">
        <v>18562.75</v>
      </c>
      <c r="G661" s="155">
        <f t="shared" si="21"/>
        <v>2.7008413120687092E-3</v>
      </c>
    </row>
    <row r="662" spans="1:7" ht="12.75" customHeight="1" x14ac:dyDescent="0.3">
      <c r="A662" s="174">
        <v>44894</v>
      </c>
      <c r="B662" s="155">
        <v>1074.55</v>
      </c>
      <c r="C662" s="155">
        <f t="shared" si="20"/>
        <v>-2.4600816932789553E-3</v>
      </c>
      <c r="E662" s="174">
        <v>44894</v>
      </c>
      <c r="F662" s="175">
        <v>18618.05078125</v>
      </c>
      <c r="G662" s="155">
        <f t="shared" si="21"/>
        <v>2.9791265437502526E-3</v>
      </c>
    </row>
    <row r="663" spans="1:7" ht="12.75" customHeight="1" x14ac:dyDescent="0.3">
      <c r="A663" s="174">
        <v>44895</v>
      </c>
      <c r="B663" s="155">
        <v>1077</v>
      </c>
      <c r="C663" s="155">
        <f t="shared" si="20"/>
        <v>2.2800241961751853E-3</v>
      </c>
      <c r="E663" s="174">
        <v>44895</v>
      </c>
      <c r="F663" s="175">
        <v>18758.349609375</v>
      </c>
      <c r="G663" s="155">
        <f t="shared" si="21"/>
        <v>7.5356346254191742E-3</v>
      </c>
    </row>
    <row r="664" spans="1:7" ht="12.75" customHeight="1" x14ac:dyDescent="0.3">
      <c r="A664" s="174">
        <v>44896</v>
      </c>
      <c r="B664" s="155">
        <v>1101.5</v>
      </c>
      <c r="C664" s="155">
        <f t="shared" si="20"/>
        <v>2.274837511606314E-2</v>
      </c>
      <c r="E664" s="174">
        <v>44896</v>
      </c>
      <c r="F664" s="175">
        <v>18812.5</v>
      </c>
      <c r="G664" s="155">
        <f t="shared" si="21"/>
        <v>2.8867353340049093E-3</v>
      </c>
    </row>
    <row r="665" spans="1:7" ht="12.75" customHeight="1" x14ac:dyDescent="0.3">
      <c r="A665" s="174">
        <v>44897</v>
      </c>
      <c r="B665" s="155">
        <v>1114.75</v>
      </c>
      <c r="C665" s="155">
        <f t="shared" si="20"/>
        <v>1.2029051293690422E-2</v>
      </c>
      <c r="E665" s="174">
        <v>44897</v>
      </c>
      <c r="F665" s="175">
        <v>18696.099609375</v>
      </c>
      <c r="G665" s="155">
        <f t="shared" si="21"/>
        <v>-6.1873961794019936E-3</v>
      </c>
    </row>
    <row r="666" spans="1:7" ht="12.75" customHeight="1" x14ac:dyDescent="0.3">
      <c r="A666" s="174">
        <v>44900</v>
      </c>
      <c r="B666" s="155">
        <v>1099.75</v>
      </c>
      <c r="C666" s="155">
        <f t="shared" si="20"/>
        <v>-1.3455931823278762E-2</v>
      </c>
      <c r="E666" s="174">
        <v>44900</v>
      </c>
      <c r="F666" s="175">
        <v>18701.05078125</v>
      </c>
      <c r="G666" s="155">
        <f t="shared" si="21"/>
        <v>2.6482378562624241E-4</v>
      </c>
    </row>
    <row r="667" spans="1:7" ht="12.75" customHeight="1" x14ac:dyDescent="0.3">
      <c r="A667" s="174">
        <v>44901</v>
      </c>
      <c r="B667" s="155">
        <v>1088.8</v>
      </c>
      <c r="C667" s="155">
        <f t="shared" si="20"/>
        <v>-9.9568083655376637E-3</v>
      </c>
      <c r="E667" s="174">
        <v>44901</v>
      </c>
      <c r="F667" s="175">
        <v>18642.75</v>
      </c>
      <c r="G667" s="155">
        <f t="shared" si="21"/>
        <v>-3.1175136590962781E-3</v>
      </c>
    </row>
    <row r="668" spans="1:7" ht="12.75" customHeight="1" x14ac:dyDescent="0.3">
      <c r="A668" s="174">
        <v>44902</v>
      </c>
      <c r="B668" s="155">
        <v>1078.05</v>
      </c>
      <c r="C668" s="155">
        <f t="shared" si="20"/>
        <v>-9.8732549595885385E-3</v>
      </c>
      <c r="E668" s="174">
        <v>44902</v>
      </c>
      <c r="F668" s="175">
        <v>18560.5</v>
      </c>
      <c r="G668" s="155">
        <f t="shared" si="21"/>
        <v>-4.4119027503989484E-3</v>
      </c>
    </row>
    <row r="669" spans="1:7" ht="12.75" customHeight="1" x14ac:dyDescent="0.3">
      <c r="A669" s="174">
        <v>44903</v>
      </c>
      <c r="B669" s="155">
        <v>1074.1500000000001</v>
      </c>
      <c r="C669" s="155">
        <f t="shared" si="20"/>
        <v>-3.6176429664671059E-3</v>
      </c>
      <c r="E669" s="174">
        <v>44903</v>
      </c>
      <c r="F669" s="175">
        <v>18609.349609375</v>
      </c>
      <c r="G669" s="155">
        <f t="shared" si="21"/>
        <v>2.6319123609277765E-3</v>
      </c>
    </row>
    <row r="670" spans="1:7" ht="12.75" customHeight="1" x14ac:dyDescent="0.3">
      <c r="A670" s="174">
        <v>44904</v>
      </c>
      <c r="B670" s="155">
        <v>1035.3</v>
      </c>
      <c r="C670" s="155">
        <f t="shared" si="20"/>
        <v>-3.6168132942326611E-2</v>
      </c>
      <c r="E670" s="174">
        <v>44904</v>
      </c>
      <c r="F670" s="175">
        <v>18496.599609375</v>
      </c>
      <c r="G670" s="155">
        <f t="shared" si="21"/>
        <v>-6.058782405979353E-3</v>
      </c>
    </row>
    <row r="671" spans="1:7" ht="12.75" customHeight="1" x14ac:dyDescent="0.3">
      <c r="A671" s="174">
        <v>44907</v>
      </c>
      <c r="B671" s="155">
        <v>1032.0999999999999</v>
      </c>
      <c r="C671" s="155">
        <f t="shared" si="20"/>
        <v>-3.0908915290254473E-3</v>
      </c>
      <c r="E671" s="174">
        <v>44907</v>
      </c>
      <c r="F671" s="175">
        <v>18497.150390625</v>
      </c>
      <c r="G671" s="155">
        <f t="shared" si="21"/>
        <v>2.9777432697458433E-5</v>
      </c>
    </row>
    <row r="672" spans="1:7" ht="12.75" customHeight="1" x14ac:dyDescent="0.3">
      <c r="A672" s="174">
        <v>44908</v>
      </c>
      <c r="B672" s="155">
        <v>1045.75</v>
      </c>
      <c r="C672" s="155">
        <f t="shared" si="20"/>
        <v>1.3225462648968213E-2</v>
      </c>
      <c r="E672" s="174">
        <v>44908</v>
      </c>
      <c r="F672" s="175">
        <v>18608</v>
      </c>
      <c r="G672" s="155">
        <f t="shared" si="21"/>
        <v>5.9927938646799584E-3</v>
      </c>
    </row>
    <row r="673" spans="1:7" ht="12.75" customHeight="1" x14ac:dyDescent="0.3">
      <c r="A673" s="174">
        <v>44909</v>
      </c>
      <c r="B673" s="155">
        <v>1065.0999999999999</v>
      </c>
      <c r="C673" s="155">
        <f t="shared" si="20"/>
        <v>1.850346641166618E-2</v>
      </c>
      <c r="E673" s="174">
        <v>44909</v>
      </c>
      <c r="F673" s="175">
        <v>18660.30078125</v>
      </c>
      <c r="G673" s="155">
        <f t="shared" si="21"/>
        <v>2.8106610731943251E-3</v>
      </c>
    </row>
    <row r="674" spans="1:7" ht="12.75" customHeight="1" x14ac:dyDescent="0.3">
      <c r="A674" s="174">
        <v>44910</v>
      </c>
      <c r="B674" s="155">
        <v>1022.75</v>
      </c>
      <c r="C674" s="155">
        <f t="shared" si="20"/>
        <v>-3.9761524739460999E-2</v>
      </c>
      <c r="E674" s="174">
        <v>44910</v>
      </c>
      <c r="F674" s="175">
        <v>18414.900390625</v>
      </c>
      <c r="G674" s="155">
        <f t="shared" si="21"/>
        <v>-1.3150934355333651E-2</v>
      </c>
    </row>
    <row r="675" spans="1:7" ht="12.75" customHeight="1" x14ac:dyDescent="0.3">
      <c r="A675" s="174">
        <v>44911</v>
      </c>
      <c r="B675" s="155">
        <v>1020.8</v>
      </c>
      <c r="C675" s="155">
        <f t="shared" si="20"/>
        <v>-1.9066242972378836E-3</v>
      </c>
      <c r="E675" s="174">
        <v>44911</v>
      </c>
      <c r="F675" s="175">
        <v>18269</v>
      </c>
      <c r="G675" s="155">
        <f t="shared" si="21"/>
        <v>-7.9229530179418008E-3</v>
      </c>
    </row>
    <row r="676" spans="1:7" ht="12.75" customHeight="1" x14ac:dyDescent="0.3">
      <c r="A676" s="174">
        <v>44914</v>
      </c>
      <c r="B676" s="155">
        <v>1026.7</v>
      </c>
      <c r="C676" s="155">
        <f t="shared" si="20"/>
        <v>5.779780564263412E-3</v>
      </c>
      <c r="E676" s="174">
        <v>44914</v>
      </c>
      <c r="F676" s="175">
        <v>18420.44921875</v>
      </c>
      <c r="G676" s="155">
        <f t="shared" si="21"/>
        <v>8.2899566889265974E-3</v>
      </c>
    </row>
    <row r="677" spans="1:7" ht="12.75" customHeight="1" x14ac:dyDescent="0.3">
      <c r="A677" s="174">
        <v>44915</v>
      </c>
      <c r="B677" s="155">
        <v>1017.95</v>
      </c>
      <c r="C677" s="155">
        <f t="shared" si="20"/>
        <v>-8.5224505697866944E-3</v>
      </c>
      <c r="E677" s="174">
        <v>44915</v>
      </c>
      <c r="F677" s="175">
        <v>18385.30078125</v>
      </c>
      <c r="G677" s="155">
        <f t="shared" si="21"/>
        <v>-1.9081205394395452E-3</v>
      </c>
    </row>
    <row r="678" spans="1:7" ht="12.75" customHeight="1" x14ac:dyDescent="0.3">
      <c r="A678" s="174">
        <v>44916</v>
      </c>
      <c r="B678" s="155">
        <v>1026.05</v>
      </c>
      <c r="C678" s="155">
        <f t="shared" si="20"/>
        <v>7.9571688196865362E-3</v>
      </c>
      <c r="E678" s="174">
        <v>44916</v>
      </c>
      <c r="F678" s="175">
        <v>18199.099609375</v>
      </c>
      <c r="G678" s="155">
        <f t="shared" si="21"/>
        <v>-1.012771964355866E-2</v>
      </c>
    </row>
    <row r="679" spans="1:7" ht="12.75" customHeight="1" x14ac:dyDescent="0.3">
      <c r="A679" s="174">
        <v>44917</v>
      </c>
      <c r="B679" s="155">
        <v>1015.85</v>
      </c>
      <c r="C679" s="155">
        <f t="shared" si="20"/>
        <v>-9.9410360118901923E-3</v>
      </c>
      <c r="E679" s="174">
        <v>44917</v>
      </c>
      <c r="F679" s="175">
        <v>18127.349609375</v>
      </c>
      <c r="G679" s="155">
        <f t="shared" si="21"/>
        <v>-3.9425027358517802E-3</v>
      </c>
    </row>
    <row r="680" spans="1:7" ht="12.75" customHeight="1" x14ac:dyDescent="0.3">
      <c r="A680" s="174">
        <v>44918</v>
      </c>
      <c r="B680" s="155">
        <v>995.75</v>
      </c>
      <c r="C680" s="155">
        <f t="shared" si="20"/>
        <v>-1.9786385785302969E-2</v>
      </c>
      <c r="E680" s="174">
        <v>44918</v>
      </c>
      <c r="F680" s="175">
        <v>17806.80078125</v>
      </c>
      <c r="G680" s="155">
        <f t="shared" si="21"/>
        <v>-1.7683160254117921E-2</v>
      </c>
    </row>
    <row r="681" spans="1:7" ht="12.75" customHeight="1" x14ac:dyDescent="0.3">
      <c r="A681" s="174">
        <v>44921</v>
      </c>
      <c r="B681" s="155">
        <v>1001</v>
      </c>
      <c r="C681" s="155">
        <f t="shared" si="20"/>
        <v>5.272407732864675E-3</v>
      </c>
      <c r="E681" s="174">
        <v>44921</v>
      </c>
      <c r="F681" s="175">
        <v>18014.599609375</v>
      </c>
      <c r="G681" s="155">
        <f t="shared" si="21"/>
        <v>1.1669632893506936E-2</v>
      </c>
    </row>
    <row r="682" spans="1:7" ht="12.75" customHeight="1" x14ac:dyDescent="0.3">
      <c r="A682" s="174">
        <v>44922</v>
      </c>
      <c r="B682" s="155">
        <v>1009.55</v>
      </c>
      <c r="C682" s="155">
        <f t="shared" si="20"/>
        <v>8.5414585414584961E-3</v>
      </c>
      <c r="E682" s="174">
        <v>44922</v>
      </c>
      <c r="F682" s="175">
        <v>18132.30078125</v>
      </c>
      <c r="G682" s="155">
        <f t="shared" si="21"/>
        <v>6.533654614990554E-3</v>
      </c>
    </row>
    <row r="683" spans="1:7" ht="12.75" customHeight="1" x14ac:dyDescent="0.3">
      <c r="A683" s="174">
        <v>44923</v>
      </c>
      <c r="B683" s="155">
        <v>1016.25</v>
      </c>
      <c r="C683" s="155">
        <f t="shared" si="20"/>
        <v>6.6366202763607999E-3</v>
      </c>
      <c r="E683" s="174">
        <v>44923</v>
      </c>
      <c r="F683" s="175">
        <v>18122.5</v>
      </c>
      <c r="G683" s="155">
        <f t="shared" si="21"/>
        <v>-5.405150382313676E-4</v>
      </c>
    </row>
    <row r="684" spans="1:7" ht="12.75" customHeight="1" x14ac:dyDescent="0.3">
      <c r="A684" s="174">
        <v>44924</v>
      </c>
      <c r="B684" s="155">
        <v>1013.2</v>
      </c>
      <c r="C684" s="155">
        <f t="shared" si="20"/>
        <v>-3.0012300123000782E-3</v>
      </c>
      <c r="E684" s="174">
        <v>44924</v>
      </c>
      <c r="F684" s="175">
        <v>18191</v>
      </c>
      <c r="G684" s="155">
        <f t="shared" si="21"/>
        <v>3.7798317009242652E-3</v>
      </c>
    </row>
    <row r="685" spans="1:7" ht="12.75" customHeight="1" x14ac:dyDescent="0.3">
      <c r="A685" s="174">
        <v>44925</v>
      </c>
      <c r="B685" s="155">
        <v>1016.4</v>
      </c>
      <c r="C685" s="155">
        <f t="shared" si="20"/>
        <v>3.1583103039872994E-3</v>
      </c>
      <c r="E685" s="174">
        <v>44925</v>
      </c>
      <c r="F685" s="175">
        <v>18105.30078125</v>
      </c>
      <c r="G685" s="155">
        <f t="shared" si="21"/>
        <v>-4.7110779368918698E-3</v>
      </c>
    </row>
    <row r="686" spans="1:7" ht="12.75" customHeight="1" x14ac:dyDescent="0.3">
      <c r="A686" s="174">
        <v>44928</v>
      </c>
      <c r="B686" s="155">
        <v>1009.5</v>
      </c>
      <c r="C686" s="155">
        <f t="shared" si="20"/>
        <v>-6.7886658795749486E-3</v>
      </c>
      <c r="E686" s="174">
        <v>44928</v>
      </c>
      <c r="F686" s="175">
        <v>18197.44921875</v>
      </c>
      <c r="G686" s="155">
        <f t="shared" si="21"/>
        <v>5.0895833553579895E-3</v>
      </c>
    </row>
    <row r="687" spans="1:7" ht="12.75" customHeight="1" x14ac:dyDescent="0.3">
      <c r="A687" s="174">
        <v>44929</v>
      </c>
      <c r="B687" s="155">
        <v>1023.8</v>
      </c>
      <c r="C687" s="155">
        <f t="shared" si="20"/>
        <v>1.4165428429915755E-2</v>
      </c>
      <c r="E687" s="174">
        <v>44929</v>
      </c>
      <c r="F687" s="175">
        <v>18232.55078125</v>
      </c>
      <c r="G687" s="155">
        <f t="shared" si="21"/>
        <v>1.928927624858137E-3</v>
      </c>
    </row>
    <row r="688" spans="1:7" ht="12.75" customHeight="1" x14ac:dyDescent="0.3">
      <c r="A688" s="174">
        <v>44930</v>
      </c>
      <c r="B688" s="155">
        <v>1020.3</v>
      </c>
      <c r="C688" s="155">
        <f t="shared" si="20"/>
        <v>-3.4186364524321157E-3</v>
      </c>
      <c r="E688" s="174">
        <v>44930</v>
      </c>
      <c r="F688" s="175">
        <v>18042.94921875</v>
      </c>
      <c r="G688" s="155">
        <f t="shared" si="21"/>
        <v>-1.0399069487028801E-2</v>
      </c>
    </row>
    <row r="689" spans="1:7" ht="12.75" customHeight="1" x14ac:dyDescent="0.3">
      <c r="A689" s="174">
        <v>44931</v>
      </c>
      <c r="B689" s="155">
        <v>1011.65</v>
      </c>
      <c r="C689" s="155">
        <f t="shared" si="20"/>
        <v>-8.4778986572576469E-3</v>
      </c>
      <c r="E689" s="174">
        <v>44931</v>
      </c>
      <c r="F689" s="175">
        <v>17992.150390625</v>
      </c>
      <c r="G689" s="155">
        <f t="shared" si="21"/>
        <v>-2.8154392892826255E-3</v>
      </c>
    </row>
    <row r="690" spans="1:7" ht="12.75" customHeight="1" x14ac:dyDescent="0.3">
      <c r="A690" s="174">
        <v>44932</v>
      </c>
      <c r="B690" s="155">
        <v>986.15</v>
      </c>
      <c r="C690" s="155">
        <f t="shared" si="20"/>
        <v>-2.5206346068304256E-2</v>
      </c>
      <c r="E690" s="174">
        <v>44932</v>
      </c>
      <c r="F690" s="175">
        <v>17859.44921875</v>
      </c>
      <c r="G690" s="155">
        <f t="shared" si="21"/>
        <v>-7.3755037054462009E-3</v>
      </c>
    </row>
    <row r="691" spans="1:7" ht="12.75" customHeight="1" x14ac:dyDescent="0.3">
      <c r="A691" s="174">
        <v>44935</v>
      </c>
      <c r="B691" s="155">
        <v>1015.25</v>
      </c>
      <c r="C691" s="155">
        <f t="shared" si="20"/>
        <v>2.9508695431729477E-2</v>
      </c>
      <c r="E691" s="174">
        <v>44935</v>
      </c>
      <c r="F691" s="175">
        <v>18101.19921875</v>
      </c>
      <c r="G691" s="155">
        <f t="shared" si="21"/>
        <v>1.3536251708490276E-2</v>
      </c>
    </row>
    <row r="692" spans="1:7" ht="12.75" customHeight="1" x14ac:dyDescent="0.3">
      <c r="A692" s="174">
        <v>44936</v>
      </c>
      <c r="B692" s="155">
        <v>1002.65</v>
      </c>
      <c r="C692" s="155">
        <f t="shared" si="20"/>
        <v>-1.2410736271854246E-2</v>
      </c>
      <c r="E692" s="174">
        <v>44936</v>
      </c>
      <c r="F692" s="175">
        <v>17914.150390625</v>
      </c>
      <c r="G692" s="155">
        <f t="shared" si="21"/>
        <v>-1.0333504750958532E-2</v>
      </c>
    </row>
    <row r="693" spans="1:7" ht="12.75" customHeight="1" x14ac:dyDescent="0.3">
      <c r="A693" s="174">
        <v>44937</v>
      </c>
      <c r="B693" s="155">
        <v>1006.35</v>
      </c>
      <c r="C693" s="155">
        <f t="shared" si="20"/>
        <v>3.6902209145764182E-3</v>
      </c>
      <c r="E693" s="174">
        <v>44937</v>
      </c>
      <c r="F693" s="175">
        <v>17895.69921875</v>
      </c>
      <c r="G693" s="155">
        <f t="shared" si="21"/>
        <v>-1.0299775022909285E-3</v>
      </c>
    </row>
    <row r="694" spans="1:7" ht="12.75" customHeight="1" x14ac:dyDescent="0.3">
      <c r="A694" s="174">
        <v>44938</v>
      </c>
      <c r="B694" s="155">
        <v>1001.55</v>
      </c>
      <c r="C694" s="155">
        <f t="shared" si="20"/>
        <v>-4.7697123267253618E-3</v>
      </c>
      <c r="E694" s="174">
        <v>44938</v>
      </c>
      <c r="F694" s="175">
        <v>17858.19921875</v>
      </c>
      <c r="G694" s="155">
        <f t="shared" si="21"/>
        <v>-2.0954755408891671E-3</v>
      </c>
    </row>
    <row r="695" spans="1:7" ht="12.75" customHeight="1" x14ac:dyDescent="0.3">
      <c r="A695" s="174">
        <v>44939</v>
      </c>
      <c r="B695" s="155">
        <v>1003.15</v>
      </c>
      <c r="C695" s="155">
        <f t="shared" si="20"/>
        <v>1.5975238380510437E-3</v>
      </c>
      <c r="E695" s="174">
        <v>44939</v>
      </c>
      <c r="F695" s="175">
        <v>17956.599609375</v>
      </c>
      <c r="G695" s="155">
        <f t="shared" si="21"/>
        <v>5.5100959183883276E-3</v>
      </c>
    </row>
    <row r="696" spans="1:7" ht="12.75" customHeight="1" x14ac:dyDescent="0.3">
      <c r="A696" s="174">
        <v>44942</v>
      </c>
      <c r="B696" s="155">
        <v>1034.45</v>
      </c>
      <c r="C696" s="155">
        <f t="shared" si="20"/>
        <v>3.1201714599013178E-2</v>
      </c>
      <c r="E696" s="174">
        <v>44942</v>
      </c>
      <c r="F696" s="175">
        <v>17894.849609375</v>
      </c>
      <c r="G696" s="155">
        <f t="shared" si="21"/>
        <v>-3.4388470725693972E-3</v>
      </c>
    </row>
    <row r="697" spans="1:7" ht="12.75" customHeight="1" x14ac:dyDescent="0.3">
      <c r="A697" s="174">
        <v>44943</v>
      </c>
      <c r="B697" s="155">
        <v>1046.05</v>
      </c>
      <c r="C697" s="155">
        <f t="shared" si="20"/>
        <v>1.1213688433466972E-2</v>
      </c>
      <c r="E697" s="174">
        <v>44943</v>
      </c>
      <c r="F697" s="175">
        <v>18053.30078125</v>
      </c>
      <c r="G697" s="155">
        <f t="shared" si="21"/>
        <v>8.854568511824118E-3</v>
      </c>
    </row>
    <row r="698" spans="1:7" ht="12.75" customHeight="1" x14ac:dyDescent="0.3">
      <c r="A698" s="174">
        <v>44944</v>
      </c>
      <c r="B698" s="155">
        <v>1048.3499999999999</v>
      </c>
      <c r="C698" s="155">
        <f t="shared" si="20"/>
        <v>2.1987476698054152E-3</v>
      </c>
      <c r="E698" s="174">
        <v>44944</v>
      </c>
      <c r="F698" s="175">
        <v>18165.349609375</v>
      </c>
      <c r="G698" s="155">
        <f t="shared" si="21"/>
        <v>6.2065563235601173E-3</v>
      </c>
    </row>
    <row r="699" spans="1:7" ht="12.75" customHeight="1" x14ac:dyDescent="0.3">
      <c r="A699" s="174">
        <v>44945</v>
      </c>
      <c r="B699" s="155">
        <v>1053.3</v>
      </c>
      <c r="C699" s="155">
        <f t="shared" si="20"/>
        <v>4.7217055372729012E-3</v>
      </c>
      <c r="E699" s="174">
        <v>44945</v>
      </c>
      <c r="F699" s="175">
        <v>18107.849609375</v>
      </c>
      <c r="G699" s="155">
        <f t="shared" si="21"/>
        <v>-3.1653670992560848E-3</v>
      </c>
    </row>
    <row r="700" spans="1:7" ht="12.75" customHeight="1" x14ac:dyDescent="0.3">
      <c r="A700" s="174">
        <v>44946</v>
      </c>
      <c r="B700" s="155">
        <v>1046.5</v>
      </c>
      <c r="C700" s="155">
        <f t="shared" si="20"/>
        <v>-6.4559005031804371E-3</v>
      </c>
      <c r="E700" s="174">
        <v>44946</v>
      </c>
      <c r="F700" s="175">
        <v>18027.650390625</v>
      </c>
      <c r="G700" s="155">
        <f t="shared" si="21"/>
        <v>-4.4289753051891022E-3</v>
      </c>
    </row>
    <row r="701" spans="1:7" ht="12.75" customHeight="1" x14ac:dyDescent="0.3">
      <c r="A701" s="174">
        <v>44949</v>
      </c>
      <c r="B701" s="155">
        <v>1065.3</v>
      </c>
      <c r="C701" s="155">
        <f t="shared" si="20"/>
        <v>1.7964644051600531E-2</v>
      </c>
      <c r="E701" s="174">
        <v>44949</v>
      </c>
      <c r="F701" s="175">
        <v>18118.55078125</v>
      </c>
      <c r="G701" s="155">
        <f t="shared" si="21"/>
        <v>5.042276095628709E-3</v>
      </c>
    </row>
    <row r="702" spans="1:7" ht="12.75" customHeight="1" x14ac:dyDescent="0.3">
      <c r="A702" s="174">
        <v>44950</v>
      </c>
      <c r="B702" s="155">
        <v>1070.5999999999999</v>
      </c>
      <c r="C702" s="155">
        <f t="shared" si="20"/>
        <v>4.9751243781094101E-3</v>
      </c>
      <c r="E702" s="174">
        <v>44950</v>
      </c>
      <c r="F702" s="175">
        <v>18118.30078125</v>
      </c>
      <c r="G702" s="155">
        <f t="shared" si="21"/>
        <v>-1.3798013043003017E-5</v>
      </c>
    </row>
    <row r="703" spans="1:7" ht="12.75" customHeight="1" x14ac:dyDescent="0.3">
      <c r="A703" s="174">
        <v>44951</v>
      </c>
      <c r="B703" s="155">
        <v>1051.1500000000001</v>
      </c>
      <c r="C703" s="155">
        <f t="shared" si="20"/>
        <v>-1.8167382776013281E-2</v>
      </c>
      <c r="E703" s="174">
        <v>44951</v>
      </c>
      <c r="F703" s="175">
        <v>17891.94921875</v>
      </c>
      <c r="G703" s="155">
        <f t="shared" si="21"/>
        <v>-1.2492979625012262E-2</v>
      </c>
    </row>
    <row r="704" spans="1:7" ht="12.75" customHeight="1" x14ac:dyDescent="0.3">
      <c r="A704" s="174">
        <v>44953</v>
      </c>
      <c r="B704" s="155">
        <v>1030.0999999999999</v>
      </c>
      <c r="C704" s="155">
        <f t="shared" si="20"/>
        <v>-2.0025686153260887E-2</v>
      </c>
      <c r="E704" s="174">
        <v>44953</v>
      </c>
      <c r="F704" s="175">
        <v>17604.349609375</v>
      </c>
      <c r="G704" s="155">
        <f t="shared" si="21"/>
        <v>-1.6074246906178778E-2</v>
      </c>
    </row>
    <row r="705" spans="1:7" ht="12.75" customHeight="1" x14ac:dyDescent="0.3">
      <c r="A705" s="174">
        <v>44956</v>
      </c>
      <c r="B705" s="155">
        <v>1036.0999999999999</v>
      </c>
      <c r="C705" s="155">
        <f t="shared" si="20"/>
        <v>5.8246772158042914E-3</v>
      </c>
      <c r="E705" s="174">
        <v>44956</v>
      </c>
      <c r="F705" s="175">
        <v>17648.94921875</v>
      </c>
      <c r="G705" s="155">
        <f t="shared" si="21"/>
        <v>2.5334426073456854E-3</v>
      </c>
    </row>
    <row r="706" spans="1:7" ht="12.75" customHeight="1" x14ac:dyDescent="0.3">
      <c r="A706" s="174">
        <v>44957</v>
      </c>
      <c r="B706" s="155">
        <v>1015</v>
      </c>
      <c r="C706" s="155">
        <f t="shared" si="20"/>
        <v>-2.0364829649647632E-2</v>
      </c>
      <c r="E706" s="174">
        <v>44957</v>
      </c>
      <c r="F706" s="175">
        <v>17662.150390625</v>
      </c>
      <c r="G706" s="155">
        <f t="shared" si="21"/>
        <v>7.4798628016761802E-4</v>
      </c>
    </row>
    <row r="707" spans="1:7" ht="12.75" customHeight="1" x14ac:dyDescent="0.3">
      <c r="A707" s="174">
        <v>44958</v>
      </c>
      <c r="B707" s="155">
        <v>1023.75</v>
      </c>
      <c r="C707" s="155">
        <f t="shared" si="20"/>
        <v>8.6206896551724137E-3</v>
      </c>
      <c r="E707" s="174">
        <v>44958</v>
      </c>
      <c r="F707" s="175">
        <v>17616.30078125</v>
      </c>
      <c r="G707" s="155">
        <f t="shared" si="21"/>
        <v>-2.5959245256645981E-3</v>
      </c>
    </row>
    <row r="708" spans="1:7" ht="12.75" customHeight="1" x14ac:dyDescent="0.3">
      <c r="A708" s="174">
        <v>44959</v>
      </c>
      <c r="B708" s="155">
        <v>1016.65</v>
      </c>
      <c r="C708" s="155">
        <f t="shared" ref="C708:C771" si="22">(B708-B707)/B707</f>
        <v>-6.9352869352869578E-3</v>
      </c>
      <c r="E708" s="174">
        <v>44959</v>
      </c>
      <c r="F708" s="175">
        <v>17610.400390625</v>
      </c>
      <c r="G708" s="155">
        <f t="shared" ref="G708:G771" si="23">(F708-F707)/F707</f>
        <v>-3.3493925304000889E-4</v>
      </c>
    </row>
    <row r="709" spans="1:7" ht="12.75" customHeight="1" x14ac:dyDescent="0.3">
      <c r="A709" s="174">
        <v>44960</v>
      </c>
      <c r="B709" s="155">
        <v>1011.3</v>
      </c>
      <c r="C709" s="155">
        <f t="shared" si="22"/>
        <v>-5.2623813505139651E-3</v>
      </c>
      <c r="E709" s="174">
        <v>44960</v>
      </c>
      <c r="F709" s="175">
        <v>17854.05078125</v>
      </c>
      <c r="G709" s="155">
        <f t="shared" si="23"/>
        <v>1.3835596307890234E-2</v>
      </c>
    </row>
    <row r="710" spans="1:7" ht="12.75" customHeight="1" x14ac:dyDescent="0.3">
      <c r="A710" s="174">
        <v>44963</v>
      </c>
      <c r="B710" s="155">
        <v>1005.35</v>
      </c>
      <c r="C710" s="155">
        <f t="shared" si="22"/>
        <v>-5.8835162661919627E-3</v>
      </c>
      <c r="E710" s="174">
        <v>44963</v>
      </c>
      <c r="F710" s="175">
        <v>17764.599609375</v>
      </c>
      <c r="G710" s="155">
        <f t="shared" si="23"/>
        <v>-5.0101331608701366E-3</v>
      </c>
    </row>
    <row r="711" spans="1:7" ht="12.75" customHeight="1" x14ac:dyDescent="0.3">
      <c r="A711" s="174">
        <v>44964</v>
      </c>
      <c r="B711" s="155">
        <v>1002.45</v>
      </c>
      <c r="C711" s="155">
        <f t="shared" si="22"/>
        <v>-2.8845675635350647E-3</v>
      </c>
      <c r="E711" s="174">
        <v>44964</v>
      </c>
      <c r="F711" s="175">
        <v>17721.5</v>
      </c>
      <c r="G711" s="155">
        <f t="shared" si="23"/>
        <v>-2.4261514654264895E-3</v>
      </c>
    </row>
    <row r="712" spans="1:7" ht="12.75" customHeight="1" x14ac:dyDescent="0.3">
      <c r="A712" s="174">
        <v>44965</v>
      </c>
      <c r="B712" s="155">
        <v>1011.05</v>
      </c>
      <c r="C712" s="155">
        <f t="shared" si="22"/>
        <v>8.5789814953363339E-3</v>
      </c>
      <c r="E712" s="174">
        <v>44965</v>
      </c>
      <c r="F712" s="175">
        <v>17871.69921875</v>
      </c>
      <c r="G712" s="155">
        <f t="shared" si="23"/>
        <v>8.4755364246818839E-3</v>
      </c>
    </row>
    <row r="713" spans="1:7" ht="12.75" customHeight="1" x14ac:dyDescent="0.3">
      <c r="A713" s="174">
        <v>44966</v>
      </c>
      <c r="B713" s="155">
        <v>1016</v>
      </c>
      <c r="C713" s="155">
        <f t="shared" si="22"/>
        <v>4.8959003016666291E-3</v>
      </c>
      <c r="E713" s="174">
        <v>44966</v>
      </c>
      <c r="F713" s="175">
        <v>17893.44921875</v>
      </c>
      <c r="G713" s="155">
        <f t="shared" si="23"/>
        <v>1.2170079483645908E-3</v>
      </c>
    </row>
    <row r="714" spans="1:7" ht="12.75" customHeight="1" x14ac:dyDescent="0.3">
      <c r="A714" s="174">
        <v>44967</v>
      </c>
      <c r="B714" s="155">
        <v>1017.35</v>
      </c>
      <c r="C714" s="155">
        <f t="shared" si="22"/>
        <v>1.3287401574803373E-3</v>
      </c>
      <c r="E714" s="174">
        <v>44967</v>
      </c>
      <c r="F714" s="175">
        <v>17856.5</v>
      </c>
      <c r="G714" s="155">
        <f t="shared" si="23"/>
        <v>-2.0649578680046795E-3</v>
      </c>
    </row>
    <row r="715" spans="1:7" ht="12.75" customHeight="1" x14ac:dyDescent="0.3">
      <c r="A715" s="174">
        <v>44970</v>
      </c>
      <c r="B715" s="155">
        <v>1002.5</v>
      </c>
      <c r="C715" s="155">
        <f t="shared" si="22"/>
        <v>-1.4596746449107998E-2</v>
      </c>
      <c r="E715" s="174">
        <v>44970</v>
      </c>
      <c r="F715" s="175">
        <v>17770.900390625</v>
      </c>
      <c r="G715" s="155">
        <f t="shared" si="23"/>
        <v>-4.7937507000252013E-3</v>
      </c>
    </row>
    <row r="716" spans="1:7" ht="12.75" customHeight="1" x14ac:dyDescent="0.3">
      <c r="A716" s="174">
        <v>44971</v>
      </c>
      <c r="B716" s="155">
        <v>1012.05</v>
      </c>
      <c r="C716" s="155">
        <f t="shared" si="22"/>
        <v>9.5261845386533216E-3</v>
      </c>
      <c r="E716" s="174">
        <v>44971</v>
      </c>
      <c r="F716" s="175">
        <v>17929.849609375</v>
      </c>
      <c r="G716" s="155">
        <f t="shared" si="23"/>
        <v>8.944353704995911E-3</v>
      </c>
    </row>
    <row r="717" spans="1:7" ht="12.75" customHeight="1" x14ac:dyDescent="0.3">
      <c r="A717" s="174">
        <v>44972</v>
      </c>
      <c r="B717" s="155">
        <v>1071.4000000000001</v>
      </c>
      <c r="C717" s="155">
        <f t="shared" si="22"/>
        <v>5.8643347660688835E-2</v>
      </c>
      <c r="E717" s="174">
        <v>44972</v>
      </c>
      <c r="F717" s="175">
        <v>18015.849609375</v>
      </c>
      <c r="G717" s="155">
        <f t="shared" si="23"/>
        <v>4.796470794436172E-3</v>
      </c>
    </row>
    <row r="718" spans="1:7" ht="12.75" customHeight="1" x14ac:dyDescent="0.3">
      <c r="A718" s="174">
        <v>44973</v>
      </c>
      <c r="B718" s="155">
        <v>1130.25</v>
      </c>
      <c r="C718" s="155">
        <f t="shared" si="22"/>
        <v>5.4928131416837694E-2</v>
      </c>
      <c r="E718" s="174">
        <v>44973</v>
      </c>
      <c r="F718" s="175">
        <v>18035.849609375</v>
      </c>
      <c r="G718" s="155">
        <f t="shared" si="23"/>
        <v>1.110133600892877E-3</v>
      </c>
    </row>
    <row r="719" spans="1:7" ht="12.75" customHeight="1" x14ac:dyDescent="0.3">
      <c r="A719" s="174">
        <v>44974</v>
      </c>
      <c r="B719" s="155">
        <v>1129.2</v>
      </c>
      <c r="C719" s="155">
        <f t="shared" si="22"/>
        <v>-9.2899800928993991E-4</v>
      </c>
      <c r="E719" s="174">
        <v>44974</v>
      </c>
      <c r="F719" s="175">
        <v>17944.19921875</v>
      </c>
      <c r="G719" s="155">
        <f t="shared" si="23"/>
        <v>-5.0815676893513411E-3</v>
      </c>
    </row>
    <row r="720" spans="1:7" ht="12.75" customHeight="1" x14ac:dyDescent="0.3">
      <c r="A720" s="174">
        <v>44977</v>
      </c>
      <c r="B720" s="155">
        <v>1144.2</v>
      </c>
      <c r="C720" s="155">
        <f t="shared" si="22"/>
        <v>1.3283740701381509E-2</v>
      </c>
      <c r="E720" s="174">
        <v>44977</v>
      </c>
      <c r="F720" s="175">
        <v>17844.599609375</v>
      </c>
      <c r="G720" s="155">
        <f t="shared" si="23"/>
        <v>-5.5505184801408012E-3</v>
      </c>
    </row>
    <row r="721" spans="1:7" ht="12.75" customHeight="1" x14ac:dyDescent="0.3">
      <c r="A721" s="174">
        <v>44978</v>
      </c>
      <c r="B721" s="155">
        <v>1134.45</v>
      </c>
      <c r="C721" s="155">
        <f t="shared" si="22"/>
        <v>-8.5212375458835858E-3</v>
      </c>
      <c r="E721" s="174">
        <v>44978</v>
      </c>
      <c r="F721" s="175">
        <v>17826.69921875</v>
      </c>
      <c r="G721" s="155">
        <f t="shared" si="23"/>
        <v>-1.0031264929920697E-3</v>
      </c>
    </row>
    <row r="722" spans="1:7" ht="12.75" customHeight="1" x14ac:dyDescent="0.3">
      <c r="A722" s="174">
        <v>44979</v>
      </c>
      <c r="B722" s="155">
        <v>1125.7</v>
      </c>
      <c r="C722" s="155">
        <f t="shared" si="22"/>
        <v>-7.7129886729252056E-3</v>
      </c>
      <c r="E722" s="174">
        <v>44979</v>
      </c>
      <c r="F722" s="175">
        <v>17554.30078125</v>
      </c>
      <c r="G722" s="155">
        <f t="shared" si="23"/>
        <v>-1.5280363131582609E-2</v>
      </c>
    </row>
    <row r="723" spans="1:7" ht="12.75" customHeight="1" x14ac:dyDescent="0.3">
      <c r="A723" s="174">
        <v>44980</v>
      </c>
      <c r="B723" s="155">
        <v>1128.8</v>
      </c>
      <c r="C723" s="155">
        <f t="shared" si="22"/>
        <v>2.7538420538330897E-3</v>
      </c>
      <c r="E723" s="174">
        <v>44980</v>
      </c>
      <c r="F723" s="175">
        <v>17511.25</v>
      </c>
      <c r="G723" s="155">
        <f t="shared" si="23"/>
        <v>-2.4524349779846064E-3</v>
      </c>
    </row>
    <row r="724" spans="1:7" ht="12.75" customHeight="1" x14ac:dyDescent="0.3">
      <c r="A724" s="174">
        <v>44981</v>
      </c>
      <c r="B724" s="155">
        <v>1119</v>
      </c>
      <c r="C724" s="155">
        <f t="shared" si="22"/>
        <v>-8.6817859673989674E-3</v>
      </c>
      <c r="E724" s="174">
        <v>44981</v>
      </c>
      <c r="F724" s="175">
        <v>17465.80078125</v>
      </c>
      <c r="G724" s="155">
        <f t="shared" si="23"/>
        <v>-2.5954297237490184E-3</v>
      </c>
    </row>
    <row r="725" spans="1:7" ht="12.75" customHeight="1" x14ac:dyDescent="0.3">
      <c r="A725" s="174">
        <v>44984</v>
      </c>
      <c r="B725" s="155">
        <v>1113.95</v>
      </c>
      <c r="C725" s="155">
        <f t="shared" si="22"/>
        <v>-4.5129579982126494E-3</v>
      </c>
      <c r="E725" s="174">
        <v>44984</v>
      </c>
      <c r="F725" s="175">
        <v>17392.69921875</v>
      </c>
      <c r="G725" s="155">
        <f t="shared" si="23"/>
        <v>-4.1854114458053631E-3</v>
      </c>
    </row>
    <row r="726" spans="1:7" ht="12.75" customHeight="1" x14ac:dyDescent="0.3">
      <c r="A726" s="174">
        <v>44985</v>
      </c>
      <c r="B726" s="155">
        <v>1100.25</v>
      </c>
      <c r="C726" s="155">
        <f t="shared" si="22"/>
        <v>-1.2298577135419046E-2</v>
      </c>
      <c r="E726" s="174">
        <v>44985</v>
      </c>
      <c r="F726" s="175">
        <v>17303.94921875</v>
      </c>
      <c r="G726" s="155">
        <f t="shared" si="23"/>
        <v>-5.1027157362857215E-3</v>
      </c>
    </row>
    <row r="727" spans="1:7" ht="12.75" customHeight="1" x14ac:dyDescent="0.3">
      <c r="A727" s="174">
        <v>44986</v>
      </c>
      <c r="B727" s="155">
        <v>1126.9000000000001</v>
      </c>
      <c r="C727" s="155">
        <f t="shared" si="22"/>
        <v>2.4221767780050071E-2</v>
      </c>
      <c r="E727" s="174">
        <v>44986</v>
      </c>
      <c r="F727" s="175">
        <v>17450.900390625</v>
      </c>
      <c r="G727" s="155">
        <f t="shared" si="23"/>
        <v>8.4923487706360379E-3</v>
      </c>
    </row>
    <row r="728" spans="1:7" ht="12.75" customHeight="1" x14ac:dyDescent="0.3">
      <c r="A728" s="174">
        <v>44987</v>
      </c>
      <c r="B728" s="155">
        <v>1109.8</v>
      </c>
      <c r="C728" s="155">
        <f t="shared" si="22"/>
        <v>-1.5174372171443904E-2</v>
      </c>
      <c r="E728" s="174">
        <v>44987</v>
      </c>
      <c r="F728" s="175">
        <v>17321.900390625</v>
      </c>
      <c r="G728" s="155">
        <f t="shared" si="23"/>
        <v>-7.3921687198043708E-3</v>
      </c>
    </row>
    <row r="729" spans="1:7" ht="12.75" customHeight="1" x14ac:dyDescent="0.3">
      <c r="A729" s="174">
        <v>44988</v>
      </c>
      <c r="B729" s="155">
        <v>1085.1500000000001</v>
      </c>
      <c r="C729" s="155">
        <f t="shared" si="22"/>
        <v>-2.2211209226887605E-2</v>
      </c>
      <c r="E729" s="174">
        <v>44988</v>
      </c>
      <c r="F729" s="175">
        <v>17594.349609375</v>
      </c>
      <c r="G729" s="155">
        <f t="shared" si="23"/>
        <v>1.5728598629827915E-2</v>
      </c>
    </row>
    <row r="730" spans="1:7" ht="12.75" customHeight="1" x14ac:dyDescent="0.3">
      <c r="A730" s="174">
        <v>44991</v>
      </c>
      <c r="B730" s="155">
        <v>1090.05</v>
      </c>
      <c r="C730" s="155">
        <f t="shared" si="22"/>
        <v>4.5155047689258284E-3</v>
      </c>
      <c r="E730" s="174">
        <v>44991</v>
      </c>
      <c r="F730" s="175">
        <v>17711.44921875</v>
      </c>
      <c r="G730" s="155">
        <f t="shared" si="23"/>
        <v>6.6555236183669141E-3</v>
      </c>
    </row>
    <row r="731" spans="1:7" ht="12.75" customHeight="1" x14ac:dyDescent="0.3">
      <c r="A731" s="174">
        <v>44993</v>
      </c>
      <c r="B731" s="155">
        <v>1078.3</v>
      </c>
      <c r="C731" s="155">
        <f t="shared" si="22"/>
        <v>-1.0779322049447274E-2</v>
      </c>
      <c r="E731" s="174">
        <v>44993</v>
      </c>
      <c r="F731" s="175">
        <v>17754.400390625</v>
      </c>
      <c r="G731" s="155">
        <f t="shared" si="23"/>
        <v>2.4250512391459354E-3</v>
      </c>
    </row>
    <row r="732" spans="1:7" ht="12.75" customHeight="1" x14ac:dyDescent="0.3">
      <c r="A732" s="174">
        <v>44994</v>
      </c>
      <c r="B732" s="155">
        <v>1060</v>
      </c>
      <c r="C732" s="155">
        <f t="shared" si="22"/>
        <v>-1.6971158304738901E-2</v>
      </c>
      <c r="E732" s="174">
        <v>44994</v>
      </c>
      <c r="F732" s="175">
        <v>17589.599609375</v>
      </c>
      <c r="G732" s="155">
        <f t="shared" si="23"/>
        <v>-9.2822498999752812E-3</v>
      </c>
    </row>
    <row r="733" spans="1:7" ht="12.75" customHeight="1" x14ac:dyDescent="0.3">
      <c r="A733" s="174">
        <v>44995</v>
      </c>
      <c r="B733" s="155">
        <v>1061.25</v>
      </c>
      <c r="C733" s="155">
        <f t="shared" si="22"/>
        <v>1.1792452830188679E-3</v>
      </c>
      <c r="E733" s="174">
        <v>44995</v>
      </c>
      <c r="F733" s="175">
        <v>17412.900390625</v>
      </c>
      <c r="G733" s="155">
        <f t="shared" si="23"/>
        <v>-1.0045664635585105E-2</v>
      </c>
    </row>
    <row r="734" spans="1:7" ht="12.75" customHeight="1" x14ac:dyDescent="0.3">
      <c r="A734" s="174">
        <v>44998</v>
      </c>
      <c r="B734" s="155">
        <v>1133.8</v>
      </c>
      <c r="C734" s="155">
        <f t="shared" si="22"/>
        <v>6.8362779740871571E-2</v>
      </c>
      <c r="E734" s="174">
        <v>44998</v>
      </c>
      <c r="F734" s="175">
        <v>17154.30078125</v>
      </c>
      <c r="G734" s="155">
        <f t="shared" si="23"/>
        <v>-1.4851035931626214E-2</v>
      </c>
    </row>
    <row r="735" spans="1:7" ht="12.75" customHeight="1" x14ac:dyDescent="0.3">
      <c r="A735" s="174">
        <v>44999</v>
      </c>
      <c r="B735" s="155">
        <v>1115.3</v>
      </c>
      <c r="C735" s="155">
        <f t="shared" si="22"/>
        <v>-1.6316810724995592E-2</v>
      </c>
      <c r="E735" s="174">
        <v>44999</v>
      </c>
      <c r="F735" s="175">
        <v>17043.30078125</v>
      </c>
      <c r="G735" s="155">
        <f t="shared" si="23"/>
        <v>-6.470680525861203E-3</v>
      </c>
    </row>
    <row r="736" spans="1:7" ht="12.75" customHeight="1" x14ac:dyDescent="0.3">
      <c r="A736" s="174">
        <v>45000</v>
      </c>
      <c r="B736" s="155">
        <v>1114.4000000000001</v>
      </c>
      <c r="C736" s="155">
        <f t="shared" si="22"/>
        <v>-8.0695776920995568E-4</v>
      </c>
      <c r="E736" s="174">
        <v>45000</v>
      </c>
      <c r="F736" s="175">
        <v>16972.150390625</v>
      </c>
      <c r="G736" s="155">
        <f t="shared" si="23"/>
        <v>-4.1746837386848982E-3</v>
      </c>
    </row>
    <row r="737" spans="1:7" ht="12.75" customHeight="1" x14ac:dyDescent="0.3">
      <c r="A737" s="174">
        <v>45001</v>
      </c>
      <c r="B737" s="155">
        <v>1117.75</v>
      </c>
      <c r="C737" s="155">
        <f t="shared" si="22"/>
        <v>3.0061019382626604E-3</v>
      </c>
      <c r="E737" s="174">
        <v>45001</v>
      </c>
      <c r="F737" s="175">
        <v>16985.599609375</v>
      </c>
      <c r="G737" s="155">
        <f t="shared" si="23"/>
        <v>7.9242868113100259E-4</v>
      </c>
    </row>
    <row r="738" spans="1:7" ht="12.75" customHeight="1" x14ac:dyDescent="0.3">
      <c r="A738" s="174">
        <v>45002</v>
      </c>
      <c r="B738" s="155">
        <v>1127.1500000000001</v>
      </c>
      <c r="C738" s="155">
        <f t="shared" si="22"/>
        <v>8.4097517333930581E-3</v>
      </c>
      <c r="E738" s="174">
        <v>45002</v>
      </c>
      <c r="F738" s="175">
        <v>17100.05078125</v>
      </c>
      <c r="G738" s="155">
        <f t="shared" si="23"/>
        <v>6.7381296219787279E-3</v>
      </c>
    </row>
    <row r="739" spans="1:7" ht="12.75" customHeight="1" x14ac:dyDescent="0.3">
      <c r="A739" s="174">
        <v>45005</v>
      </c>
      <c r="B739" s="155">
        <v>1109</v>
      </c>
      <c r="C739" s="155">
        <f t="shared" si="22"/>
        <v>-1.6102559552854626E-2</v>
      </c>
      <c r="E739" s="174">
        <v>45005</v>
      </c>
      <c r="F739" s="175">
        <v>16988.400390625</v>
      </c>
      <c r="G739" s="155">
        <f t="shared" si="23"/>
        <v>-6.5292432199922654E-3</v>
      </c>
    </row>
    <row r="740" spans="1:7" ht="12.75" customHeight="1" x14ac:dyDescent="0.3">
      <c r="A740" s="174">
        <v>45006</v>
      </c>
      <c r="B740" s="155">
        <v>1095.6500000000001</v>
      </c>
      <c r="C740" s="155">
        <f t="shared" si="22"/>
        <v>-1.2037871956717681E-2</v>
      </c>
      <c r="E740" s="174">
        <v>45006</v>
      </c>
      <c r="F740" s="175">
        <v>17107.5</v>
      </c>
      <c r="G740" s="155">
        <f t="shared" si="23"/>
        <v>7.0106429467441077E-3</v>
      </c>
    </row>
    <row r="741" spans="1:7" ht="12.75" customHeight="1" x14ac:dyDescent="0.3">
      <c r="A741" s="174">
        <v>45007</v>
      </c>
      <c r="B741" s="155">
        <v>1099.5999999999999</v>
      </c>
      <c r="C741" s="155">
        <f t="shared" si="22"/>
        <v>3.6051658832654751E-3</v>
      </c>
      <c r="E741" s="174">
        <v>45007</v>
      </c>
      <c r="F741" s="175">
        <v>17151.900390625</v>
      </c>
      <c r="G741" s="155">
        <f t="shared" si="23"/>
        <v>2.5953757489405233E-3</v>
      </c>
    </row>
    <row r="742" spans="1:7" ht="12.75" customHeight="1" x14ac:dyDescent="0.3">
      <c r="A742" s="174">
        <v>45008</v>
      </c>
      <c r="B742" s="155">
        <v>1099.45</v>
      </c>
      <c r="C742" s="155">
        <f t="shared" si="22"/>
        <v>-1.3641324117848636E-4</v>
      </c>
      <c r="E742" s="174">
        <v>45008</v>
      </c>
      <c r="F742" s="175">
        <v>17076.900390625</v>
      </c>
      <c r="G742" s="155">
        <f t="shared" si="23"/>
        <v>-4.3726933046436068E-3</v>
      </c>
    </row>
    <row r="743" spans="1:7" ht="12.75" customHeight="1" x14ac:dyDescent="0.3">
      <c r="A743" s="174">
        <v>45009</v>
      </c>
      <c r="B743" s="155">
        <v>1101.95</v>
      </c>
      <c r="C743" s="155">
        <f t="shared" si="22"/>
        <v>2.2738642048296875E-3</v>
      </c>
      <c r="E743" s="174">
        <v>45009</v>
      </c>
      <c r="F743" s="175">
        <v>16945.05078125</v>
      </c>
      <c r="G743" s="155">
        <f t="shared" si="23"/>
        <v>-7.7209333285906939E-3</v>
      </c>
    </row>
    <row r="744" spans="1:7" ht="12.75" customHeight="1" x14ac:dyDescent="0.3">
      <c r="A744" s="174">
        <v>45012</v>
      </c>
      <c r="B744" s="155">
        <v>1103</v>
      </c>
      <c r="C744" s="155">
        <f t="shared" si="22"/>
        <v>9.5285630019506734E-4</v>
      </c>
      <c r="E744" s="174">
        <v>45012</v>
      </c>
      <c r="F744" s="175">
        <v>16985.69921875</v>
      </c>
      <c r="G744" s="155">
        <f t="shared" si="23"/>
        <v>2.3988383407489234E-3</v>
      </c>
    </row>
    <row r="745" spans="1:7" ht="12.75" customHeight="1" x14ac:dyDescent="0.3">
      <c r="A745" s="174">
        <v>45013</v>
      </c>
      <c r="B745" s="155">
        <v>1070.3</v>
      </c>
      <c r="C745" s="155">
        <f t="shared" si="22"/>
        <v>-2.9646418857660967E-2</v>
      </c>
      <c r="E745" s="174">
        <v>45013</v>
      </c>
      <c r="F745" s="175">
        <v>16951.69921875</v>
      </c>
      <c r="G745" s="155">
        <f t="shared" si="23"/>
        <v>-2.0016838613548761E-3</v>
      </c>
    </row>
    <row r="746" spans="1:7" ht="12.75" customHeight="1" x14ac:dyDescent="0.3">
      <c r="A746" s="174">
        <v>45014</v>
      </c>
      <c r="B746" s="155">
        <v>1081.0999999999999</v>
      </c>
      <c r="C746" s="155">
        <f t="shared" si="22"/>
        <v>1.0090628795664724E-2</v>
      </c>
      <c r="E746" s="174">
        <v>45014</v>
      </c>
      <c r="F746" s="175">
        <v>17080.69921875</v>
      </c>
      <c r="G746" s="155">
        <f t="shared" si="23"/>
        <v>7.6098565893214518E-3</v>
      </c>
    </row>
    <row r="747" spans="1:7" ht="12.75" customHeight="1" x14ac:dyDescent="0.3">
      <c r="A747" s="174">
        <v>45016</v>
      </c>
      <c r="B747" s="155">
        <v>1101.8499999999999</v>
      </c>
      <c r="C747" s="155">
        <f t="shared" si="22"/>
        <v>1.9193414115252983E-2</v>
      </c>
      <c r="E747" s="174">
        <v>45016</v>
      </c>
      <c r="F747" s="175">
        <v>17359.75</v>
      </c>
      <c r="G747" s="155">
        <f t="shared" si="23"/>
        <v>1.6337198944623856E-2</v>
      </c>
    </row>
    <row r="748" spans="1:7" ht="12.75" customHeight="1" x14ac:dyDescent="0.3">
      <c r="A748" s="174">
        <v>45019</v>
      </c>
      <c r="B748" s="155">
        <v>1103.2</v>
      </c>
      <c r="C748" s="155">
        <f t="shared" si="22"/>
        <v>1.22521214321381E-3</v>
      </c>
      <c r="E748" s="174">
        <v>45019</v>
      </c>
      <c r="F748" s="175">
        <v>17398.05078125</v>
      </c>
      <c r="G748" s="155">
        <f t="shared" si="23"/>
        <v>2.2062979737611428E-3</v>
      </c>
    </row>
    <row r="749" spans="1:7" ht="12.75" customHeight="1" x14ac:dyDescent="0.3">
      <c r="A749" s="174">
        <v>45021</v>
      </c>
      <c r="B749" s="155">
        <v>1103.5</v>
      </c>
      <c r="C749" s="155">
        <f t="shared" si="22"/>
        <v>2.7193618564172819E-4</v>
      </c>
      <c r="E749" s="174">
        <v>45021</v>
      </c>
      <c r="F749" s="175">
        <v>17557.05078125</v>
      </c>
      <c r="G749" s="155">
        <f t="shared" si="23"/>
        <v>9.1389548173612303E-3</v>
      </c>
    </row>
    <row r="750" spans="1:7" ht="12.75" customHeight="1" x14ac:dyDescent="0.3">
      <c r="A750" s="174">
        <v>45022</v>
      </c>
      <c r="B750" s="155">
        <v>1092.75</v>
      </c>
      <c r="C750" s="155">
        <f t="shared" si="22"/>
        <v>-9.741730856366107E-3</v>
      </c>
      <c r="E750" s="174">
        <v>45022</v>
      </c>
      <c r="F750" s="175">
        <v>17599.150390625</v>
      </c>
      <c r="G750" s="155">
        <f t="shared" si="23"/>
        <v>2.3978747854372074E-3</v>
      </c>
    </row>
    <row r="751" spans="1:7" ht="12.75" customHeight="1" x14ac:dyDescent="0.3">
      <c r="A751" s="174">
        <v>45026</v>
      </c>
      <c r="B751" s="155">
        <v>1107.25</v>
      </c>
      <c r="C751" s="155">
        <f t="shared" si="22"/>
        <v>1.3269274765499885E-2</v>
      </c>
      <c r="E751" s="174">
        <v>45026</v>
      </c>
      <c r="F751" s="175">
        <v>17624.05078125</v>
      </c>
      <c r="G751" s="155">
        <f t="shared" si="23"/>
        <v>1.4148632219350965E-3</v>
      </c>
    </row>
    <row r="752" spans="1:7" ht="12.75" customHeight="1" x14ac:dyDescent="0.3">
      <c r="A752" s="174">
        <v>45027</v>
      </c>
      <c r="B752" s="155">
        <v>1098.25</v>
      </c>
      <c r="C752" s="155">
        <f t="shared" si="22"/>
        <v>-8.1282456536464209E-3</v>
      </c>
      <c r="E752" s="174">
        <v>45027</v>
      </c>
      <c r="F752" s="175">
        <v>17722.30078125</v>
      </c>
      <c r="G752" s="155">
        <f t="shared" si="23"/>
        <v>5.574768321964148E-3</v>
      </c>
    </row>
    <row r="753" spans="1:7" ht="12.75" customHeight="1" x14ac:dyDescent="0.3">
      <c r="A753" s="174">
        <v>45028</v>
      </c>
      <c r="B753" s="155">
        <v>1109.9000000000001</v>
      </c>
      <c r="C753" s="155">
        <f t="shared" si="22"/>
        <v>1.0607785112679345E-2</v>
      </c>
      <c r="E753" s="174">
        <v>45028</v>
      </c>
      <c r="F753" s="175">
        <v>17812.400390625</v>
      </c>
      <c r="G753" s="155">
        <f t="shared" si="23"/>
        <v>5.0839679614468796E-3</v>
      </c>
    </row>
    <row r="754" spans="1:7" ht="12.75" customHeight="1" x14ac:dyDescent="0.3">
      <c r="A754" s="174">
        <v>45029</v>
      </c>
      <c r="B754" s="155">
        <v>1086.8499999999999</v>
      </c>
      <c r="C754" s="155">
        <f t="shared" si="22"/>
        <v>-2.0767636724029353E-2</v>
      </c>
      <c r="E754" s="174">
        <v>45029</v>
      </c>
      <c r="F754" s="175">
        <v>17828</v>
      </c>
      <c r="G754" s="155">
        <f t="shared" si="23"/>
        <v>8.7577244127132723E-4</v>
      </c>
    </row>
    <row r="755" spans="1:7" ht="12.75" customHeight="1" x14ac:dyDescent="0.3">
      <c r="A755" s="174">
        <v>45033</v>
      </c>
      <c r="B755" s="155">
        <v>1029.95</v>
      </c>
      <c r="C755" s="155">
        <f t="shared" si="22"/>
        <v>-5.2353130606799345E-2</v>
      </c>
      <c r="E755" s="174">
        <v>45033</v>
      </c>
      <c r="F755" s="175">
        <v>17706.849609375</v>
      </c>
      <c r="G755" s="155">
        <f t="shared" si="23"/>
        <v>-6.7955121508301549E-3</v>
      </c>
    </row>
    <row r="756" spans="1:7" ht="12.75" customHeight="1" x14ac:dyDescent="0.3">
      <c r="A756" s="174">
        <v>45034</v>
      </c>
      <c r="B756" s="155">
        <v>1025.2</v>
      </c>
      <c r="C756" s="155">
        <f t="shared" si="22"/>
        <v>-4.6118743628331474E-3</v>
      </c>
      <c r="E756" s="174">
        <v>45034</v>
      </c>
      <c r="F756" s="175">
        <v>17660.150390625</v>
      </c>
      <c r="G756" s="155">
        <f t="shared" si="23"/>
        <v>-2.6373533282439362E-3</v>
      </c>
    </row>
    <row r="757" spans="1:7" ht="12.75" customHeight="1" x14ac:dyDescent="0.3">
      <c r="A757" s="174">
        <v>45035</v>
      </c>
      <c r="B757" s="155">
        <v>1013.9</v>
      </c>
      <c r="C757" s="155">
        <f t="shared" si="22"/>
        <v>-1.1022239563012161E-2</v>
      </c>
      <c r="E757" s="174">
        <v>45035</v>
      </c>
      <c r="F757" s="175">
        <v>17618.75</v>
      </c>
      <c r="G757" s="155">
        <f t="shared" si="23"/>
        <v>-2.3442830162407708E-3</v>
      </c>
    </row>
    <row r="758" spans="1:7" ht="12.75" customHeight="1" x14ac:dyDescent="0.3">
      <c r="A758" s="174">
        <v>45036</v>
      </c>
      <c r="B758" s="155">
        <v>1021.8</v>
      </c>
      <c r="C758" s="155">
        <f t="shared" si="22"/>
        <v>7.7916954334746793E-3</v>
      </c>
      <c r="E758" s="174">
        <v>45036</v>
      </c>
      <c r="F758" s="175">
        <v>17624.44921875</v>
      </c>
      <c r="G758" s="155">
        <f t="shared" si="23"/>
        <v>3.2347463639588507E-4</v>
      </c>
    </row>
    <row r="759" spans="1:7" ht="12.75" customHeight="1" x14ac:dyDescent="0.3">
      <c r="A759" s="174">
        <v>45037</v>
      </c>
      <c r="B759" s="155">
        <v>998.75</v>
      </c>
      <c r="C759" s="155">
        <f t="shared" si="22"/>
        <v>-2.2558230573497706E-2</v>
      </c>
      <c r="E759" s="174">
        <v>45037</v>
      </c>
      <c r="F759" s="175">
        <v>17624.05078125</v>
      </c>
      <c r="G759" s="155">
        <f t="shared" si="23"/>
        <v>-2.2607089450268724E-5</v>
      </c>
    </row>
    <row r="760" spans="1:7" ht="12.75" customHeight="1" x14ac:dyDescent="0.3">
      <c r="A760" s="174">
        <v>45040</v>
      </c>
      <c r="B760" s="155">
        <v>1006.1</v>
      </c>
      <c r="C760" s="155">
        <f t="shared" si="22"/>
        <v>7.359198998748458E-3</v>
      </c>
      <c r="E760" s="174">
        <v>45040</v>
      </c>
      <c r="F760" s="175">
        <v>17743.400390625</v>
      </c>
      <c r="G760" s="155">
        <f t="shared" si="23"/>
        <v>6.7719737565653465E-3</v>
      </c>
    </row>
    <row r="761" spans="1:7" ht="12.75" customHeight="1" x14ac:dyDescent="0.3">
      <c r="A761" s="174">
        <v>45041</v>
      </c>
      <c r="B761" s="155">
        <v>997</v>
      </c>
      <c r="C761" s="155">
        <f t="shared" si="22"/>
        <v>-9.0448265579962453E-3</v>
      </c>
      <c r="E761" s="174">
        <v>45041</v>
      </c>
      <c r="F761" s="175">
        <v>17769.25</v>
      </c>
      <c r="G761" s="155">
        <f t="shared" si="23"/>
        <v>1.4568576938982925E-3</v>
      </c>
    </row>
    <row r="762" spans="1:7" ht="12.75" customHeight="1" x14ac:dyDescent="0.3">
      <c r="A762" s="174">
        <v>45042</v>
      </c>
      <c r="B762" s="155">
        <v>996.3</v>
      </c>
      <c r="C762" s="155">
        <f t="shared" si="22"/>
        <v>-7.0210631895691619E-4</v>
      </c>
      <c r="E762" s="174">
        <v>45042</v>
      </c>
      <c r="F762" s="175">
        <v>17813.599609375</v>
      </c>
      <c r="G762" s="155">
        <f t="shared" si="23"/>
        <v>2.495862761512163E-3</v>
      </c>
    </row>
    <row r="763" spans="1:7" ht="12.75" customHeight="1" x14ac:dyDescent="0.3">
      <c r="A763" s="174">
        <v>45043</v>
      </c>
      <c r="B763" s="155">
        <v>1003.15</v>
      </c>
      <c r="C763" s="155">
        <f t="shared" si="22"/>
        <v>6.8754391247616408E-3</v>
      </c>
      <c r="E763" s="174">
        <v>45043</v>
      </c>
      <c r="F763" s="175">
        <v>17915.05078125</v>
      </c>
      <c r="G763" s="155">
        <f t="shared" si="23"/>
        <v>5.6951528101938445E-3</v>
      </c>
    </row>
    <row r="764" spans="1:7" ht="12.75" customHeight="1" x14ac:dyDescent="0.3">
      <c r="A764" s="174">
        <v>45044</v>
      </c>
      <c r="B764" s="155">
        <v>1023.7</v>
      </c>
      <c r="C764" s="155">
        <f t="shared" si="22"/>
        <v>2.0485470767083756E-2</v>
      </c>
      <c r="E764" s="174">
        <v>45044</v>
      </c>
      <c r="F764" s="175">
        <v>18065</v>
      </c>
      <c r="G764" s="155">
        <f t="shared" si="23"/>
        <v>8.3700136036978338E-3</v>
      </c>
    </row>
    <row r="765" spans="1:7" ht="12.75" customHeight="1" x14ac:dyDescent="0.3">
      <c r="A765" s="174">
        <v>45048</v>
      </c>
      <c r="B765" s="155">
        <v>1053.45</v>
      </c>
      <c r="C765" s="155">
        <f t="shared" si="22"/>
        <v>2.9061248412620883E-2</v>
      </c>
      <c r="E765" s="174">
        <v>45048</v>
      </c>
      <c r="F765" s="175">
        <v>18147.650390625</v>
      </c>
      <c r="G765" s="155">
        <f t="shared" si="23"/>
        <v>4.5751669319125379E-3</v>
      </c>
    </row>
    <row r="766" spans="1:7" ht="12.75" customHeight="1" x14ac:dyDescent="0.3">
      <c r="A766" s="174">
        <v>45049</v>
      </c>
      <c r="B766" s="155">
        <v>1039.5999999999999</v>
      </c>
      <c r="C766" s="155">
        <f t="shared" si="22"/>
        <v>-1.3147277991361846E-2</v>
      </c>
      <c r="E766" s="174">
        <v>45049</v>
      </c>
      <c r="F766" s="175">
        <v>18089.849609375</v>
      </c>
      <c r="G766" s="155">
        <f t="shared" si="23"/>
        <v>-3.18502836487635E-3</v>
      </c>
    </row>
    <row r="767" spans="1:7" ht="12.75" customHeight="1" x14ac:dyDescent="0.3">
      <c r="A767" s="174">
        <v>45050</v>
      </c>
      <c r="B767" s="155">
        <v>1045.45</v>
      </c>
      <c r="C767" s="155">
        <f t="shared" si="22"/>
        <v>5.6271642939593469E-3</v>
      </c>
      <c r="E767" s="174">
        <v>45050</v>
      </c>
      <c r="F767" s="175">
        <v>18255.80078125</v>
      </c>
      <c r="G767" s="155">
        <f t="shared" si="23"/>
        <v>9.173717607303733E-3</v>
      </c>
    </row>
    <row r="768" spans="1:7" ht="12.75" customHeight="1" x14ac:dyDescent="0.3">
      <c r="A768" s="174">
        <v>45051</v>
      </c>
      <c r="B768" s="155">
        <v>1036.4000000000001</v>
      </c>
      <c r="C768" s="155">
        <f t="shared" si="22"/>
        <v>-8.6565593763450709E-3</v>
      </c>
      <c r="E768" s="174">
        <v>45051</v>
      </c>
      <c r="F768" s="175">
        <v>18069</v>
      </c>
      <c r="G768" s="155">
        <f t="shared" si="23"/>
        <v>-1.0232406865540384E-2</v>
      </c>
    </row>
    <row r="769" spans="1:7" ht="12.75" customHeight="1" x14ac:dyDescent="0.3">
      <c r="A769" s="174">
        <v>45054</v>
      </c>
      <c r="B769" s="155">
        <v>1043.3499999999999</v>
      </c>
      <c r="C769" s="155">
        <f t="shared" si="22"/>
        <v>6.7059050559627725E-3</v>
      </c>
      <c r="E769" s="174">
        <v>45054</v>
      </c>
      <c r="F769" s="175">
        <v>18264.400390625</v>
      </c>
      <c r="G769" s="155">
        <f t="shared" si="23"/>
        <v>1.0814123118324201E-2</v>
      </c>
    </row>
    <row r="770" spans="1:7" ht="12.75" customHeight="1" x14ac:dyDescent="0.3">
      <c r="A770" s="174">
        <v>45055</v>
      </c>
      <c r="B770" s="155">
        <v>1047.8</v>
      </c>
      <c r="C770" s="155">
        <f t="shared" si="22"/>
        <v>4.2651075861408405E-3</v>
      </c>
      <c r="E770" s="174">
        <v>45055</v>
      </c>
      <c r="F770" s="175">
        <v>18265.94921875</v>
      </c>
      <c r="G770" s="155">
        <f t="shared" si="23"/>
        <v>8.4800381719347525E-5</v>
      </c>
    </row>
    <row r="771" spans="1:7" ht="12.75" customHeight="1" x14ac:dyDescent="0.3">
      <c r="A771" s="174">
        <v>45056</v>
      </c>
      <c r="B771" s="155">
        <v>1046.1500000000001</v>
      </c>
      <c r="C771" s="155">
        <f t="shared" si="22"/>
        <v>-1.5747280015268787E-3</v>
      </c>
      <c r="E771" s="174">
        <v>45056</v>
      </c>
      <c r="F771" s="175">
        <v>18315.099609375</v>
      </c>
      <c r="G771" s="155">
        <f t="shared" si="23"/>
        <v>2.6908205008337105E-3</v>
      </c>
    </row>
    <row r="772" spans="1:7" ht="12.75" customHeight="1" x14ac:dyDescent="0.3">
      <c r="A772" s="174">
        <v>45057</v>
      </c>
      <c r="B772" s="155">
        <v>1044.05</v>
      </c>
      <c r="C772" s="155">
        <f t="shared" ref="C772:C835" si="24">(B772-B771)/B771</f>
        <v>-2.0073603211777816E-3</v>
      </c>
      <c r="E772" s="174">
        <v>45057</v>
      </c>
      <c r="F772" s="175">
        <v>18297</v>
      </c>
      <c r="G772" s="155">
        <f t="shared" ref="G772:G835" si="25">(F772-F771)/F771</f>
        <v>-9.8823428542727139E-4</v>
      </c>
    </row>
    <row r="773" spans="1:7" ht="12.75" customHeight="1" x14ac:dyDescent="0.3">
      <c r="A773" s="174">
        <v>45058</v>
      </c>
      <c r="B773" s="155">
        <v>1046.3499999999999</v>
      </c>
      <c r="C773" s="155">
        <f t="shared" si="24"/>
        <v>2.2029596283702452E-3</v>
      </c>
      <c r="E773" s="174">
        <v>45058</v>
      </c>
      <c r="F773" s="175">
        <v>18314.80078125</v>
      </c>
      <c r="G773" s="155">
        <f t="shared" si="25"/>
        <v>9.7287977537301195E-4</v>
      </c>
    </row>
    <row r="774" spans="1:7" ht="12.75" customHeight="1" x14ac:dyDescent="0.3">
      <c r="A774" s="174">
        <v>45061</v>
      </c>
      <c r="B774" s="155">
        <v>1064.45</v>
      </c>
      <c r="C774" s="155">
        <f t="shared" si="24"/>
        <v>1.7298227170640931E-2</v>
      </c>
      <c r="E774" s="174">
        <v>45061</v>
      </c>
      <c r="F774" s="175">
        <v>18398.849609375</v>
      </c>
      <c r="G774" s="155">
        <f t="shared" si="25"/>
        <v>4.589120522186952E-3</v>
      </c>
    </row>
    <row r="775" spans="1:7" ht="12.75" customHeight="1" x14ac:dyDescent="0.3">
      <c r="A775" s="174">
        <v>45062</v>
      </c>
      <c r="B775" s="155">
        <v>1057.2</v>
      </c>
      <c r="C775" s="155">
        <f t="shared" si="24"/>
        <v>-6.8110291699938937E-3</v>
      </c>
      <c r="E775" s="174">
        <v>45062</v>
      </c>
      <c r="F775" s="175">
        <v>18286.5</v>
      </c>
      <c r="G775" s="155">
        <f t="shared" si="25"/>
        <v>-6.1063388070606911E-3</v>
      </c>
    </row>
    <row r="776" spans="1:7" ht="12.75" customHeight="1" x14ac:dyDescent="0.3">
      <c r="A776" s="174">
        <v>45063</v>
      </c>
      <c r="B776" s="155">
        <v>1054.1500000000001</v>
      </c>
      <c r="C776" s="155">
        <f t="shared" si="24"/>
        <v>-2.8849791903139939E-3</v>
      </c>
      <c r="E776" s="174">
        <v>45063</v>
      </c>
      <c r="F776" s="175">
        <v>18181.75</v>
      </c>
      <c r="G776" s="155">
        <f t="shared" si="25"/>
        <v>-5.7282694884204198E-3</v>
      </c>
    </row>
    <row r="777" spans="1:7" ht="12.75" customHeight="1" x14ac:dyDescent="0.3">
      <c r="A777" s="174">
        <v>45064</v>
      </c>
      <c r="B777" s="155">
        <v>1048.7</v>
      </c>
      <c r="C777" s="155">
        <f t="shared" si="24"/>
        <v>-5.1700422141061943E-3</v>
      </c>
      <c r="E777" s="174">
        <v>45064</v>
      </c>
      <c r="F777" s="175">
        <v>18129.94921875</v>
      </c>
      <c r="G777" s="155">
        <f t="shared" si="25"/>
        <v>-2.8490536527011976E-3</v>
      </c>
    </row>
    <row r="778" spans="1:7" ht="12.75" customHeight="1" x14ac:dyDescent="0.3">
      <c r="A778" s="174">
        <v>45065</v>
      </c>
      <c r="B778" s="155">
        <v>1072.1500000000001</v>
      </c>
      <c r="C778" s="155">
        <f t="shared" si="24"/>
        <v>2.2361018403738005E-2</v>
      </c>
      <c r="E778" s="174">
        <v>45065</v>
      </c>
      <c r="F778" s="175">
        <v>18203.400390625</v>
      </c>
      <c r="G778" s="155">
        <f t="shared" si="25"/>
        <v>4.051372179191587E-3</v>
      </c>
    </row>
    <row r="779" spans="1:7" ht="12.75" customHeight="1" x14ac:dyDescent="0.3">
      <c r="A779" s="174">
        <v>45068</v>
      </c>
      <c r="B779" s="155">
        <v>1104.45</v>
      </c>
      <c r="C779" s="155">
        <f t="shared" si="24"/>
        <v>3.0126381569742993E-2</v>
      </c>
      <c r="E779" s="174">
        <v>45068</v>
      </c>
      <c r="F779" s="175">
        <v>18314.400390625</v>
      </c>
      <c r="G779" s="155">
        <f t="shared" si="25"/>
        <v>6.0977618257062847E-3</v>
      </c>
    </row>
    <row r="780" spans="1:7" ht="12.75" customHeight="1" x14ac:dyDescent="0.3">
      <c r="A780" s="174">
        <v>45069</v>
      </c>
      <c r="B780" s="155">
        <v>1090.5</v>
      </c>
      <c r="C780" s="155">
        <f t="shared" si="24"/>
        <v>-1.2630721173434781E-2</v>
      </c>
      <c r="E780" s="174">
        <v>45069</v>
      </c>
      <c r="F780" s="175">
        <v>18348</v>
      </c>
      <c r="G780" s="155">
        <f t="shared" si="25"/>
        <v>1.8346005688616145E-3</v>
      </c>
    </row>
    <row r="781" spans="1:7" ht="12.75" customHeight="1" x14ac:dyDescent="0.3">
      <c r="A781" s="174">
        <v>45070</v>
      </c>
      <c r="B781" s="155">
        <v>1098.75</v>
      </c>
      <c r="C781" s="155">
        <f t="shared" si="24"/>
        <v>7.5653370013755161E-3</v>
      </c>
      <c r="E781" s="174">
        <v>45070</v>
      </c>
      <c r="F781" s="175">
        <v>18285.400390625</v>
      </c>
      <c r="G781" s="155">
        <f t="shared" si="25"/>
        <v>-3.4117947119577064E-3</v>
      </c>
    </row>
    <row r="782" spans="1:7" ht="12.75" customHeight="1" x14ac:dyDescent="0.3">
      <c r="A782" s="174">
        <v>45071</v>
      </c>
      <c r="B782" s="155">
        <v>1098.0999999999999</v>
      </c>
      <c r="C782" s="155">
        <f t="shared" si="24"/>
        <v>-5.9158134243466752E-4</v>
      </c>
      <c r="E782" s="174">
        <v>45071</v>
      </c>
      <c r="F782" s="175">
        <v>18321.150390625</v>
      </c>
      <c r="G782" s="155">
        <f t="shared" si="25"/>
        <v>1.955111686716424E-3</v>
      </c>
    </row>
    <row r="783" spans="1:7" ht="12.75" customHeight="1" x14ac:dyDescent="0.3">
      <c r="A783" s="174">
        <v>45072</v>
      </c>
      <c r="B783" s="155">
        <v>1114.75</v>
      </c>
      <c r="C783" s="155">
        <f t="shared" si="24"/>
        <v>1.516255350150268E-2</v>
      </c>
      <c r="E783" s="174">
        <v>45072</v>
      </c>
      <c r="F783" s="175">
        <v>18499.349609375</v>
      </c>
      <c r="G783" s="155">
        <f t="shared" si="25"/>
        <v>9.7264208278747162E-3</v>
      </c>
    </row>
    <row r="784" spans="1:7" ht="12.75" customHeight="1" x14ac:dyDescent="0.3">
      <c r="A784" s="174">
        <v>45075</v>
      </c>
      <c r="B784" s="155">
        <v>1114.05</v>
      </c>
      <c r="C784" s="155">
        <f t="shared" si="24"/>
        <v>-6.2794348508638301E-4</v>
      </c>
      <c r="E784" s="174">
        <v>45075</v>
      </c>
      <c r="F784" s="175">
        <v>18598.650390625</v>
      </c>
      <c r="G784" s="155">
        <f t="shared" si="25"/>
        <v>5.3677985089636282E-3</v>
      </c>
    </row>
    <row r="785" spans="1:7" ht="12.75" customHeight="1" x14ac:dyDescent="0.3">
      <c r="A785" s="174">
        <v>45076</v>
      </c>
      <c r="B785" s="155">
        <v>1098.4000000000001</v>
      </c>
      <c r="C785" s="155">
        <f t="shared" si="24"/>
        <v>-1.4047843454063879E-2</v>
      </c>
      <c r="E785" s="174">
        <v>45076</v>
      </c>
      <c r="F785" s="175">
        <v>18633.849609375</v>
      </c>
      <c r="G785" s="155">
        <f t="shared" si="25"/>
        <v>1.892568439683281E-3</v>
      </c>
    </row>
    <row r="786" spans="1:7" ht="12.75" customHeight="1" x14ac:dyDescent="0.3">
      <c r="A786" s="174">
        <v>45077</v>
      </c>
      <c r="B786" s="155">
        <v>1115.55</v>
      </c>
      <c r="C786" s="155">
        <f t="shared" si="24"/>
        <v>1.5613619810633524E-2</v>
      </c>
      <c r="E786" s="174">
        <v>45077</v>
      </c>
      <c r="F786" s="175">
        <v>18534.400390625</v>
      </c>
      <c r="G786" s="155">
        <f t="shared" si="25"/>
        <v>-5.33701950132545E-3</v>
      </c>
    </row>
    <row r="787" spans="1:7" ht="12.75" customHeight="1" x14ac:dyDescent="0.3">
      <c r="A787" s="174">
        <v>45078</v>
      </c>
      <c r="B787" s="155">
        <v>1120.8</v>
      </c>
      <c r="C787" s="155">
        <f t="shared" si="24"/>
        <v>4.7061987360494826E-3</v>
      </c>
      <c r="E787" s="174">
        <v>45078</v>
      </c>
      <c r="F787" s="175">
        <v>18487.75</v>
      </c>
      <c r="G787" s="155">
        <f t="shared" si="25"/>
        <v>-2.5169624936232909E-3</v>
      </c>
    </row>
    <row r="788" spans="1:7" ht="12.75" customHeight="1" x14ac:dyDescent="0.3">
      <c r="A788" s="174">
        <v>45079</v>
      </c>
      <c r="B788" s="155">
        <v>1123.0999999999999</v>
      </c>
      <c r="C788" s="155">
        <f t="shared" si="24"/>
        <v>2.0521056388293673E-3</v>
      </c>
      <c r="E788" s="174">
        <v>45079</v>
      </c>
      <c r="F788" s="175">
        <v>18534.099609375</v>
      </c>
      <c r="G788" s="155">
        <f t="shared" si="25"/>
        <v>2.5070443604548959E-3</v>
      </c>
    </row>
    <row r="789" spans="1:7" ht="12.75" customHeight="1" x14ac:dyDescent="0.3">
      <c r="A789" s="174">
        <v>45082</v>
      </c>
      <c r="B789" s="155">
        <v>1109.3499999999999</v>
      </c>
      <c r="C789" s="155">
        <f t="shared" si="24"/>
        <v>-1.2242899118511265E-2</v>
      </c>
      <c r="E789" s="174">
        <v>45082</v>
      </c>
      <c r="F789" s="175">
        <v>18593.849609375</v>
      </c>
      <c r="G789" s="155">
        <f t="shared" si="25"/>
        <v>3.2237875731377309E-3</v>
      </c>
    </row>
    <row r="790" spans="1:7" ht="12.75" customHeight="1" x14ac:dyDescent="0.3">
      <c r="A790" s="174">
        <v>45083</v>
      </c>
      <c r="B790" s="155">
        <v>1086.25</v>
      </c>
      <c r="C790" s="155">
        <f t="shared" si="24"/>
        <v>-2.0823004462072303E-2</v>
      </c>
      <c r="E790" s="174">
        <v>45083</v>
      </c>
      <c r="F790" s="175">
        <v>18599</v>
      </c>
      <c r="G790" s="155">
        <f t="shared" si="25"/>
        <v>2.7699431442121478E-4</v>
      </c>
    </row>
    <row r="791" spans="1:7" ht="12.75" customHeight="1" x14ac:dyDescent="0.3">
      <c r="A791" s="174">
        <v>45084</v>
      </c>
      <c r="B791" s="155">
        <v>1095.7</v>
      </c>
      <c r="C791" s="155">
        <f t="shared" si="24"/>
        <v>8.6996547756041844E-3</v>
      </c>
      <c r="E791" s="174">
        <v>45084</v>
      </c>
      <c r="F791" s="175">
        <v>18726.400390625</v>
      </c>
      <c r="G791" s="155">
        <f t="shared" si="25"/>
        <v>6.8498516385289534E-3</v>
      </c>
    </row>
    <row r="792" spans="1:7" ht="12.75" customHeight="1" x14ac:dyDescent="0.3">
      <c r="A792" s="174">
        <v>45085</v>
      </c>
      <c r="B792" s="155">
        <v>1071.3</v>
      </c>
      <c r="C792" s="155">
        <f t="shared" si="24"/>
        <v>-2.2268869216026367E-2</v>
      </c>
      <c r="E792" s="174">
        <v>45085</v>
      </c>
      <c r="F792" s="175">
        <v>18634.55078125</v>
      </c>
      <c r="G792" s="155">
        <f t="shared" si="25"/>
        <v>-4.904819263662796E-3</v>
      </c>
    </row>
    <row r="793" spans="1:7" ht="12.75" customHeight="1" x14ac:dyDescent="0.3">
      <c r="A793" s="174">
        <v>45086</v>
      </c>
      <c r="B793" s="155">
        <v>1063.05</v>
      </c>
      <c r="C793" s="155">
        <f t="shared" si="24"/>
        <v>-7.7009241108933072E-3</v>
      </c>
      <c r="E793" s="174">
        <v>45086</v>
      </c>
      <c r="F793" s="175">
        <v>18563.400390625</v>
      </c>
      <c r="G793" s="155">
        <f t="shared" si="25"/>
        <v>-3.8181972541345725E-3</v>
      </c>
    </row>
    <row r="794" spans="1:7" ht="12.75" customHeight="1" x14ac:dyDescent="0.3">
      <c r="A794" s="174">
        <v>45089</v>
      </c>
      <c r="B794" s="155">
        <v>1074.75</v>
      </c>
      <c r="C794" s="155">
        <f t="shared" si="24"/>
        <v>1.1006067447439016E-2</v>
      </c>
      <c r="E794" s="174">
        <v>45089</v>
      </c>
      <c r="F794" s="175">
        <v>18601.5</v>
      </c>
      <c r="G794" s="155">
        <f t="shared" si="25"/>
        <v>2.0524046550351462E-3</v>
      </c>
    </row>
    <row r="795" spans="1:7" ht="12.75" customHeight="1" x14ac:dyDescent="0.3">
      <c r="A795" s="174">
        <v>45090</v>
      </c>
      <c r="B795" s="155">
        <v>1079.4000000000001</v>
      </c>
      <c r="C795" s="155">
        <f t="shared" si="24"/>
        <v>4.3265875785067137E-3</v>
      </c>
      <c r="E795" s="174">
        <v>45090</v>
      </c>
      <c r="F795" s="175">
        <v>18716.150390625</v>
      </c>
      <c r="G795" s="155">
        <f t="shared" si="25"/>
        <v>6.1635024393194094E-3</v>
      </c>
    </row>
    <row r="796" spans="1:7" ht="12.75" customHeight="1" x14ac:dyDescent="0.3">
      <c r="A796" s="174">
        <v>45091</v>
      </c>
      <c r="B796" s="155">
        <v>1077.5999999999999</v>
      </c>
      <c r="C796" s="155">
        <f t="shared" si="24"/>
        <v>-1.6675931072819917E-3</v>
      </c>
      <c r="E796" s="174">
        <v>45091</v>
      </c>
      <c r="F796" s="175">
        <v>18755.900390625</v>
      </c>
      <c r="G796" s="155">
        <f t="shared" si="25"/>
        <v>2.1238341844010264E-3</v>
      </c>
    </row>
    <row r="797" spans="1:7" ht="12.75" customHeight="1" x14ac:dyDescent="0.3">
      <c r="A797" s="174">
        <v>45092</v>
      </c>
      <c r="B797" s="155">
        <v>1081.5</v>
      </c>
      <c r="C797" s="155">
        <f t="shared" si="24"/>
        <v>3.619153674833047E-3</v>
      </c>
      <c r="E797" s="174">
        <v>45092</v>
      </c>
      <c r="F797" s="175">
        <v>18688.099609375</v>
      </c>
      <c r="G797" s="155">
        <f t="shared" si="25"/>
        <v>-3.6149041015322157E-3</v>
      </c>
    </row>
    <row r="798" spans="1:7" ht="12.75" customHeight="1" x14ac:dyDescent="0.3">
      <c r="A798" s="174">
        <v>45093</v>
      </c>
      <c r="B798" s="155">
        <v>1077.2</v>
      </c>
      <c r="C798" s="155">
        <f t="shared" si="24"/>
        <v>-3.9759593157650992E-3</v>
      </c>
      <c r="E798" s="174">
        <v>45093</v>
      </c>
      <c r="F798" s="175">
        <v>18826</v>
      </c>
      <c r="G798" s="155">
        <f t="shared" si="25"/>
        <v>7.3790483520229863E-3</v>
      </c>
    </row>
    <row r="799" spans="1:7" ht="12.75" customHeight="1" x14ac:dyDescent="0.3">
      <c r="A799" s="174">
        <v>45096</v>
      </c>
      <c r="B799" s="155">
        <v>1093.5999999999999</v>
      </c>
      <c r="C799" s="155">
        <f t="shared" si="24"/>
        <v>1.5224656516895528E-2</v>
      </c>
      <c r="E799" s="174">
        <v>45096</v>
      </c>
      <c r="F799" s="175">
        <v>18755.44921875</v>
      </c>
      <c r="G799" s="155">
        <f t="shared" si="25"/>
        <v>-3.7475183921172844E-3</v>
      </c>
    </row>
    <row r="800" spans="1:7" ht="12.75" customHeight="1" x14ac:dyDescent="0.3">
      <c r="A800" s="174">
        <v>45097</v>
      </c>
      <c r="B800" s="155">
        <v>1107.3499999999999</v>
      </c>
      <c r="C800" s="155">
        <f t="shared" si="24"/>
        <v>1.2573152889539137E-2</v>
      </c>
      <c r="E800" s="174">
        <v>45097</v>
      </c>
      <c r="F800" s="175">
        <v>18816.69921875</v>
      </c>
      <c r="G800" s="155">
        <f t="shared" si="25"/>
        <v>3.2657175674986124E-3</v>
      </c>
    </row>
    <row r="801" spans="1:7" ht="12.75" customHeight="1" x14ac:dyDescent="0.3">
      <c r="A801" s="174">
        <v>45098</v>
      </c>
      <c r="B801" s="155">
        <v>1119.9000000000001</v>
      </c>
      <c r="C801" s="155">
        <f t="shared" si="24"/>
        <v>1.1333363435228413E-2</v>
      </c>
      <c r="E801" s="174">
        <v>45098</v>
      </c>
      <c r="F801" s="175">
        <v>18856.849609375</v>
      </c>
      <c r="G801" s="155">
        <f t="shared" si="25"/>
        <v>2.133763746671995E-3</v>
      </c>
    </row>
    <row r="802" spans="1:7" ht="12.75" customHeight="1" x14ac:dyDescent="0.3">
      <c r="A802" s="174">
        <v>45099</v>
      </c>
      <c r="B802" s="155">
        <v>1119.05</v>
      </c>
      <c r="C802" s="155">
        <f t="shared" si="24"/>
        <v>-7.5899633895895732E-4</v>
      </c>
      <c r="E802" s="174">
        <v>45099</v>
      </c>
      <c r="F802" s="175">
        <v>18771.25</v>
      </c>
      <c r="G802" s="155">
        <f t="shared" si="25"/>
        <v>-4.5394438174042985E-3</v>
      </c>
    </row>
    <row r="803" spans="1:7" ht="12.75" customHeight="1" x14ac:dyDescent="0.3">
      <c r="A803" s="174">
        <v>45100</v>
      </c>
      <c r="B803" s="155">
        <v>1115.5</v>
      </c>
      <c r="C803" s="155">
        <f t="shared" si="24"/>
        <v>-3.1723336758857556E-3</v>
      </c>
      <c r="E803" s="174">
        <v>45100</v>
      </c>
      <c r="F803" s="175">
        <v>18665.5</v>
      </c>
      <c r="G803" s="155">
        <f t="shared" si="25"/>
        <v>-5.6336152360657917E-3</v>
      </c>
    </row>
    <row r="804" spans="1:7" ht="12.75" customHeight="1" x14ac:dyDescent="0.3">
      <c r="A804" s="174">
        <v>45103</v>
      </c>
      <c r="B804" s="155">
        <v>1111.9000000000001</v>
      </c>
      <c r="C804" s="155">
        <f t="shared" si="24"/>
        <v>-3.2272523532047592E-3</v>
      </c>
      <c r="E804" s="174">
        <v>45103</v>
      </c>
      <c r="F804" s="175">
        <v>18691.19921875</v>
      </c>
      <c r="G804" s="155">
        <f t="shared" si="25"/>
        <v>1.3768299134767352E-3</v>
      </c>
    </row>
    <row r="805" spans="1:7" ht="12.75" customHeight="1" x14ac:dyDescent="0.3">
      <c r="A805" s="174">
        <v>45104</v>
      </c>
      <c r="B805" s="155">
        <v>1119.7</v>
      </c>
      <c r="C805" s="155">
        <f t="shared" si="24"/>
        <v>7.0150193362712061E-3</v>
      </c>
      <c r="E805" s="174">
        <v>45104</v>
      </c>
      <c r="F805" s="175">
        <v>18817.400390625</v>
      </c>
      <c r="G805" s="155">
        <f t="shared" si="25"/>
        <v>6.7519034171120394E-3</v>
      </c>
    </row>
    <row r="806" spans="1:7" ht="12.75" customHeight="1" x14ac:dyDescent="0.3">
      <c r="A806" s="174">
        <v>45105</v>
      </c>
      <c r="B806" s="155">
        <v>1108.0999999999999</v>
      </c>
      <c r="C806" s="155">
        <f t="shared" si="24"/>
        <v>-1.0359917835134532E-2</v>
      </c>
      <c r="E806" s="174">
        <v>45105</v>
      </c>
      <c r="F806" s="175">
        <v>18972.099609375</v>
      </c>
      <c r="G806" s="155">
        <f t="shared" si="25"/>
        <v>8.2210728123249463E-3</v>
      </c>
    </row>
    <row r="807" spans="1:7" ht="12.75" customHeight="1" x14ac:dyDescent="0.3">
      <c r="A807" s="174">
        <v>45107</v>
      </c>
      <c r="B807" s="155">
        <v>1130.8499999999999</v>
      </c>
      <c r="C807" s="155">
        <f t="shared" si="24"/>
        <v>2.0530638029058752E-2</v>
      </c>
      <c r="E807" s="174">
        <v>45107</v>
      </c>
      <c r="F807" s="175">
        <v>19189.05078125</v>
      </c>
      <c r="G807" s="155">
        <f t="shared" si="25"/>
        <v>1.143527476356883E-2</v>
      </c>
    </row>
    <row r="808" spans="1:7" ht="12.75" customHeight="1" x14ac:dyDescent="0.3">
      <c r="A808" s="174">
        <v>45110</v>
      </c>
      <c r="B808" s="155">
        <v>1121.45</v>
      </c>
      <c r="C808" s="155">
        <f t="shared" si="24"/>
        <v>-8.3123314321084715E-3</v>
      </c>
      <c r="E808" s="174">
        <v>45110</v>
      </c>
      <c r="F808" s="175">
        <v>19322.55078125</v>
      </c>
      <c r="G808" s="155">
        <f t="shared" si="25"/>
        <v>6.9570924336937751E-3</v>
      </c>
    </row>
    <row r="809" spans="1:7" ht="12.75" customHeight="1" x14ac:dyDescent="0.3">
      <c r="A809" s="174">
        <v>45111</v>
      </c>
      <c r="B809" s="155">
        <v>1148</v>
      </c>
      <c r="C809" s="155">
        <f t="shared" si="24"/>
        <v>2.3674706852735258E-2</v>
      </c>
      <c r="E809" s="174">
        <v>45111</v>
      </c>
      <c r="F809" s="175">
        <v>19389</v>
      </c>
      <c r="G809" s="155">
        <f t="shared" si="25"/>
        <v>3.4389465191355714E-3</v>
      </c>
    </row>
    <row r="810" spans="1:7" ht="12.75" customHeight="1" x14ac:dyDescent="0.3">
      <c r="A810" s="174">
        <v>45112</v>
      </c>
      <c r="B810" s="155">
        <v>1175</v>
      </c>
      <c r="C810" s="155">
        <f t="shared" si="24"/>
        <v>2.3519163763066203E-2</v>
      </c>
      <c r="E810" s="174">
        <v>45112</v>
      </c>
      <c r="F810" s="175">
        <v>19398.5</v>
      </c>
      <c r="G810" s="155">
        <f t="shared" si="25"/>
        <v>4.8996853886224153E-4</v>
      </c>
    </row>
    <row r="811" spans="1:7" ht="12.75" customHeight="1" x14ac:dyDescent="0.3">
      <c r="A811" s="174">
        <v>45113</v>
      </c>
      <c r="B811" s="155">
        <v>1179.25</v>
      </c>
      <c r="C811" s="155">
        <f t="shared" si="24"/>
        <v>3.6170212765957448E-3</v>
      </c>
      <c r="E811" s="174">
        <v>45113</v>
      </c>
      <c r="F811" s="175">
        <v>19497.30078125</v>
      </c>
      <c r="G811" s="155">
        <f t="shared" si="25"/>
        <v>5.0932175812562824E-3</v>
      </c>
    </row>
    <row r="812" spans="1:7" ht="12.75" customHeight="1" x14ac:dyDescent="0.3">
      <c r="A812" s="174">
        <v>45114</v>
      </c>
      <c r="B812" s="155">
        <v>1156</v>
      </c>
      <c r="C812" s="155">
        <f t="shared" si="24"/>
        <v>-1.9715921136315456E-2</v>
      </c>
      <c r="E812" s="174">
        <v>45114</v>
      </c>
      <c r="F812" s="175">
        <v>19331.80078125</v>
      </c>
      <c r="G812" s="155">
        <f t="shared" si="25"/>
        <v>-8.4883544577184066E-3</v>
      </c>
    </row>
    <row r="813" spans="1:7" ht="12.75" customHeight="1" x14ac:dyDescent="0.3">
      <c r="A813" s="174">
        <v>45117</v>
      </c>
      <c r="B813" s="155">
        <v>1147.1500000000001</v>
      </c>
      <c r="C813" s="155">
        <f t="shared" si="24"/>
        <v>-7.6557093425604749E-3</v>
      </c>
      <c r="E813" s="174">
        <v>45117</v>
      </c>
      <c r="F813" s="175">
        <v>19355.900390625</v>
      </c>
      <c r="G813" s="155">
        <f t="shared" si="25"/>
        <v>1.2466303397029789E-3</v>
      </c>
    </row>
    <row r="814" spans="1:7" ht="12.75" customHeight="1" x14ac:dyDescent="0.3">
      <c r="A814" s="174">
        <v>45118</v>
      </c>
      <c r="B814" s="155">
        <v>1161.45</v>
      </c>
      <c r="C814" s="155">
        <f t="shared" si="24"/>
        <v>1.2465675805256465E-2</v>
      </c>
      <c r="E814" s="174">
        <v>45118</v>
      </c>
      <c r="F814" s="175">
        <v>19439.400390625</v>
      </c>
      <c r="G814" s="155">
        <f t="shared" si="25"/>
        <v>4.3139300324382271E-3</v>
      </c>
    </row>
    <row r="815" spans="1:7" ht="12.75" customHeight="1" x14ac:dyDescent="0.3">
      <c r="A815" s="174">
        <v>45119</v>
      </c>
      <c r="B815" s="155">
        <v>1159.4000000000001</v>
      </c>
      <c r="C815" s="155">
        <f t="shared" si="24"/>
        <v>-1.7650350854534888E-3</v>
      </c>
      <c r="E815" s="174">
        <v>45119</v>
      </c>
      <c r="F815" s="175">
        <v>19384.30078125</v>
      </c>
      <c r="G815" s="155">
        <f t="shared" si="25"/>
        <v>-2.8344294714755078E-3</v>
      </c>
    </row>
    <row r="816" spans="1:7" ht="12.75" customHeight="1" x14ac:dyDescent="0.3">
      <c r="A816" s="174">
        <v>45120</v>
      </c>
      <c r="B816" s="155">
        <v>1175.25</v>
      </c>
      <c r="C816" s="155">
        <f t="shared" si="24"/>
        <v>1.3670864240124123E-2</v>
      </c>
      <c r="E816" s="174">
        <v>45120</v>
      </c>
      <c r="F816" s="175">
        <v>19413.75</v>
      </c>
      <c r="G816" s="155">
        <f t="shared" si="25"/>
        <v>1.5192303855749891E-3</v>
      </c>
    </row>
    <row r="817" spans="1:7" ht="12.75" customHeight="1" x14ac:dyDescent="0.3">
      <c r="A817" s="174">
        <v>45121</v>
      </c>
      <c r="B817" s="155">
        <v>1228.6500000000001</v>
      </c>
      <c r="C817" s="155">
        <f t="shared" si="24"/>
        <v>4.5437141033822667E-2</v>
      </c>
      <c r="E817" s="174">
        <v>45121</v>
      </c>
      <c r="F817" s="175">
        <v>19564.5</v>
      </c>
      <c r="G817" s="155">
        <f t="shared" si="25"/>
        <v>7.7651149314274673E-3</v>
      </c>
    </row>
    <row r="818" spans="1:7" ht="12.75" customHeight="1" x14ac:dyDescent="0.3">
      <c r="A818" s="174">
        <v>45124</v>
      </c>
      <c r="B818" s="155">
        <v>1242.4000000000001</v>
      </c>
      <c r="C818" s="155">
        <f t="shared" si="24"/>
        <v>1.1191144752370487E-2</v>
      </c>
      <c r="E818" s="174">
        <v>45124</v>
      </c>
      <c r="F818" s="175">
        <v>19711.44921875</v>
      </c>
      <c r="G818" s="155">
        <f t="shared" si="25"/>
        <v>7.5110132510414268E-3</v>
      </c>
    </row>
    <row r="819" spans="1:7" ht="12.75" customHeight="1" x14ac:dyDescent="0.3">
      <c r="A819" s="174">
        <v>45125</v>
      </c>
      <c r="B819" s="155">
        <v>1247.55</v>
      </c>
      <c r="C819" s="155">
        <f t="shared" si="24"/>
        <v>4.1452028332259038E-3</v>
      </c>
      <c r="E819" s="174">
        <v>45125</v>
      </c>
      <c r="F819" s="175">
        <v>19749.25</v>
      </c>
      <c r="G819" s="155">
        <f t="shared" si="25"/>
        <v>1.917706853032551E-3</v>
      </c>
    </row>
    <row r="820" spans="1:7" ht="12.75" customHeight="1" x14ac:dyDescent="0.3">
      <c r="A820" s="174">
        <v>45126</v>
      </c>
      <c r="B820" s="155">
        <v>1244.7</v>
      </c>
      <c r="C820" s="155">
        <f t="shared" si="24"/>
        <v>-2.2844775760489833E-3</v>
      </c>
      <c r="E820" s="174">
        <v>45126</v>
      </c>
      <c r="F820" s="175">
        <v>19833.150390625</v>
      </c>
      <c r="G820" s="155">
        <f t="shared" si="25"/>
        <v>4.248282371482461E-3</v>
      </c>
    </row>
    <row r="821" spans="1:7" ht="12.75" customHeight="1" x14ac:dyDescent="0.3">
      <c r="A821" s="174">
        <v>45127</v>
      </c>
      <c r="B821" s="155">
        <v>1252.95</v>
      </c>
      <c r="C821" s="155">
        <f t="shared" si="24"/>
        <v>6.6281031573873217E-3</v>
      </c>
      <c r="E821" s="174">
        <v>45127</v>
      </c>
      <c r="F821" s="175">
        <v>19979.150390625</v>
      </c>
      <c r="G821" s="155">
        <f t="shared" si="25"/>
        <v>7.3614124394989332E-3</v>
      </c>
    </row>
    <row r="822" spans="1:7" ht="12.75" customHeight="1" x14ac:dyDescent="0.3">
      <c r="A822" s="174">
        <v>45128</v>
      </c>
      <c r="B822" s="155">
        <v>1195.0999999999999</v>
      </c>
      <c r="C822" s="155">
        <f t="shared" si="24"/>
        <v>-4.6171036354204185E-2</v>
      </c>
      <c r="E822" s="174">
        <v>45128</v>
      </c>
      <c r="F822" s="175">
        <v>19745</v>
      </c>
      <c r="G822" s="155">
        <f t="shared" si="25"/>
        <v>-1.1719737128305142E-2</v>
      </c>
    </row>
    <row r="823" spans="1:7" ht="12.75" customHeight="1" x14ac:dyDescent="0.3">
      <c r="A823" s="174">
        <v>45131</v>
      </c>
      <c r="B823" s="155">
        <v>1161.8499999999999</v>
      </c>
      <c r="C823" s="155">
        <f t="shared" si="24"/>
        <v>-2.7821939586645472E-2</v>
      </c>
      <c r="E823" s="174">
        <v>45131</v>
      </c>
      <c r="F823" s="175">
        <v>19672.349609375</v>
      </c>
      <c r="G823" s="155">
        <f t="shared" si="25"/>
        <v>-3.6794322929855658E-3</v>
      </c>
    </row>
    <row r="824" spans="1:7" ht="12.75" customHeight="1" x14ac:dyDescent="0.3">
      <c r="A824" s="174">
        <v>45132</v>
      </c>
      <c r="B824" s="155">
        <v>1156.5</v>
      </c>
      <c r="C824" s="155">
        <f t="shared" si="24"/>
        <v>-4.604725222705091E-3</v>
      </c>
      <c r="E824" s="174">
        <v>45132</v>
      </c>
      <c r="F824" s="175">
        <v>19680.599609375</v>
      </c>
      <c r="G824" s="155">
        <f t="shared" si="25"/>
        <v>4.193703428322768E-4</v>
      </c>
    </row>
    <row r="825" spans="1:7" ht="12.75" customHeight="1" x14ac:dyDescent="0.3">
      <c r="A825" s="174">
        <v>45133</v>
      </c>
      <c r="B825" s="155">
        <v>1143.2</v>
      </c>
      <c r="C825" s="155">
        <f t="shared" si="24"/>
        <v>-1.1500216169476831E-2</v>
      </c>
      <c r="E825" s="174">
        <v>45133</v>
      </c>
      <c r="F825" s="175">
        <v>19778.30078125</v>
      </c>
      <c r="G825" s="155">
        <f t="shared" si="25"/>
        <v>4.9643391875346787E-3</v>
      </c>
    </row>
    <row r="826" spans="1:7" ht="12.75" customHeight="1" x14ac:dyDescent="0.3">
      <c r="A826" s="174">
        <v>45134</v>
      </c>
      <c r="B826" s="155">
        <v>1099.9000000000001</v>
      </c>
      <c r="C826" s="155">
        <f t="shared" si="24"/>
        <v>-3.7876137158852304E-2</v>
      </c>
      <c r="E826" s="174">
        <v>45134</v>
      </c>
      <c r="F826" s="175">
        <v>19659.900390625</v>
      </c>
      <c r="G826" s="155">
        <f t="shared" si="25"/>
        <v>-5.9863783008722669E-3</v>
      </c>
    </row>
    <row r="827" spans="1:7" ht="12.75" customHeight="1" x14ac:dyDescent="0.3">
      <c r="A827" s="174">
        <v>45135</v>
      </c>
      <c r="B827" s="155">
        <v>1091.05</v>
      </c>
      <c r="C827" s="155">
        <f t="shared" si="24"/>
        <v>-8.0461860169107509E-3</v>
      </c>
      <c r="E827" s="174">
        <v>45135</v>
      </c>
      <c r="F827" s="175">
        <v>19646.05078125</v>
      </c>
      <c r="G827" s="155">
        <f t="shared" si="25"/>
        <v>-7.0445979378432207E-4</v>
      </c>
    </row>
    <row r="828" spans="1:7" ht="12.75" customHeight="1" x14ac:dyDescent="0.3">
      <c r="A828" s="174">
        <v>45138</v>
      </c>
      <c r="B828" s="155">
        <v>1115.5</v>
      </c>
      <c r="C828" s="155">
        <f t="shared" si="24"/>
        <v>2.2409605425965855E-2</v>
      </c>
      <c r="E828" s="174">
        <v>45138</v>
      </c>
      <c r="F828" s="175">
        <v>19753.80078125</v>
      </c>
      <c r="G828" s="155">
        <f t="shared" si="25"/>
        <v>5.4845628365592716E-3</v>
      </c>
    </row>
    <row r="829" spans="1:7" ht="12.75" customHeight="1" x14ac:dyDescent="0.3">
      <c r="A829" s="174">
        <v>45139</v>
      </c>
      <c r="B829" s="155">
        <v>1143.5</v>
      </c>
      <c r="C829" s="155">
        <f t="shared" si="24"/>
        <v>2.510085163603765E-2</v>
      </c>
      <c r="E829" s="174">
        <v>45139</v>
      </c>
      <c r="F829" s="175">
        <v>19733.55078125</v>
      </c>
      <c r="G829" s="155">
        <f t="shared" si="25"/>
        <v>-1.0251191770254656E-3</v>
      </c>
    </row>
    <row r="830" spans="1:7" ht="12.75" customHeight="1" x14ac:dyDescent="0.3">
      <c r="A830" s="174">
        <v>45140</v>
      </c>
      <c r="B830" s="155">
        <v>1145.6500000000001</v>
      </c>
      <c r="C830" s="155">
        <f t="shared" si="24"/>
        <v>1.8801923917797034E-3</v>
      </c>
      <c r="E830" s="174">
        <v>45140</v>
      </c>
      <c r="F830" s="175">
        <v>19526.55078125</v>
      </c>
      <c r="G830" s="155">
        <f t="shared" si="25"/>
        <v>-1.0489749274959822E-2</v>
      </c>
    </row>
    <row r="831" spans="1:7" ht="12.75" customHeight="1" x14ac:dyDescent="0.3">
      <c r="A831" s="174">
        <v>45141</v>
      </c>
      <c r="B831" s="155">
        <v>1142.8</v>
      </c>
      <c r="C831" s="155">
        <f t="shared" si="24"/>
        <v>-2.4876707545935812E-3</v>
      </c>
      <c r="E831" s="174">
        <v>45141</v>
      </c>
      <c r="F831" s="175">
        <v>19381.650390625</v>
      </c>
      <c r="G831" s="155">
        <f t="shared" si="25"/>
        <v>-7.4206854169113091E-3</v>
      </c>
    </row>
    <row r="832" spans="1:7" ht="12.75" customHeight="1" x14ac:dyDescent="0.3">
      <c r="A832" s="174">
        <v>45142</v>
      </c>
      <c r="B832" s="155">
        <v>1175.2</v>
      </c>
      <c r="C832" s="155">
        <f t="shared" si="24"/>
        <v>2.8351417570878626E-2</v>
      </c>
      <c r="E832" s="174">
        <v>45142</v>
      </c>
      <c r="F832" s="175">
        <v>19517</v>
      </c>
      <c r="G832" s="155">
        <f t="shared" si="25"/>
        <v>6.9833892701144417E-3</v>
      </c>
    </row>
    <row r="833" spans="1:7" ht="12.75" customHeight="1" x14ac:dyDescent="0.3">
      <c r="A833" s="174">
        <v>45145</v>
      </c>
      <c r="B833" s="155">
        <v>1183.6500000000001</v>
      </c>
      <c r="C833" s="155">
        <f t="shared" si="24"/>
        <v>7.1902654867257018E-3</v>
      </c>
      <c r="E833" s="174">
        <v>45145</v>
      </c>
      <c r="F833" s="175">
        <v>19597.30078125</v>
      </c>
      <c r="G833" s="155">
        <f t="shared" si="25"/>
        <v>4.1144018676026028E-3</v>
      </c>
    </row>
    <row r="834" spans="1:7" ht="12.75" customHeight="1" x14ac:dyDescent="0.3">
      <c r="A834" s="174">
        <v>45146</v>
      </c>
      <c r="B834" s="155">
        <v>1205.4000000000001</v>
      </c>
      <c r="C834" s="155">
        <f t="shared" si="24"/>
        <v>1.8375364339120515E-2</v>
      </c>
      <c r="E834" s="174">
        <v>45146</v>
      </c>
      <c r="F834" s="175">
        <v>19570.849609375</v>
      </c>
      <c r="G834" s="155">
        <f t="shared" si="25"/>
        <v>-1.349735464605796E-3</v>
      </c>
    </row>
    <row r="835" spans="1:7" ht="12.75" customHeight="1" x14ac:dyDescent="0.3">
      <c r="A835" s="174">
        <v>45147</v>
      </c>
      <c r="B835" s="155">
        <v>1228</v>
      </c>
      <c r="C835" s="155">
        <f t="shared" si="24"/>
        <v>1.8748962999834005E-2</v>
      </c>
      <c r="E835" s="174">
        <v>45147</v>
      </c>
      <c r="F835" s="175">
        <v>19632.55078125</v>
      </c>
      <c r="G835" s="155">
        <f t="shared" si="25"/>
        <v>3.1527078847636415E-3</v>
      </c>
    </row>
    <row r="836" spans="1:7" ht="12.75" customHeight="1" x14ac:dyDescent="0.3">
      <c r="A836" s="174">
        <v>45148</v>
      </c>
      <c r="B836" s="155">
        <v>1235.8</v>
      </c>
      <c r="C836" s="155">
        <f t="shared" ref="C836:C899" si="26">(B836-B835)/B835</f>
        <v>6.3517915309445885E-3</v>
      </c>
      <c r="E836" s="174">
        <v>45148</v>
      </c>
      <c r="F836" s="175">
        <v>19543.099609375</v>
      </c>
      <c r="G836" s="155">
        <f t="shared" ref="G836:G899" si="27">(F836-F835)/F835</f>
        <v>-4.5562684580156563E-3</v>
      </c>
    </row>
    <row r="837" spans="1:7" ht="12.75" customHeight="1" x14ac:dyDescent="0.3">
      <c r="A837" s="174">
        <v>45149</v>
      </c>
      <c r="B837" s="155">
        <v>1220.45</v>
      </c>
      <c r="C837" s="155">
        <f t="shared" si="26"/>
        <v>-1.2421103738468935E-2</v>
      </c>
      <c r="E837" s="174">
        <v>45149</v>
      </c>
      <c r="F837" s="175">
        <v>19428.30078125</v>
      </c>
      <c r="G837" s="155">
        <f t="shared" si="27"/>
        <v>-5.8741361615907628E-3</v>
      </c>
    </row>
    <row r="838" spans="1:7" ht="12.75" customHeight="1" x14ac:dyDescent="0.3">
      <c r="A838" s="174">
        <v>45152</v>
      </c>
      <c r="B838" s="155">
        <v>1219.75</v>
      </c>
      <c r="C838" s="155">
        <f t="shared" si="26"/>
        <v>-5.7355893318042155E-4</v>
      </c>
      <c r="E838" s="174">
        <v>45152</v>
      </c>
      <c r="F838" s="175">
        <v>19434.55078125</v>
      </c>
      <c r="G838" s="155">
        <f t="shared" si="27"/>
        <v>3.2169565781232879E-4</v>
      </c>
    </row>
    <row r="839" spans="1:7" ht="12.75" customHeight="1" x14ac:dyDescent="0.3">
      <c r="A839" s="174">
        <v>45154</v>
      </c>
      <c r="B839" s="155">
        <v>1227.8499999999999</v>
      </c>
      <c r="C839" s="155">
        <f t="shared" si="26"/>
        <v>6.6407050625127357E-3</v>
      </c>
      <c r="E839" s="174">
        <v>45154</v>
      </c>
      <c r="F839" s="175">
        <v>19465</v>
      </c>
      <c r="G839" s="155">
        <f t="shared" si="27"/>
        <v>1.5667570139761961E-3</v>
      </c>
    </row>
    <row r="840" spans="1:7" ht="12.75" customHeight="1" x14ac:dyDescent="0.3">
      <c r="A840" s="174">
        <v>45155</v>
      </c>
      <c r="B840" s="155">
        <v>1231.75</v>
      </c>
      <c r="C840" s="155">
        <f t="shared" si="26"/>
        <v>3.1762837480148968E-3</v>
      </c>
      <c r="E840" s="174">
        <v>45155</v>
      </c>
      <c r="F840" s="175">
        <v>19365.25</v>
      </c>
      <c r="G840" s="155">
        <f t="shared" si="27"/>
        <v>-5.124582584125353E-3</v>
      </c>
    </row>
    <row r="841" spans="1:7" ht="12.75" customHeight="1" x14ac:dyDescent="0.3">
      <c r="A841" s="174">
        <v>45156</v>
      </c>
      <c r="B841" s="155">
        <v>1210.8</v>
      </c>
      <c r="C841" s="155">
        <f t="shared" si="26"/>
        <v>-1.7008321493809656E-2</v>
      </c>
      <c r="E841" s="174">
        <v>45156</v>
      </c>
      <c r="F841" s="175">
        <v>19310.150390625</v>
      </c>
      <c r="G841" s="155">
        <f t="shared" si="27"/>
        <v>-2.8452826260957128E-3</v>
      </c>
    </row>
    <row r="842" spans="1:7" ht="12.75" customHeight="1" x14ac:dyDescent="0.3">
      <c r="A842" s="174">
        <v>45159</v>
      </c>
      <c r="B842" s="155">
        <v>1218.8499999999999</v>
      </c>
      <c r="C842" s="155">
        <f t="shared" si="26"/>
        <v>6.6484968615790835E-3</v>
      </c>
      <c r="E842" s="174">
        <v>45159</v>
      </c>
      <c r="F842" s="175">
        <v>19393.599609375</v>
      </c>
      <c r="G842" s="155">
        <f t="shared" si="27"/>
        <v>4.3215209131936255E-3</v>
      </c>
    </row>
    <row r="843" spans="1:7" ht="12.75" customHeight="1" x14ac:dyDescent="0.3">
      <c r="A843" s="174">
        <v>45160</v>
      </c>
      <c r="B843" s="155">
        <v>1213.2</v>
      </c>
      <c r="C843" s="155">
        <f t="shared" si="26"/>
        <v>-4.6355170857774654E-3</v>
      </c>
      <c r="E843" s="174">
        <v>45160</v>
      </c>
      <c r="F843" s="175">
        <v>19396.44921875</v>
      </c>
      <c r="G843" s="155">
        <f t="shared" si="27"/>
        <v>1.4693555773021523E-4</v>
      </c>
    </row>
    <row r="844" spans="1:7" ht="12.75" customHeight="1" x14ac:dyDescent="0.3">
      <c r="A844" s="174">
        <v>45161</v>
      </c>
      <c r="B844" s="155">
        <v>1201</v>
      </c>
      <c r="C844" s="155">
        <f t="shared" si="26"/>
        <v>-1.0056050115397333E-2</v>
      </c>
      <c r="E844" s="174">
        <v>45161</v>
      </c>
      <c r="F844" s="175">
        <v>19444</v>
      </c>
      <c r="G844" s="155">
        <f t="shared" si="27"/>
        <v>2.4515199000461384E-3</v>
      </c>
    </row>
    <row r="845" spans="1:7" ht="12.75" customHeight="1" x14ac:dyDescent="0.3">
      <c r="A845" s="174">
        <v>45162</v>
      </c>
      <c r="B845" s="155">
        <v>1199.0999999999999</v>
      </c>
      <c r="C845" s="155">
        <f t="shared" si="26"/>
        <v>-1.5820149875104836E-3</v>
      </c>
      <c r="E845" s="174">
        <v>45162</v>
      </c>
      <c r="F845" s="175">
        <v>19386.69921875</v>
      </c>
      <c r="G845" s="155">
        <f t="shared" si="27"/>
        <v>-2.9469646806212714E-3</v>
      </c>
    </row>
    <row r="846" spans="1:7" ht="12.75" customHeight="1" x14ac:dyDescent="0.3">
      <c r="A846" s="174">
        <v>45163</v>
      </c>
      <c r="B846" s="155">
        <v>1189.5</v>
      </c>
      <c r="C846" s="155">
        <f t="shared" si="26"/>
        <v>-8.0060045033774584E-3</v>
      </c>
      <c r="E846" s="174">
        <v>45163</v>
      </c>
      <c r="F846" s="175">
        <v>19265.80078125</v>
      </c>
      <c r="G846" s="155">
        <f t="shared" si="27"/>
        <v>-6.2361537740819812E-3</v>
      </c>
    </row>
    <row r="847" spans="1:7" ht="12.75" customHeight="1" x14ac:dyDescent="0.3">
      <c r="A847" s="174">
        <v>45166</v>
      </c>
      <c r="B847" s="155">
        <v>1184.75</v>
      </c>
      <c r="C847" s="155">
        <f t="shared" si="26"/>
        <v>-3.9932744850777642E-3</v>
      </c>
      <c r="E847" s="174">
        <v>45166</v>
      </c>
      <c r="F847" s="175">
        <v>19306.05078125</v>
      </c>
      <c r="G847" s="155">
        <f t="shared" si="27"/>
        <v>2.089194238900902E-3</v>
      </c>
    </row>
    <row r="848" spans="1:7" ht="12.75" customHeight="1" x14ac:dyDescent="0.3">
      <c r="A848" s="174">
        <v>45167</v>
      </c>
      <c r="B848" s="155">
        <v>1198</v>
      </c>
      <c r="C848" s="155">
        <f t="shared" si="26"/>
        <v>1.1183794049377506E-2</v>
      </c>
      <c r="E848" s="174">
        <v>45167</v>
      </c>
      <c r="F848" s="175">
        <v>19342.650390625</v>
      </c>
      <c r="G848" s="155">
        <f t="shared" si="27"/>
        <v>1.8957584743610782E-3</v>
      </c>
    </row>
    <row r="849" spans="1:7" ht="12.75" customHeight="1" x14ac:dyDescent="0.3">
      <c r="A849" s="174">
        <v>45168</v>
      </c>
      <c r="B849" s="155">
        <v>1197.2</v>
      </c>
      <c r="C849" s="155">
        <f t="shared" si="26"/>
        <v>-6.6777963272116405E-4</v>
      </c>
      <c r="E849" s="174">
        <v>45168</v>
      </c>
      <c r="F849" s="175">
        <v>19347.44921875</v>
      </c>
      <c r="G849" s="155">
        <f t="shared" si="27"/>
        <v>2.4809568637635602E-4</v>
      </c>
    </row>
    <row r="850" spans="1:7" ht="12.75" customHeight="1" x14ac:dyDescent="0.3">
      <c r="A850" s="174">
        <v>45169</v>
      </c>
      <c r="B850" s="155">
        <v>1201.95</v>
      </c>
      <c r="C850" s="155">
        <f t="shared" si="26"/>
        <v>3.9675910457734713E-3</v>
      </c>
      <c r="E850" s="174">
        <v>45169</v>
      </c>
      <c r="F850" s="175">
        <v>19253.80078125</v>
      </c>
      <c r="G850" s="155">
        <f t="shared" si="27"/>
        <v>-4.8403506033882458E-3</v>
      </c>
    </row>
    <row r="851" spans="1:7" ht="12.75" customHeight="1" x14ac:dyDescent="0.3">
      <c r="A851" s="174">
        <v>45170</v>
      </c>
      <c r="B851" s="155">
        <v>1228.05</v>
      </c>
      <c r="C851" s="155">
        <f t="shared" si="26"/>
        <v>2.1714713590415498E-2</v>
      </c>
      <c r="E851" s="174">
        <v>45170</v>
      </c>
      <c r="F851" s="175">
        <v>19435.30078125</v>
      </c>
      <c r="G851" s="155">
        <f t="shared" si="27"/>
        <v>9.4267101889176502E-3</v>
      </c>
    </row>
    <row r="852" spans="1:7" ht="12.75" customHeight="1" x14ac:dyDescent="0.3">
      <c r="A852" s="174">
        <v>45173</v>
      </c>
      <c r="B852" s="155">
        <v>1256.75</v>
      </c>
      <c r="C852" s="155">
        <f t="shared" si="26"/>
        <v>2.3370383942021941E-2</v>
      </c>
      <c r="E852" s="174">
        <v>45173</v>
      </c>
      <c r="F852" s="175">
        <v>19528.80078125</v>
      </c>
      <c r="G852" s="155">
        <f t="shared" si="27"/>
        <v>4.8108337016426897E-3</v>
      </c>
    </row>
    <row r="853" spans="1:7" ht="12.75" customHeight="1" x14ac:dyDescent="0.3">
      <c r="A853" s="174">
        <v>45174</v>
      </c>
      <c r="B853" s="155">
        <v>1254.55</v>
      </c>
      <c r="C853" s="155">
        <f t="shared" si="26"/>
        <v>-1.7505470459518962E-3</v>
      </c>
      <c r="E853" s="174">
        <v>45174</v>
      </c>
      <c r="F853" s="175">
        <v>19574.900390625</v>
      </c>
      <c r="G853" s="155">
        <f t="shared" si="27"/>
        <v>2.3605960187407502E-3</v>
      </c>
    </row>
    <row r="854" spans="1:7" ht="12.75" customHeight="1" x14ac:dyDescent="0.3">
      <c r="A854" s="174">
        <v>45175</v>
      </c>
      <c r="B854" s="155">
        <v>1248.95</v>
      </c>
      <c r="C854" s="155">
        <f t="shared" si="26"/>
        <v>-4.463751942927671E-3</v>
      </c>
      <c r="E854" s="174">
        <v>45175</v>
      </c>
      <c r="F854" s="175">
        <v>19611.05078125</v>
      </c>
      <c r="G854" s="155">
        <f t="shared" si="27"/>
        <v>1.8467726478094107E-3</v>
      </c>
    </row>
    <row r="855" spans="1:7" ht="12.75" customHeight="1" x14ac:dyDescent="0.3">
      <c r="A855" s="174">
        <v>45176</v>
      </c>
      <c r="B855" s="155">
        <v>1269.25</v>
      </c>
      <c r="C855" s="155">
        <f t="shared" si="26"/>
        <v>1.6253653068577567E-2</v>
      </c>
      <c r="E855" s="174">
        <v>45176</v>
      </c>
      <c r="F855" s="175">
        <v>19727.05078125</v>
      </c>
      <c r="G855" s="155">
        <f t="shared" si="27"/>
        <v>5.9150323607803238E-3</v>
      </c>
    </row>
    <row r="856" spans="1:7" ht="12.75" customHeight="1" x14ac:dyDescent="0.3">
      <c r="A856" s="174">
        <v>45177</v>
      </c>
      <c r="B856" s="155">
        <v>1262.95</v>
      </c>
      <c r="C856" s="155">
        <f t="shared" si="26"/>
        <v>-4.9635611581642343E-3</v>
      </c>
      <c r="E856" s="174">
        <v>45177</v>
      </c>
      <c r="F856" s="175">
        <v>19819.94921875</v>
      </c>
      <c r="G856" s="155">
        <f t="shared" si="27"/>
        <v>4.7091903665750848E-3</v>
      </c>
    </row>
    <row r="857" spans="1:7" ht="12.75" customHeight="1" x14ac:dyDescent="0.3">
      <c r="A857" s="174">
        <v>45180</v>
      </c>
      <c r="B857" s="155">
        <v>1268.8499999999999</v>
      </c>
      <c r="C857" s="155">
        <f t="shared" si="26"/>
        <v>4.6716022011955051E-3</v>
      </c>
      <c r="E857" s="174">
        <v>45180</v>
      </c>
      <c r="F857" s="175">
        <v>19996.349609375</v>
      </c>
      <c r="G857" s="155">
        <f t="shared" si="27"/>
        <v>8.9001434200508597E-3</v>
      </c>
    </row>
    <row r="858" spans="1:7" ht="12.75" customHeight="1" x14ac:dyDescent="0.3">
      <c r="A858" s="174">
        <v>45181</v>
      </c>
      <c r="B858" s="155">
        <v>1266</v>
      </c>
      <c r="C858" s="155">
        <f t="shared" si="26"/>
        <v>-2.2461283839696647E-3</v>
      </c>
      <c r="E858" s="174">
        <v>45181</v>
      </c>
      <c r="F858" s="175">
        <v>19993.19921875</v>
      </c>
      <c r="G858" s="155">
        <f t="shared" si="27"/>
        <v>-1.5754828688947231E-4</v>
      </c>
    </row>
    <row r="859" spans="1:7" ht="12.75" customHeight="1" x14ac:dyDescent="0.3">
      <c r="A859" s="174">
        <v>45182</v>
      </c>
      <c r="B859" s="155">
        <v>1260.4000000000001</v>
      </c>
      <c r="C859" s="155">
        <f t="shared" si="26"/>
        <v>-4.4233807266981905E-3</v>
      </c>
      <c r="E859" s="174">
        <v>45182</v>
      </c>
      <c r="F859" s="175">
        <v>20070</v>
      </c>
      <c r="G859" s="155">
        <f t="shared" si="27"/>
        <v>3.8413452699443307E-3</v>
      </c>
    </row>
    <row r="860" spans="1:7" ht="12.75" customHeight="1" x14ac:dyDescent="0.3">
      <c r="A860" s="174">
        <v>45183</v>
      </c>
      <c r="B860" s="155">
        <v>1279.8499999999999</v>
      </c>
      <c r="C860" s="155">
        <f t="shared" si="26"/>
        <v>1.5431609013011598E-2</v>
      </c>
      <c r="E860" s="174">
        <v>45183</v>
      </c>
      <c r="F860" s="175">
        <v>20103.099609375</v>
      </c>
      <c r="G860" s="155">
        <f t="shared" si="27"/>
        <v>1.6492082399103139E-3</v>
      </c>
    </row>
    <row r="861" spans="1:7" ht="12.75" customHeight="1" x14ac:dyDescent="0.3">
      <c r="A861" s="174">
        <v>45184</v>
      </c>
      <c r="B861" s="155">
        <v>1300.05</v>
      </c>
      <c r="C861" s="155">
        <f t="shared" si="26"/>
        <v>1.5783099581982301E-2</v>
      </c>
      <c r="E861" s="174">
        <v>45184</v>
      </c>
      <c r="F861" s="175">
        <v>20192.349609375</v>
      </c>
      <c r="G861" s="155">
        <f t="shared" si="27"/>
        <v>4.439613877174375E-3</v>
      </c>
    </row>
    <row r="862" spans="1:7" ht="12.75" customHeight="1" x14ac:dyDescent="0.3">
      <c r="A862" s="174">
        <v>45187</v>
      </c>
      <c r="B862" s="155">
        <v>1289.8</v>
      </c>
      <c r="C862" s="155">
        <f t="shared" si="26"/>
        <v>-7.8843121418406981E-3</v>
      </c>
      <c r="E862" s="174">
        <v>45187</v>
      </c>
      <c r="F862" s="175">
        <v>20133.30078125</v>
      </c>
      <c r="G862" s="155">
        <f t="shared" si="27"/>
        <v>-2.9243168460982138E-3</v>
      </c>
    </row>
    <row r="863" spans="1:7" ht="12.75" customHeight="1" x14ac:dyDescent="0.3">
      <c r="A863" s="174">
        <v>45189</v>
      </c>
      <c r="B863" s="155">
        <v>1274.3499999999999</v>
      </c>
      <c r="C863" s="155">
        <f t="shared" si="26"/>
        <v>-1.1978601333540119E-2</v>
      </c>
      <c r="E863" s="174">
        <v>45189</v>
      </c>
      <c r="F863" s="175">
        <v>19901.400390625</v>
      </c>
      <c r="G863" s="155">
        <f t="shared" si="27"/>
        <v>-1.1518249945432057E-2</v>
      </c>
    </row>
    <row r="864" spans="1:7" ht="12.75" customHeight="1" x14ac:dyDescent="0.3">
      <c r="A864" s="174">
        <v>45190</v>
      </c>
      <c r="B864" s="155">
        <v>1291.6500000000001</v>
      </c>
      <c r="C864" s="155">
        <f t="shared" si="26"/>
        <v>1.357554831875088E-2</v>
      </c>
      <c r="E864" s="174">
        <v>45190</v>
      </c>
      <c r="F864" s="175">
        <v>19742.349609375</v>
      </c>
      <c r="G864" s="155">
        <f t="shared" si="27"/>
        <v>-7.9919391664982752E-3</v>
      </c>
    </row>
    <row r="865" spans="1:7" ht="12.75" customHeight="1" x14ac:dyDescent="0.3">
      <c r="A865" s="174">
        <v>45191</v>
      </c>
      <c r="B865" s="155">
        <v>1305.3499999999999</v>
      </c>
      <c r="C865" s="155">
        <f t="shared" si="26"/>
        <v>1.0606588472109177E-2</v>
      </c>
      <c r="E865" s="174">
        <v>45191</v>
      </c>
      <c r="F865" s="175">
        <v>19674.25</v>
      </c>
      <c r="G865" s="155">
        <f t="shared" si="27"/>
        <v>-3.4494176591149876E-3</v>
      </c>
    </row>
    <row r="866" spans="1:7" ht="12.75" customHeight="1" x14ac:dyDescent="0.3">
      <c r="A866" s="174">
        <v>45194</v>
      </c>
      <c r="B866" s="155">
        <v>1299.45</v>
      </c>
      <c r="C866" s="155">
        <f t="shared" si="26"/>
        <v>-4.5198605737923649E-3</v>
      </c>
      <c r="E866" s="174">
        <v>45194</v>
      </c>
      <c r="F866" s="175">
        <v>19674.55078125</v>
      </c>
      <c r="G866" s="155">
        <f t="shared" si="27"/>
        <v>1.5288066889462116E-5</v>
      </c>
    </row>
    <row r="867" spans="1:7" ht="12.75" customHeight="1" x14ac:dyDescent="0.3">
      <c r="A867" s="174">
        <v>45195</v>
      </c>
      <c r="B867" s="155">
        <v>1282.3</v>
      </c>
      <c r="C867" s="155">
        <f t="shared" si="26"/>
        <v>-1.3197891415598977E-2</v>
      </c>
      <c r="E867" s="174">
        <v>45195</v>
      </c>
      <c r="F867" s="175">
        <v>19664.69921875</v>
      </c>
      <c r="G867" s="155">
        <f t="shared" si="27"/>
        <v>-5.0072617207548218E-4</v>
      </c>
    </row>
    <row r="868" spans="1:7" ht="12.75" customHeight="1" x14ac:dyDescent="0.3">
      <c r="A868" s="174">
        <v>45196</v>
      </c>
      <c r="B868" s="155">
        <v>1288.6500000000001</v>
      </c>
      <c r="C868" s="155">
        <f t="shared" si="26"/>
        <v>4.9520393043750582E-3</v>
      </c>
      <c r="E868" s="174">
        <v>45196</v>
      </c>
      <c r="F868" s="175">
        <v>19716.44921875</v>
      </c>
      <c r="G868" s="155">
        <f t="shared" si="27"/>
        <v>2.6316191986632139E-3</v>
      </c>
    </row>
    <row r="869" spans="1:7" ht="12.75" customHeight="1" x14ac:dyDescent="0.3">
      <c r="A869" s="174">
        <v>45197</v>
      </c>
      <c r="B869" s="155">
        <v>1229.5</v>
      </c>
      <c r="C869" s="155">
        <f t="shared" si="26"/>
        <v>-4.5900748845691293E-2</v>
      </c>
      <c r="E869" s="174">
        <v>45197</v>
      </c>
      <c r="F869" s="175">
        <v>19523.55078125</v>
      </c>
      <c r="G869" s="155">
        <f t="shared" si="27"/>
        <v>-9.7836296667737181E-3</v>
      </c>
    </row>
    <row r="870" spans="1:7" ht="12.75" customHeight="1" x14ac:dyDescent="0.3">
      <c r="A870" s="174">
        <v>45198</v>
      </c>
      <c r="B870" s="155">
        <v>1222.8</v>
      </c>
      <c r="C870" s="155">
        <f t="shared" si="26"/>
        <v>-5.449369662464453E-3</v>
      </c>
      <c r="E870" s="174">
        <v>45198</v>
      </c>
      <c r="F870" s="175">
        <v>19638.30078125</v>
      </c>
      <c r="G870" s="155">
        <f t="shared" si="27"/>
        <v>5.8775169171687482E-3</v>
      </c>
    </row>
    <row r="871" spans="1:7" ht="12.75" customHeight="1" x14ac:dyDescent="0.3">
      <c r="A871" s="174">
        <v>45202</v>
      </c>
      <c r="B871" s="155">
        <v>1216.2</v>
      </c>
      <c r="C871" s="155">
        <f t="shared" si="26"/>
        <v>-5.3974484789008088E-3</v>
      </c>
      <c r="E871" s="174">
        <v>45202</v>
      </c>
      <c r="F871" s="175">
        <v>19528.75</v>
      </c>
      <c r="G871" s="155">
        <f t="shared" si="27"/>
        <v>-5.5784246544688561E-3</v>
      </c>
    </row>
    <row r="872" spans="1:7" ht="12.75" customHeight="1" x14ac:dyDescent="0.3">
      <c r="A872" s="174">
        <v>45203</v>
      </c>
      <c r="B872" s="155">
        <v>1205</v>
      </c>
      <c r="C872" s="155">
        <f t="shared" si="26"/>
        <v>-9.2090116757112695E-3</v>
      </c>
      <c r="E872" s="174">
        <v>45203</v>
      </c>
      <c r="F872" s="175">
        <v>19436.099609375</v>
      </c>
      <c r="G872" s="155">
        <f t="shared" si="27"/>
        <v>-4.7443072713307301E-3</v>
      </c>
    </row>
    <row r="873" spans="1:7" ht="12.75" customHeight="1" x14ac:dyDescent="0.3">
      <c r="A873" s="174">
        <v>45204</v>
      </c>
      <c r="B873" s="155">
        <v>1205.5999999999999</v>
      </c>
      <c r="C873" s="155">
        <f t="shared" si="26"/>
        <v>4.9792531120324403E-4</v>
      </c>
      <c r="E873" s="174">
        <v>45204</v>
      </c>
      <c r="F873" s="175">
        <v>19545.75</v>
      </c>
      <c r="G873" s="155">
        <f t="shared" si="27"/>
        <v>5.6415841052857201E-3</v>
      </c>
    </row>
    <row r="874" spans="1:7" ht="12.75" customHeight="1" x14ac:dyDescent="0.3">
      <c r="A874" s="174">
        <v>45205</v>
      </c>
      <c r="B874" s="155">
        <v>1216.9000000000001</v>
      </c>
      <c r="C874" s="155">
        <f t="shared" si="26"/>
        <v>9.3729263437294149E-3</v>
      </c>
      <c r="E874" s="174">
        <v>45205</v>
      </c>
      <c r="F874" s="175">
        <v>19653.5</v>
      </c>
      <c r="G874" s="155">
        <f t="shared" si="27"/>
        <v>5.512707366051443E-3</v>
      </c>
    </row>
    <row r="875" spans="1:7" ht="12.75" customHeight="1" x14ac:dyDescent="0.3">
      <c r="A875" s="174">
        <v>45208</v>
      </c>
      <c r="B875" s="155">
        <v>1212.6500000000001</v>
      </c>
      <c r="C875" s="155">
        <f t="shared" si="26"/>
        <v>-3.4924808940751087E-3</v>
      </c>
      <c r="E875" s="174">
        <v>45208</v>
      </c>
      <c r="F875" s="175">
        <v>19512.349609375</v>
      </c>
      <c r="G875" s="155">
        <f t="shared" si="27"/>
        <v>-7.181946758847025E-3</v>
      </c>
    </row>
    <row r="876" spans="1:7" ht="12.75" customHeight="1" x14ac:dyDescent="0.3">
      <c r="A876" s="174">
        <v>45209</v>
      </c>
      <c r="B876" s="155">
        <v>1227.75</v>
      </c>
      <c r="C876" s="155">
        <f t="shared" si="26"/>
        <v>1.245206778542853E-2</v>
      </c>
      <c r="E876" s="174">
        <v>45209</v>
      </c>
      <c r="F876" s="175">
        <v>19689.849609375</v>
      </c>
      <c r="G876" s="155">
        <f t="shared" si="27"/>
        <v>9.0968029762401072E-3</v>
      </c>
    </row>
    <row r="877" spans="1:7" ht="12.75" customHeight="1" x14ac:dyDescent="0.3">
      <c r="A877" s="174">
        <v>45210</v>
      </c>
      <c r="B877" s="155">
        <v>1231.5999999999999</v>
      </c>
      <c r="C877" s="155">
        <f t="shared" si="26"/>
        <v>3.1358175524332389E-3</v>
      </c>
      <c r="E877" s="174">
        <v>45210</v>
      </c>
      <c r="F877" s="175">
        <v>19811.349609375</v>
      </c>
      <c r="G877" s="155">
        <f t="shared" si="27"/>
        <v>6.1706921287072586E-3</v>
      </c>
    </row>
    <row r="878" spans="1:7" ht="12.75" customHeight="1" x14ac:dyDescent="0.3">
      <c r="A878" s="174">
        <v>45211</v>
      </c>
      <c r="B878" s="155">
        <v>1198.75</v>
      </c>
      <c r="C878" s="155">
        <f t="shared" si="26"/>
        <v>-2.6672620980837863E-2</v>
      </c>
      <c r="E878" s="174">
        <v>45211</v>
      </c>
      <c r="F878" s="175">
        <v>19794</v>
      </c>
      <c r="G878" s="155">
        <f t="shared" si="27"/>
        <v>-8.7574091200681898E-4</v>
      </c>
    </row>
    <row r="879" spans="1:7" ht="12.75" customHeight="1" x14ac:dyDescent="0.3">
      <c r="A879" s="174">
        <v>45212</v>
      </c>
      <c r="B879" s="155">
        <v>1194.0999999999999</v>
      </c>
      <c r="C879" s="155">
        <f t="shared" si="26"/>
        <v>-3.8790406673619112E-3</v>
      </c>
      <c r="E879" s="174">
        <v>45212</v>
      </c>
      <c r="F879" s="175">
        <v>19751.05078125</v>
      </c>
      <c r="G879" s="155">
        <f t="shared" si="27"/>
        <v>-2.1698099802970596E-3</v>
      </c>
    </row>
    <row r="880" spans="1:7" ht="12.75" customHeight="1" x14ac:dyDescent="0.3">
      <c r="A880" s="174">
        <v>45215</v>
      </c>
      <c r="B880" s="155">
        <v>1184.5999999999999</v>
      </c>
      <c r="C880" s="155">
        <f t="shared" si="26"/>
        <v>-7.9557825977723817E-3</v>
      </c>
      <c r="E880" s="174">
        <v>45215</v>
      </c>
      <c r="F880" s="175">
        <v>19731.75</v>
      </c>
      <c r="G880" s="155">
        <f t="shared" si="27"/>
        <v>-9.7720275562870559E-4</v>
      </c>
    </row>
    <row r="881" spans="1:7" ht="12.75" customHeight="1" x14ac:dyDescent="0.3">
      <c r="A881" s="174">
        <v>45216</v>
      </c>
      <c r="B881" s="155">
        <v>1197.5999999999999</v>
      </c>
      <c r="C881" s="155">
        <f t="shared" si="26"/>
        <v>1.097416849569475E-2</v>
      </c>
      <c r="E881" s="174">
        <v>45216</v>
      </c>
      <c r="F881" s="175">
        <v>19811.5</v>
      </c>
      <c r="G881" s="155">
        <f t="shared" si="27"/>
        <v>4.0417094276990126E-3</v>
      </c>
    </row>
    <row r="882" spans="1:7" ht="12.75" customHeight="1" x14ac:dyDescent="0.3">
      <c r="A882" s="174">
        <v>45217</v>
      </c>
      <c r="B882" s="155">
        <v>1187.0999999999999</v>
      </c>
      <c r="C882" s="155">
        <f t="shared" si="26"/>
        <v>-8.7675350701402806E-3</v>
      </c>
      <c r="E882" s="174">
        <v>45217</v>
      </c>
      <c r="F882" s="175">
        <v>19671.099609375</v>
      </c>
      <c r="G882" s="155">
        <f t="shared" si="27"/>
        <v>-7.0868127413371024E-3</v>
      </c>
    </row>
    <row r="883" spans="1:7" ht="12.75" customHeight="1" x14ac:dyDescent="0.3">
      <c r="A883" s="174">
        <v>45218</v>
      </c>
      <c r="B883" s="155">
        <v>1172.1500000000001</v>
      </c>
      <c r="C883" s="155">
        <f t="shared" si="26"/>
        <v>-1.2593715777946103E-2</v>
      </c>
      <c r="E883" s="174">
        <v>45218</v>
      </c>
      <c r="F883" s="175">
        <v>19624.69921875</v>
      </c>
      <c r="G883" s="155">
        <f t="shared" si="27"/>
        <v>-2.3588102112444267E-3</v>
      </c>
    </row>
    <row r="884" spans="1:7" ht="12.75" customHeight="1" x14ac:dyDescent="0.3">
      <c r="A884" s="174">
        <v>45219</v>
      </c>
      <c r="B884" s="155">
        <v>1170.7</v>
      </c>
      <c r="C884" s="155">
        <f t="shared" si="26"/>
        <v>-1.2370430405665191E-3</v>
      </c>
      <c r="E884" s="174">
        <v>45219</v>
      </c>
      <c r="F884" s="175">
        <v>19542.650390625</v>
      </c>
      <c r="G884" s="155">
        <f t="shared" si="27"/>
        <v>-4.1808960845936532E-3</v>
      </c>
    </row>
    <row r="885" spans="1:7" ht="12.75" customHeight="1" x14ac:dyDescent="0.3">
      <c r="A885" s="174">
        <v>45222</v>
      </c>
      <c r="B885" s="155">
        <v>1155.95</v>
      </c>
      <c r="C885" s="155">
        <f t="shared" si="26"/>
        <v>-1.2599299564363202E-2</v>
      </c>
      <c r="E885" s="174">
        <v>45222</v>
      </c>
      <c r="F885" s="175">
        <v>19281.75</v>
      </c>
      <c r="G885" s="155">
        <f t="shared" si="27"/>
        <v>-1.3350307425555702E-2</v>
      </c>
    </row>
    <row r="886" spans="1:7" ht="12.75" customHeight="1" x14ac:dyDescent="0.3">
      <c r="A886" s="174">
        <v>45224</v>
      </c>
      <c r="B886" s="155">
        <v>1142.1500000000001</v>
      </c>
      <c r="C886" s="155">
        <f t="shared" si="26"/>
        <v>-1.1938232622518235E-2</v>
      </c>
      <c r="E886" s="174">
        <v>45224</v>
      </c>
      <c r="F886" s="175">
        <v>19122.150390625</v>
      </c>
      <c r="G886" s="155">
        <f t="shared" si="27"/>
        <v>-8.2772367329210263E-3</v>
      </c>
    </row>
    <row r="887" spans="1:7" ht="12.75" customHeight="1" x14ac:dyDescent="0.3">
      <c r="A887" s="174">
        <v>45225</v>
      </c>
      <c r="B887" s="155">
        <v>1115.45</v>
      </c>
      <c r="C887" s="155">
        <f t="shared" si="26"/>
        <v>-2.3376964496782421E-2</v>
      </c>
      <c r="E887" s="174">
        <v>45225</v>
      </c>
      <c r="F887" s="175">
        <v>18857.25</v>
      </c>
      <c r="G887" s="155">
        <f t="shared" si="27"/>
        <v>-1.385306491234754E-2</v>
      </c>
    </row>
    <row r="888" spans="1:7" ht="12.75" customHeight="1" x14ac:dyDescent="0.3">
      <c r="A888" s="174">
        <v>45226</v>
      </c>
      <c r="B888" s="155">
        <v>1120.55</v>
      </c>
      <c r="C888" s="155">
        <f t="shared" si="26"/>
        <v>4.5721457707650799E-3</v>
      </c>
      <c r="E888" s="174">
        <v>45226</v>
      </c>
      <c r="F888" s="175">
        <v>19047.25</v>
      </c>
      <c r="G888" s="155">
        <f t="shared" si="27"/>
        <v>1.007570032746026E-2</v>
      </c>
    </row>
    <row r="889" spans="1:7" ht="12.75" customHeight="1" x14ac:dyDescent="0.3">
      <c r="A889" s="174">
        <v>45229</v>
      </c>
      <c r="B889" s="155">
        <v>1126.9000000000001</v>
      </c>
      <c r="C889" s="155">
        <f t="shared" si="26"/>
        <v>5.6668600240954324E-3</v>
      </c>
      <c r="E889" s="174">
        <v>45229</v>
      </c>
      <c r="F889" s="175">
        <v>19140.900390625</v>
      </c>
      <c r="G889" s="155">
        <f t="shared" si="27"/>
        <v>4.9167407696649118E-3</v>
      </c>
    </row>
    <row r="890" spans="1:7" ht="12.75" customHeight="1" x14ac:dyDescent="0.3">
      <c r="A890" s="174">
        <v>45230</v>
      </c>
      <c r="B890" s="155">
        <v>1133.1500000000001</v>
      </c>
      <c r="C890" s="155">
        <f t="shared" si="26"/>
        <v>5.5461886591534294E-3</v>
      </c>
      <c r="E890" s="174">
        <v>45230</v>
      </c>
      <c r="F890" s="175">
        <v>19079.599609375</v>
      </c>
      <c r="G890" s="155">
        <f t="shared" si="27"/>
        <v>-3.2026069828995319E-3</v>
      </c>
    </row>
    <row r="891" spans="1:7" ht="12.75" customHeight="1" x14ac:dyDescent="0.3">
      <c r="A891" s="174">
        <v>45231</v>
      </c>
      <c r="B891" s="155">
        <v>1125.0999999999999</v>
      </c>
      <c r="C891" s="155">
        <f t="shared" si="26"/>
        <v>-7.1040903675596177E-3</v>
      </c>
      <c r="E891" s="174">
        <v>45231</v>
      </c>
      <c r="F891" s="175">
        <v>18989.150390625</v>
      </c>
      <c r="G891" s="155">
        <f t="shared" si="27"/>
        <v>-4.7406245729368791E-3</v>
      </c>
    </row>
    <row r="892" spans="1:7" ht="12.75" customHeight="1" x14ac:dyDescent="0.3">
      <c r="A892" s="174">
        <v>45232</v>
      </c>
      <c r="B892" s="155">
        <v>1115.5</v>
      </c>
      <c r="C892" s="155">
        <f t="shared" si="26"/>
        <v>-8.532574882232611E-3</v>
      </c>
      <c r="E892" s="174">
        <v>45232</v>
      </c>
      <c r="F892" s="175">
        <v>19133.25</v>
      </c>
      <c r="G892" s="155">
        <f t="shared" si="27"/>
        <v>7.5885232572670764E-3</v>
      </c>
    </row>
    <row r="893" spans="1:7" ht="12.75" customHeight="1" x14ac:dyDescent="0.3">
      <c r="A893" s="174">
        <v>45233</v>
      </c>
      <c r="B893" s="155">
        <v>1133.0999999999999</v>
      </c>
      <c r="C893" s="155">
        <f t="shared" si="26"/>
        <v>1.5777678171223584E-2</v>
      </c>
      <c r="E893" s="174">
        <v>45233</v>
      </c>
      <c r="F893" s="175">
        <v>19230.599609375</v>
      </c>
      <c r="G893" s="155">
        <f t="shared" si="27"/>
        <v>5.0879808383311777E-3</v>
      </c>
    </row>
    <row r="894" spans="1:7" ht="12.75" customHeight="1" x14ac:dyDescent="0.3">
      <c r="A894" s="174">
        <v>45236</v>
      </c>
      <c r="B894" s="155">
        <v>1142.1500000000001</v>
      </c>
      <c r="C894" s="155">
        <f t="shared" si="26"/>
        <v>7.9869384873357888E-3</v>
      </c>
      <c r="E894" s="174">
        <v>45236</v>
      </c>
      <c r="F894" s="175">
        <v>19411.75</v>
      </c>
      <c r="G894" s="155">
        <f t="shared" si="27"/>
        <v>9.4199033989916994E-3</v>
      </c>
    </row>
    <row r="895" spans="1:7" ht="12.75" customHeight="1" x14ac:dyDescent="0.3">
      <c r="A895" s="174">
        <v>45237</v>
      </c>
      <c r="B895" s="155">
        <v>1149</v>
      </c>
      <c r="C895" s="155">
        <f t="shared" si="26"/>
        <v>5.9974609289497076E-3</v>
      </c>
      <c r="E895" s="174">
        <v>45237</v>
      </c>
      <c r="F895" s="175">
        <v>19406.69921875</v>
      </c>
      <c r="G895" s="155">
        <f t="shared" si="27"/>
        <v>-2.6019195847875644E-4</v>
      </c>
    </row>
    <row r="896" spans="1:7" ht="12.75" customHeight="1" x14ac:dyDescent="0.3">
      <c r="A896" s="174">
        <v>45238</v>
      </c>
      <c r="B896" s="155">
        <v>1139.1500000000001</v>
      </c>
      <c r="C896" s="155">
        <f t="shared" si="26"/>
        <v>-8.572671888598702E-3</v>
      </c>
      <c r="E896" s="174">
        <v>45238</v>
      </c>
      <c r="F896" s="175">
        <v>19443.5</v>
      </c>
      <c r="G896" s="155">
        <f t="shared" si="27"/>
        <v>1.8962926582818634E-3</v>
      </c>
    </row>
    <row r="897" spans="1:7" ht="12.75" customHeight="1" x14ac:dyDescent="0.3">
      <c r="A897" s="174">
        <v>45239</v>
      </c>
      <c r="B897" s="155">
        <v>1123.95</v>
      </c>
      <c r="C897" s="155">
        <f t="shared" si="26"/>
        <v>-1.3343282271869416E-2</v>
      </c>
      <c r="E897" s="174">
        <v>45239</v>
      </c>
      <c r="F897" s="175">
        <v>19395.30078125</v>
      </c>
      <c r="G897" s="155">
        <f t="shared" si="27"/>
        <v>-2.4789373698151053E-3</v>
      </c>
    </row>
    <row r="898" spans="1:7" ht="12.75" customHeight="1" x14ac:dyDescent="0.3">
      <c r="A898" s="174">
        <v>45240</v>
      </c>
      <c r="B898" s="155">
        <v>1138.1500000000001</v>
      </c>
      <c r="C898" s="155">
        <f t="shared" si="26"/>
        <v>1.2634013968592948E-2</v>
      </c>
      <c r="E898" s="174">
        <v>45240</v>
      </c>
      <c r="F898" s="175">
        <v>19425.349609375</v>
      </c>
      <c r="G898" s="155">
        <f t="shared" si="27"/>
        <v>1.5492839458333678E-3</v>
      </c>
    </row>
    <row r="899" spans="1:7" ht="12.75" customHeight="1" x14ac:dyDescent="0.3">
      <c r="A899" s="174">
        <v>45243</v>
      </c>
      <c r="B899" s="155">
        <v>1131.3499999999999</v>
      </c>
      <c r="C899" s="155">
        <f t="shared" si="26"/>
        <v>-5.9746079163556483E-3</v>
      </c>
      <c r="E899" s="174">
        <v>45243</v>
      </c>
      <c r="F899" s="175">
        <v>19443.55078125</v>
      </c>
      <c r="G899" s="155">
        <f t="shared" si="27"/>
        <v>9.3698040143461864E-4</v>
      </c>
    </row>
    <row r="900" spans="1:7" ht="12.75" customHeight="1" x14ac:dyDescent="0.3">
      <c r="A900" s="174">
        <v>45245</v>
      </c>
      <c r="B900" s="155">
        <v>1173.75</v>
      </c>
      <c r="C900" s="155">
        <f t="shared" ref="C900:C963" si="28">(B900-B899)/B899</f>
        <v>3.7477350068502314E-2</v>
      </c>
      <c r="E900" s="174">
        <v>45245</v>
      </c>
      <c r="F900" s="175">
        <v>19675.44921875</v>
      </c>
      <c r="G900" s="155">
        <f t="shared" ref="G900:G963" si="29">(F900-F899)/F899</f>
        <v>1.1926753508604336E-2</v>
      </c>
    </row>
    <row r="901" spans="1:7" ht="12.75" customHeight="1" x14ac:dyDescent="0.3">
      <c r="A901" s="174">
        <v>45246</v>
      </c>
      <c r="B901" s="155">
        <v>1207.2</v>
      </c>
      <c r="C901" s="155">
        <f t="shared" si="28"/>
        <v>2.8498402555910581E-2</v>
      </c>
      <c r="E901" s="174">
        <v>45246</v>
      </c>
      <c r="F901" s="175">
        <v>19765.19921875</v>
      </c>
      <c r="G901" s="155">
        <f t="shared" si="29"/>
        <v>4.5615222809993819E-3</v>
      </c>
    </row>
    <row r="902" spans="1:7" ht="12.75" customHeight="1" x14ac:dyDescent="0.3">
      <c r="A902" s="174">
        <v>45247</v>
      </c>
      <c r="B902" s="155">
        <v>1202.75</v>
      </c>
      <c r="C902" s="155">
        <f t="shared" si="28"/>
        <v>-3.6862160371107068E-3</v>
      </c>
      <c r="E902" s="174">
        <v>45247</v>
      </c>
      <c r="F902" s="175">
        <v>19731.80078125</v>
      </c>
      <c r="G902" s="155">
        <f t="shared" si="29"/>
        <v>-1.6897597201204532E-3</v>
      </c>
    </row>
    <row r="903" spans="1:7" ht="12.75" customHeight="1" x14ac:dyDescent="0.3">
      <c r="A903" s="174">
        <v>45250</v>
      </c>
      <c r="B903" s="155">
        <v>1211.8</v>
      </c>
      <c r="C903" s="155">
        <f t="shared" si="28"/>
        <v>7.5244231968405358E-3</v>
      </c>
      <c r="E903" s="174">
        <v>45250</v>
      </c>
      <c r="F903" s="175">
        <v>19694</v>
      </c>
      <c r="G903" s="155">
        <f t="shared" si="29"/>
        <v>-1.9157289123818803E-3</v>
      </c>
    </row>
    <row r="904" spans="1:7" ht="12.75" customHeight="1" x14ac:dyDescent="0.3">
      <c r="A904" s="174">
        <v>45251</v>
      </c>
      <c r="B904" s="155">
        <v>1204.5</v>
      </c>
      <c r="C904" s="155">
        <f t="shared" si="28"/>
        <v>-6.0240963855421317E-3</v>
      </c>
      <c r="E904" s="174">
        <v>45251</v>
      </c>
      <c r="F904" s="175">
        <v>19783.400390625</v>
      </c>
      <c r="G904" s="155">
        <f t="shared" si="29"/>
        <v>4.5394734754239871E-3</v>
      </c>
    </row>
    <row r="905" spans="1:7" ht="12.75" customHeight="1" x14ac:dyDescent="0.3">
      <c r="A905" s="174">
        <v>45252</v>
      </c>
      <c r="B905" s="155">
        <v>1215.4000000000001</v>
      </c>
      <c r="C905" s="155">
        <f t="shared" si="28"/>
        <v>9.0493980904940569E-3</v>
      </c>
      <c r="E905" s="174">
        <v>45252</v>
      </c>
      <c r="F905" s="175">
        <v>19811.849609375</v>
      </c>
      <c r="G905" s="155">
        <f t="shared" si="29"/>
        <v>1.438034826585301E-3</v>
      </c>
    </row>
    <row r="906" spans="1:7" ht="12.75" customHeight="1" x14ac:dyDescent="0.3">
      <c r="A906" s="174">
        <v>45253</v>
      </c>
      <c r="B906" s="155">
        <v>1210.9000000000001</v>
      </c>
      <c r="C906" s="155">
        <f t="shared" si="28"/>
        <v>-3.7024847786736874E-3</v>
      </c>
      <c r="E906" s="174">
        <v>45253</v>
      </c>
      <c r="F906" s="175">
        <v>19802</v>
      </c>
      <c r="G906" s="155">
        <f t="shared" si="29"/>
        <v>-4.9715748752398909E-4</v>
      </c>
    </row>
    <row r="907" spans="1:7" ht="12.75" customHeight="1" x14ac:dyDescent="0.3">
      <c r="A907" s="174">
        <v>45254</v>
      </c>
      <c r="B907" s="155">
        <v>1197.8499999999999</v>
      </c>
      <c r="C907" s="155">
        <f t="shared" si="28"/>
        <v>-1.0777107936245917E-2</v>
      </c>
      <c r="E907" s="174">
        <v>45254</v>
      </c>
      <c r="F907" s="175">
        <v>19794.69921875</v>
      </c>
      <c r="G907" s="155">
        <f t="shared" si="29"/>
        <v>-3.6868908443591557E-4</v>
      </c>
    </row>
    <row r="908" spans="1:7" ht="12.75" customHeight="1" x14ac:dyDescent="0.3">
      <c r="A908" s="174">
        <v>45258</v>
      </c>
      <c r="B908" s="155">
        <v>1202.4000000000001</v>
      </c>
      <c r="C908" s="155">
        <f t="shared" si="28"/>
        <v>3.7984722628043432E-3</v>
      </c>
      <c r="E908" s="174">
        <v>45258</v>
      </c>
      <c r="F908" s="175">
        <v>19889.69921875</v>
      </c>
      <c r="G908" s="155">
        <f t="shared" si="29"/>
        <v>4.7992646389905125E-3</v>
      </c>
    </row>
    <row r="909" spans="1:7" ht="12.75" customHeight="1" x14ac:dyDescent="0.3">
      <c r="A909" s="174">
        <v>45259</v>
      </c>
      <c r="B909" s="155">
        <v>1221.7</v>
      </c>
      <c r="C909" s="155">
        <f t="shared" si="28"/>
        <v>1.6051230871590116E-2</v>
      </c>
      <c r="E909" s="174">
        <v>45259</v>
      </c>
      <c r="F909" s="175">
        <v>20096.599609375</v>
      </c>
      <c r="G909" s="155">
        <f t="shared" si="29"/>
        <v>1.0402389113554579E-2</v>
      </c>
    </row>
    <row r="910" spans="1:7" ht="12.75" customHeight="1" x14ac:dyDescent="0.3">
      <c r="A910" s="174">
        <v>45260</v>
      </c>
      <c r="B910" s="155">
        <v>1220.95</v>
      </c>
      <c r="C910" s="155">
        <f t="shared" si="28"/>
        <v>-6.1389866579356631E-4</v>
      </c>
      <c r="E910" s="174">
        <v>45260</v>
      </c>
      <c r="F910" s="175">
        <v>20133.150390625</v>
      </c>
      <c r="G910" s="155">
        <f t="shared" si="29"/>
        <v>1.8187545137212753E-3</v>
      </c>
    </row>
    <row r="911" spans="1:7" ht="12.75" customHeight="1" x14ac:dyDescent="0.3">
      <c r="A911" s="174">
        <v>45261</v>
      </c>
      <c r="B911" s="155">
        <v>1220.55</v>
      </c>
      <c r="C911" s="155">
        <f t="shared" si="28"/>
        <v>-3.2761374339660999E-4</v>
      </c>
      <c r="E911" s="174">
        <v>45261</v>
      </c>
      <c r="F911" s="175">
        <v>20267.900390625</v>
      </c>
      <c r="G911" s="155">
        <f t="shared" si="29"/>
        <v>6.6929416105065368E-3</v>
      </c>
    </row>
    <row r="912" spans="1:7" ht="12.75" customHeight="1" x14ac:dyDescent="0.3">
      <c r="A912" s="174">
        <v>45264</v>
      </c>
      <c r="B912" s="155">
        <v>1223.9000000000001</v>
      </c>
      <c r="C912" s="155">
        <f t="shared" si="28"/>
        <v>2.7446642906887361E-3</v>
      </c>
      <c r="E912" s="174">
        <v>45264</v>
      </c>
      <c r="F912" s="175">
        <v>20686.80078125</v>
      </c>
      <c r="G912" s="155">
        <f t="shared" si="29"/>
        <v>2.0668169003769332E-2</v>
      </c>
    </row>
    <row r="913" spans="1:7" ht="12.75" customHeight="1" x14ac:dyDescent="0.3">
      <c r="A913" s="174">
        <v>45265</v>
      </c>
      <c r="B913" s="155">
        <v>1220.5999999999999</v>
      </c>
      <c r="C913" s="155">
        <f t="shared" si="28"/>
        <v>-2.6962987172156074E-3</v>
      </c>
      <c r="E913" s="174">
        <v>45265</v>
      </c>
      <c r="F913" s="175">
        <v>20855.099609375</v>
      </c>
      <c r="G913" s="155">
        <f t="shared" si="29"/>
        <v>8.1355657602475619E-3</v>
      </c>
    </row>
    <row r="914" spans="1:7" ht="12.75" customHeight="1" x14ac:dyDescent="0.3">
      <c r="A914" s="174">
        <v>45266</v>
      </c>
      <c r="B914" s="155">
        <v>1225.2</v>
      </c>
      <c r="C914" s="155">
        <f t="shared" si="28"/>
        <v>3.7686383745699956E-3</v>
      </c>
      <c r="E914" s="174">
        <v>45266</v>
      </c>
      <c r="F914" s="175">
        <v>20937.69921875</v>
      </c>
      <c r="G914" s="155">
        <f t="shared" si="29"/>
        <v>3.9606432442005199E-3</v>
      </c>
    </row>
    <row r="915" spans="1:7" ht="12.75" customHeight="1" x14ac:dyDescent="0.3">
      <c r="A915" s="174">
        <v>45267</v>
      </c>
      <c r="B915" s="155">
        <v>1223.25</v>
      </c>
      <c r="C915" s="155">
        <f t="shared" si="28"/>
        <v>-1.5915768854065013E-3</v>
      </c>
      <c r="E915" s="174">
        <v>45267</v>
      </c>
      <c r="F915" s="175">
        <v>20901.150390625</v>
      </c>
      <c r="G915" s="155">
        <f t="shared" si="29"/>
        <v>-1.7455990623969808E-3</v>
      </c>
    </row>
    <row r="916" spans="1:7" ht="12.75" customHeight="1" x14ac:dyDescent="0.3">
      <c r="A916" s="174">
        <v>45268</v>
      </c>
      <c r="B916" s="155">
        <v>1225.3</v>
      </c>
      <c r="C916" s="155">
        <f t="shared" si="28"/>
        <v>1.6758634784385486E-3</v>
      </c>
      <c r="E916" s="174">
        <v>45268</v>
      </c>
      <c r="F916" s="175">
        <v>20969.400390625</v>
      </c>
      <c r="G916" s="155">
        <f t="shared" si="29"/>
        <v>3.2653705047073797E-3</v>
      </c>
    </row>
    <row r="917" spans="1:7" ht="12.75" customHeight="1" x14ac:dyDescent="0.3">
      <c r="A917" s="174">
        <v>45271</v>
      </c>
      <c r="B917" s="155">
        <v>1233.3</v>
      </c>
      <c r="C917" s="155">
        <f t="shared" si="28"/>
        <v>6.5290133028646051E-3</v>
      </c>
      <c r="E917" s="174">
        <v>45271</v>
      </c>
      <c r="F917" s="175">
        <v>20997.099609375</v>
      </c>
      <c r="G917" s="155">
        <f t="shared" si="29"/>
        <v>1.3209351833628857E-3</v>
      </c>
    </row>
    <row r="918" spans="1:7" ht="12.75" customHeight="1" x14ac:dyDescent="0.3">
      <c r="A918" s="174">
        <v>45272</v>
      </c>
      <c r="B918" s="155">
        <v>1226.1500000000001</v>
      </c>
      <c r="C918" s="155">
        <f t="shared" si="28"/>
        <v>-5.7974539852427339E-3</v>
      </c>
      <c r="E918" s="174">
        <v>45272</v>
      </c>
      <c r="F918" s="175">
        <v>20906.400390625</v>
      </c>
      <c r="G918" s="155">
        <f t="shared" si="29"/>
        <v>-4.3196070141755995E-3</v>
      </c>
    </row>
    <row r="919" spans="1:7" ht="12.75" customHeight="1" x14ac:dyDescent="0.3">
      <c r="A919" s="174">
        <v>45273</v>
      </c>
      <c r="B919" s="155">
        <v>1216.0999999999999</v>
      </c>
      <c r="C919" s="155">
        <f t="shared" si="28"/>
        <v>-8.1963870652042425E-3</v>
      </c>
      <c r="E919" s="174">
        <v>45273</v>
      </c>
      <c r="F919" s="175">
        <v>20926.349609375</v>
      </c>
      <c r="G919" s="155">
        <f t="shared" si="29"/>
        <v>9.5421585625738684E-4</v>
      </c>
    </row>
    <row r="920" spans="1:7" ht="12.75" customHeight="1" x14ac:dyDescent="0.3">
      <c r="A920" s="174">
        <v>45274</v>
      </c>
      <c r="B920" s="155">
        <v>1264.7</v>
      </c>
      <c r="C920" s="155">
        <f t="shared" si="28"/>
        <v>3.9963818764904319E-2</v>
      </c>
      <c r="E920" s="174">
        <v>45274</v>
      </c>
      <c r="F920" s="175">
        <v>21182.69921875</v>
      </c>
      <c r="G920" s="155">
        <f t="shared" si="29"/>
        <v>1.2250087289956937E-2</v>
      </c>
    </row>
    <row r="921" spans="1:7" ht="12.75" customHeight="1" x14ac:dyDescent="0.3">
      <c r="A921" s="174">
        <v>45275</v>
      </c>
      <c r="B921" s="155">
        <v>1306.0999999999999</v>
      </c>
      <c r="C921" s="155">
        <f t="shared" si="28"/>
        <v>3.2735035976911409E-2</v>
      </c>
      <c r="E921" s="174">
        <v>45275</v>
      </c>
      <c r="F921" s="175">
        <v>21456.650390625</v>
      </c>
      <c r="G921" s="155">
        <f t="shared" si="29"/>
        <v>1.2932779200891942E-2</v>
      </c>
    </row>
    <row r="922" spans="1:7" ht="12.75" customHeight="1" x14ac:dyDescent="0.3">
      <c r="A922" s="174">
        <v>45278</v>
      </c>
      <c r="B922" s="155">
        <v>1291.75</v>
      </c>
      <c r="C922" s="155">
        <f t="shared" si="28"/>
        <v>-1.0986907587474091E-2</v>
      </c>
      <c r="E922" s="174">
        <v>45278</v>
      </c>
      <c r="F922" s="175">
        <v>21418.650390625</v>
      </c>
      <c r="G922" s="155">
        <f t="shared" si="29"/>
        <v>-1.7710126840955215E-3</v>
      </c>
    </row>
    <row r="923" spans="1:7" ht="12.75" customHeight="1" x14ac:dyDescent="0.3">
      <c r="A923" s="174">
        <v>45279</v>
      </c>
      <c r="B923" s="155">
        <v>1281.45</v>
      </c>
      <c r="C923" s="155">
        <f t="shared" si="28"/>
        <v>-7.973679117476257E-3</v>
      </c>
      <c r="E923" s="174">
        <v>45279</v>
      </c>
      <c r="F923" s="175">
        <v>21453.099609375</v>
      </c>
      <c r="G923" s="155">
        <f t="shared" si="29"/>
        <v>1.6083748565725931E-3</v>
      </c>
    </row>
    <row r="924" spans="1:7" ht="12.75" customHeight="1" x14ac:dyDescent="0.3">
      <c r="A924" s="174">
        <v>45280</v>
      </c>
      <c r="B924" s="155">
        <v>1248.5999999999999</v>
      </c>
      <c r="C924" s="155">
        <f t="shared" si="28"/>
        <v>-2.5635022825705362E-2</v>
      </c>
      <c r="E924" s="174">
        <v>45280</v>
      </c>
      <c r="F924" s="175">
        <v>21150.150390625</v>
      </c>
      <c r="G924" s="155">
        <f t="shared" si="29"/>
        <v>-1.412146609423336E-2</v>
      </c>
    </row>
    <row r="925" spans="1:7" ht="12.75" customHeight="1" x14ac:dyDescent="0.3">
      <c r="A925" s="174">
        <v>45281</v>
      </c>
      <c r="B925" s="155">
        <v>1250.0999999999999</v>
      </c>
      <c r="C925" s="155">
        <f t="shared" si="28"/>
        <v>1.201345506967804E-3</v>
      </c>
      <c r="E925" s="174">
        <v>45281</v>
      </c>
      <c r="F925" s="175">
        <v>21255.05078125</v>
      </c>
      <c r="G925" s="155">
        <f t="shared" si="29"/>
        <v>4.9597940765233554E-3</v>
      </c>
    </row>
    <row r="926" spans="1:7" ht="12.75" customHeight="1" x14ac:dyDescent="0.3">
      <c r="A926" s="174">
        <v>45282</v>
      </c>
      <c r="B926" s="155">
        <v>1275.1500000000001</v>
      </c>
      <c r="C926" s="155">
        <f t="shared" si="28"/>
        <v>2.0038396928245886E-2</v>
      </c>
      <c r="E926" s="174">
        <v>45282</v>
      </c>
      <c r="F926" s="175">
        <v>21349.400390625</v>
      </c>
      <c r="G926" s="155">
        <f t="shared" si="29"/>
        <v>4.4389265566107177E-3</v>
      </c>
    </row>
    <row r="927" spans="1:7" ht="12.75" customHeight="1" x14ac:dyDescent="0.3">
      <c r="A927" s="174">
        <v>45286</v>
      </c>
      <c r="B927" s="155">
        <v>1282</v>
      </c>
      <c r="C927" s="155">
        <f t="shared" si="28"/>
        <v>5.3719170293690223E-3</v>
      </c>
      <c r="E927" s="174">
        <v>45286</v>
      </c>
      <c r="F927" s="175">
        <v>21441.349609375</v>
      </c>
      <c r="G927" s="155">
        <f t="shared" si="29"/>
        <v>4.3068759341071223E-3</v>
      </c>
    </row>
    <row r="928" spans="1:7" ht="12.75" customHeight="1" x14ac:dyDescent="0.3">
      <c r="A928" s="174">
        <v>45287</v>
      </c>
      <c r="B928" s="155">
        <v>1280.1500000000001</v>
      </c>
      <c r="C928" s="155">
        <f t="shared" si="28"/>
        <v>-1.4430577223088215E-3</v>
      </c>
      <c r="E928" s="174">
        <v>45287</v>
      </c>
      <c r="F928" s="175">
        <v>21654.75</v>
      </c>
      <c r="G928" s="155">
        <f t="shared" si="29"/>
        <v>9.9527499207276091E-3</v>
      </c>
    </row>
    <row r="929" spans="1:7" ht="12.75" customHeight="1" x14ac:dyDescent="0.3">
      <c r="A929" s="174">
        <v>45288</v>
      </c>
      <c r="B929" s="155">
        <v>1285.95</v>
      </c>
      <c r="C929" s="155">
        <f t="shared" si="28"/>
        <v>4.5307190563605472E-3</v>
      </c>
      <c r="E929" s="174">
        <v>45288</v>
      </c>
      <c r="F929" s="175">
        <v>21778.69921875</v>
      </c>
      <c r="G929" s="155">
        <f t="shared" si="29"/>
        <v>5.7238813077962114E-3</v>
      </c>
    </row>
    <row r="930" spans="1:7" ht="12.75" customHeight="1" x14ac:dyDescent="0.3">
      <c r="A930" s="174">
        <v>45289</v>
      </c>
      <c r="B930" s="155">
        <v>1272.6500000000001</v>
      </c>
      <c r="C930" s="155">
        <f t="shared" si="28"/>
        <v>-1.0342548310587467E-2</v>
      </c>
      <c r="E930" s="174">
        <v>45289</v>
      </c>
      <c r="F930" s="175">
        <v>21731.400390625</v>
      </c>
      <c r="G930" s="155">
        <f t="shared" si="29"/>
        <v>-2.171793074045436E-3</v>
      </c>
    </row>
    <row r="931" spans="1:7" ht="12.75" customHeight="1" x14ac:dyDescent="0.3">
      <c r="A931" s="174">
        <v>45292</v>
      </c>
      <c r="B931" s="155">
        <v>1297.1500000000001</v>
      </c>
      <c r="C931" s="155">
        <f t="shared" si="28"/>
        <v>1.9251168820964129E-2</v>
      </c>
      <c r="E931" s="174">
        <v>45292</v>
      </c>
      <c r="F931" s="175">
        <v>21741.900390625</v>
      </c>
      <c r="G931" s="155">
        <f t="shared" si="29"/>
        <v>4.8317180721265139E-4</v>
      </c>
    </row>
    <row r="932" spans="1:7" ht="12.75" customHeight="1" x14ac:dyDescent="0.3">
      <c r="A932" s="174">
        <v>45293</v>
      </c>
      <c r="B932" s="155">
        <v>1278.0999999999999</v>
      </c>
      <c r="C932" s="155">
        <f t="shared" si="28"/>
        <v>-1.4686042477739799E-2</v>
      </c>
      <c r="E932" s="174">
        <v>45293</v>
      </c>
      <c r="F932" s="175">
        <v>21665.80078125</v>
      </c>
      <c r="G932" s="155">
        <f t="shared" si="29"/>
        <v>-3.5001360510240297E-3</v>
      </c>
    </row>
    <row r="933" spans="1:7" ht="12.75" customHeight="1" x14ac:dyDescent="0.3">
      <c r="A933" s="174">
        <v>45294</v>
      </c>
      <c r="B933" s="155">
        <v>1244.2</v>
      </c>
      <c r="C933" s="155">
        <f t="shared" si="28"/>
        <v>-2.6523746185744358E-2</v>
      </c>
      <c r="E933" s="174">
        <v>45294</v>
      </c>
      <c r="F933" s="175">
        <v>21517.349609375</v>
      </c>
      <c r="G933" s="155">
        <f t="shared" si="29"/>
        <v>-6.8518663756694607E-3</v>
      </c>
    </row>
    <row r="934" spans="1:7" ht="12.75" customHeight="1" x14ac:dyDescent="0.3">
      <c r="A934" s="174">
        <v>45295</v>
      </c>
      <c r="B934" s="155">
        <v>1247.5</v>
      </c>
      <c r="C934" s="155">
        <f t="shared" si="28"/>
        <v>2.6523067031023586E-3</v>
      </c>
      <c r="E934" s="174">
        <v>45295</v>
      </c>
      <c r="F934" s="175">
        <v>21658.599609375</v>
      </c>
      <c r="G934" s="155">
        <f t="shared" si="29"/>
        <v>6.5644701863494422E-3</v>
      </c>
    </row>
    <row r="935" spans="1:7" ht="12.75" customHeight="1" x14ac:dyDescent="0.3">
      <c r="A935" s="174">
        <v>45296</v>
      </c>
      <c r="B935" s="155">
        <v>1248.3</v>
      </c>
      <c r="C935" s="155">
        <f t="shared" si="28"/>
        <v>6.4128256513022405E-4</v>
      </c>
      <c r="E935" s="174">
        <v>45296</v>
      </c>
      <c r="F935" s="175">
        <v>21710.80078125</v>
      </c>
      <c r="G935" s="155">
        <f t="shared" si="29"/>
        <v>2.4101822286056087E-3</v>
      </c>
    </row>
    <row r="936" spans="1:7" ht="12.75" customHeight="1" x14ac:dyDescent="0.3">
      <c r="A936" s="174">
        <v>45299</v>
      </c>
      <c r="B936" s="155">
        <v>1228.95</v>
      </c>
      <c r="C936" s="155">
        <f t="shared" si="28"/>
        <v>-1.5501081470800216E-2</v>
      </c>
      <c r="E936" s="174">
        <v>45299</v>
      </c>
      <c r="F936" s="175">
        <v>21513</v>
      </c>
      <c r="G936" s="155">
        <f t="shared" si="29"/>
        <v>-9.1107086856430358E-3</v>
      </c>
    </row>
    <row r="937" spans="1:7" ht="12.75" customHeight="1" x14ac:dyDescent="0.3">
      <c r="A937" s="174">
        <v>45300</v>
      </c>
      <c r="B937" s="155">
        <v>1235.6500000000001</v>
      </c>
      <c r="C937" s="155">
        <f t="shared" si="28"/>
        <v>5.4518084543716547E-3</v>
      </c>
      <c r="E937" s="174">
        <v>45300</v>
      </c>
      <c r="F937" s="175">
        <v>21544.849609375</v>
      </c>
      <c r="G937" s="155">
        <f t="shared" si="29"/>
        <v>1.4804820050667038E-3</v>
      </c>
    </row>
    <row r="938" spans="1:7" ht="12.75" customHeight="1" x14ac:dyDescent="0.3">
      <c r="A938" s="174">
        <v>45301</v>
      </c>
      <c r="B938" s="155">
        <v>1240.9000000000001</v>
      </c>
      <c r="C938" s="155">
        <f t="shared" si="28"/>
        <v>4.2487759478816818E-3</v>
      </c>
      <c r="E938" s="174">
        <v>45301</v>
      </c>
      <c r="F938" s="175">
        <v>21618.69921875</v>
      </c>
      <c r="G938" s="155">
        <f t="shared" si="29"/>
        <v>3.4277152411806657E-3</v>
      </c>
    </row>
    <row r="939" spans="1:7" ht="12.75" customHeight="1" x14ac:dyDescent="0.3">
      <c r="A939" s="174">
        <v>45302</v>
      </c>
      <c r="B939" s="155">
        <v>1249.4000000000001</v>
      </c>
      <c r="C939" s="155">
        <f t="shared" si="28"/>
        <v>6.8498670319929083E-3</v>
      </c>
      <c r="E939" s="174">
        <v>45302</v>
      </c>
      <c r="F939" s="175">
        <v>21647.19921875</v>
      </c>
      <c r="G939" s="155">
        <f t="shared" si="29"/>
        <v>1.3183031833516521E-3</v>
      </c>
    </row>
    <row r="940" spans="1:7" ht="12.75" customHeight="1" x14ac:dyDescent="0.3">
      <c r="A940" s="174">
        <v>45303</v>
      </c>
      <c r="B940" s="155">
        <v>1308.05</v>
      </c>
      <c r="C940" s="155">
        <f t="shared" si="28"/>
        <v>4.6942532415559353E-2</v>
      </c>
      <c r="E940" s="174">
        <v>45303</v>
      </c>
      <c r="F940" s="175">
        <v>21894.55078125</v>
      </c>
      <c r="G940" s="155">
        <f t="shared" si="29"/>
        <v>1.1426492637705911E-2</v>
      </c>
    </row>
    <row r="941" spans="1:7" ht="12.75" customHeight="1" x14ac:dyDescent="0.3">
      <c r="A941" s="174">
        <v>45306</v>
      </c>
      <c r="B941" s="155">
        <v>1337.65</v>
      </c>
      <c r="C941" s="155">
        <f t="shared" si="28"/>
        <v>2.2629104392034048E-2</v>
      </c>
      <c r="E941" s="174">
        <v>45306</v>
      </c>
      <c r="F941" s="175">
        <v>22097.44921875</v>
      </c>
      <c r="G941" s="155">
        <f t="shared" si="29"/>
        <v>9.2670746948486215E-3</v>
      </c>
    </row>
    <row r="942" spans="1:7" ht="12.75" customHeight="1" x14ac:dyDescent="0.3">
      <c r="A942" s="174">
        <v>45307</v>
      </c>
      <c r="B942" s="155">
        <v>1320.4</v>
      </c>
      <c r="C942" s="155">
        <f t="shared" si="28"/>
        <v>-1.2895750009344745E-2</v>
      </c>
      <c r="E942" s="174">
        <v>45307</v>
      </c>
      <c r="F942" s="175">
        <v>22032.30078125</v>
      </c>
      <c r="G942" s="155">
        <f t="shared" si="29"/>
        <v>-2.9482333845447023E-3</v>
      </c>
    </row>
    <row r="943" spans="1:7" ht="12.75" customHeight="1" x14ac:dyDescent="0.3">
      <c r="A943" s="174">
        <v>45308</v>
      </c>
      <c r="B943" s="155">
        <v>1326.75</v>
      </c>
      <c r="C943" s="155">
        <f t="shared" si="28"/>
        <v>4.8091487428051412E-3</v>
      </c>
      <c r="E943" s="174">
        <v>45308</v>
      </c>
      <c r="F943" s="175">
        <v>21571.94921875</v>
      </c>
      <c r="G943" s="155">
        <f t="shared" si="29"/>
        <v>-2.0894393512082492E-2</v>
      </c>
    </row>
    <row r="944" spans="1:7" ht="12.75" customHeight="1" x14ac:dyDescent="0.3">
      <c r="A944" s="174">
        <v>45309</v>
      </c>
      <c r="B944" s="155">
        <v>1355.15</v>
      </c>
      <c r="C944" s="155">
        <f t="shared" si="28"/>
        <v>2.1405690597324358E-2</v>
      </c>
      <c r="E944" s="174">
        <v>45309</v>
      </c>
      <c r="F944" s="175">
        <v>21462.25</v>
      </c>
      <c r="G944" s="155">
        <f t="shared" si="29"/>
        <v>-5.0852715087355742E-3</v>
      </c>
    </row>
    <row r="945" spans="1:7" ht="12.75" customHeight="1" x14ac:dyDescent="0.3">
      <c r="A945" s="174">
        <v>45310</v>
      </c>
      <c r="B945" s="155">
        <v>1389.9</v>
      </c>
      <c r="C945" s="155">
        <f t="shared" si="28"/>
        <v>2.5642917758181748E-2</v>
      </c>
      <c r="E945" s="174">
        <v>45310</v>
      </c>
      <c r="F945" s="175">
        <v>21622.400390625</v>
      </c>
      <c r="G945" s="155">
        <f t="shared" si="29"/>
        <v>7.4619571864552878E-3</v>
      </c>
    </row>
    <row r="946" spans="1:7" ht="12.75" customHeight="1" x14ac:dyDescent="0.3">
      <c r="A946" s="174">
        <v>45314</v>
      </c>
      <c r="B946" s="155">
        <v>1366.65</v>
      </c>
      <c r="C946" s="155">
        <f t="shared" si="28"/>
        <v>-1.6727822145478091E-2</v>
      </c>
      <c r="E946" s="174">
        <v>45314</v>
      </c>
      <c r="F946" s="175">
        <v>21238.80078125</v>
      </c>
      <c r="G946" s="155">
        <f t="shared" si="29"/>
        <v>-1.7740842942734536E-2</v>
      </c>
    </row>
    <row r="947" spans="1:7" ht="12.75" customHeight="1" x14ac:dyDescent="0.3">
      <c r="A947" s="174">
        <v>45315</v>
      </c>
      <c r="B947" s="155">
        <v>1407.95</v>
      </c>
      <c r="C947" s="155">
        <f t="shared" si="28"/>
        <v>3.0219880730252772E-2</v>
      </c>
      <c r="E947" s="174">
        <v>45315</v>
      </c>
      <c r="F947" s="175">
        <v>21453.94921875</v>
      </c>
      <c r="G947" s="155">
        <f t="shared" si="29"/>
        <v>1.0129971071150917E-2</v>
      </c>
    </row>
    <row r="948" spans="1:7" ht="12.75" customHeight="1" x14ac:dyDescent="0.3">
      <c r="A948" s="174">
        <v>45316</v>
      </c>
      <c r="B948" s="155">
        <v>1322.05</v>
      </c>
      <c r="C948" s="155">
        <f t="shared" si="28"/>
        <v>-6.1010689300046231E-2</v>
      </c>
      <c r="E948" s="174">
        <v>45316</v>
      </c>
      <c r="F948" s="175">
        <v>21352.599609375</v>
      </c>
      <c r="G948" s="155">
        <f t="shared" si="29"/>
        <v>-4.7240537554001476E-3</v>
      </c>
    </row>
    <row r="949" spans="1:7" ht="12.75" customHeight="1" x14ac:dyDescent="0.3">
      <c r="A949" s="174">
        <v>45320</v>
      </c>
      <c r="B949" s="155">
        <v>1314.35</v>
      </c>
      <c r="C949" s="155">
        <f t="shared" si="28"/>
        <v>-5.8242880375175268E-3</v>
      </c>
      <c r="E949" s="174">
        <v>45320</v>
      </c>
      <c r="F949" s="175">
        <v>21737.599609375</v>
      </c>
      <c r="G949" s="155">
        <f t="shared" si="29"/>
        <v>1.8030591452244681E-2</v>
      </c>
    </row>
    <row r="950" spans="1:7" ht="12.75" customHeight="1" x14ac:dyDescent="0.3">
      <c r="A950" s="174">
        <v>45321</v>
      </c>
      <c r="B950" s="155">
        <v>1317.85</v>
      </c>
      <c r="C950" s="155">
        <f t="shared" si="28"/>
        <v>2.6629132270704152E-3</v>
      </c>
      <c r="E950" s="174">
        <v>45321</v>
      </c>
      <c r="F950" s="175">
        <v>21522.099609375</v>
      </c>
      <c r="G950" s="155">
        <f t="shared" si="29"/>
        <v>-9.9136981024831768E-3</v>
      </c>
    </row>
    <row r="951" spans="1:7" ht="12.75" customHeight="1" x14ac:dyDescent="0.3">
      <c r="A951" s="174">
        <v>45322</v>
      </c>
      <c r="B951" s="155">
        <v>1333.65</v>
      </c>
      <c r="C951" s="155">
        <f t="shared" si="28"/>
        <v>1.1989224873847694E-2</v>
      </c>
      <c r="E951" s="174">
        <v>45322</v>
      </c>
      <c r="F951" s="175">
        <v>21725.69921875</v>
      </c>
      <c r="G951" s="155">
        <f t="shared" si="29"/>
        <v>9.4600254190029057E-3</v>
      </c>
    </row>
    <row r="952" spans="1:7" ht="12.75" customHeight="1" x14ac:dyDescent="0.3">
      <c r="A952" s="174">
        <v>45323</v>
      </c>
      <c r="B952" s="155">
        <v>1312.5</v>
      </c>
      <c r="C952" s="155">
        <f t="shared" si="28"/>
        <v>-1.5858733550781757E-2</v>
      </c>
      <c r="E952" s="174">
        <v>45323</v>
      </c>
      <c r="F952" s="175">
        <v>21697.44921875</v>
      </c>
      <c r="G952" s="155">
        <f t="shared" si="29"/>
        <v>-1.3003033741542051E-3</v>
      </c>
    </row>
    <row r="953" spans="1:7" ht="12.75" customHeight="1" x14ac:dyDescent="0.3">
      <c r="A953" s="174">
        <v>45324</v>
      </c>
      <c r="B953" s="155">
        <v>1338.1</v>
      </c>
      <c r="C953" s="155">
        <f t="shared" si="28"/>
        <v>1.9504761904761834E-2</v>
      </c>
      <c r="E953" s="174">
        <v>45324</v>
      </c>
      <c r="F953" s="175">
        <v>21853.80078125</v>
      </c>
      <c r="G953" s="155">
        <f t="shared" si="29"/>
        <v>7.2059881750933062E-3</v>
      </c>
    </row>
    <row r="954" spans="1:7" ht="12.75" customHeight="1" x14ac:dyDescent="0.3">
      <c r="A954" s="174">
        <v>45327</v>
      </c>
      <c r="B954" s="155">
        <v>1332.75</v>
      </c>
      <c r="C954" s="155">
        <f t="shared" si="28"/>
        <v>-3.9982064120767579E-3</v>
      </c>
      <c r="E954" s="174">
        <v>45327</v>
      </c>
      <c r="F954" s="175">
        <v>21771.69921875</v>
      </c>
      <c r="G954" s="155">
        <f t="shared" si="29"/>
        <v>-3.7568550808077758E-3</v>
      </c>
    </row>
    <row r="955" spans="1:7" ht="12.75" customHeight="1" x14ac:dyDescent="0.3">
      <c r="A955" s="174">
        <v>45328</v>
      </c>
      <c r="B955" s="155">
        <v>1351.05</v>
      </c>
      <c r="C955" s="155">
        <f t="shared" si="28"/>
        <v>1.3731007315700585E-2</v>
      </c>
      <c r="E955" s="174">
        <v>45328</v>
      </c>
      <c r="F955" s="175">
        <v>21929.400390625</v>
      </c>
      <c r="G955" s="155">
        <f t="shared" si="29"/>
        <v>7.243402101531249E-3</v>
      </c>
    </row>
    <row r="956" spans="1:7" ht="12.75" customHeight="1" x14ac:dyDescent="0.3">
      <c r="A956" s="174">
        <v>45329</v>
      </c>
      <c r="B956" s="155">
        <v>1318</v>
      </c>
      <c r="C956" s="155">
        <f t="shared" si="28"/>
        <v>-2.4462455127493399E-2</v>
      </c>
      <c r="E956" s="174">
        <v>45329</v>
      </c>
      <c r="F956" s="175">
        <v>21930.5</v>
      </c>
      <c r="G956" s="155">
        <f t="shared" si="29"/>
        <v>5.0143157378351857E-5</v>
      </c>
    </row>
    <row r="957" spans="1:7" ht="12.75" customHeight="1" x14ac:dyDescent="0.3">
      <c r="A957" s="174">
        <v>45330</v>
      </c>
      <c r="B957" s="155">
        <v>1309.25</v>
      </c>
      <c r="C957" s="155">
        <f t="shared" si="28"/>
        <v>-6.6388467374810314E-3</v>
      </c>
      <c r="E957" s="174">
        <v>45330</v>
      </c>
      <c r="F957" s="175">
        <v>21717.94921875</v>
      </c>
      <c r="G957" s="155">
        <f t="shared" si="29"/>
        <v>-9.6920171108729851E-3</v>
      </c>
    </row>
    <row r="958" spans="1:7" ht="12.75" customHeight="1" x14ac:dyDescent="0.3">
      <c r="A958" s="174">
        <v>45331</v>
      </c>
      <c r="B958" s="155">
        <v>1311.05</v>
      </c>
      <c r="C958" s="155">
        <f t="shared" si="28"/>
        <v>1.3748329196104293E-3</v>
      </c>
      <c r="E958" s="174">
        <v>45331</v>
      </c>
      <c r="F958" s="175">
        <v>21782.5</v>
      </c>
      <c r="G958" s="155">
        <f t="shared" si="29"/>
        <v>2.9722318898448593E-3</v>
      </c>
    </row>
    <row r="959" spans="1:7" ht="12.75" customHeight="1" x14ac:dyDescent="0.3">
      <c r="A959" s="174">
        <v>45334</v>
      </c>
      <c r="B959" s="155">
        <v>1318.8</v>
      </c>
      <c r="C959" s="155">
        <f t="shared" si="28"/>
        <v>5.9112924754967395E-3</v>
      </c>
      <c r="E959" s="174">
        <v>45334</v>
      </c>
      <c r="F959" s="175">
        <v>21616.05078125</v>
      </c>
      <c r="G959" s="155">
        <f t="shared" si="29"/>
        <v>-7.6414194307356824E-3</v>
      </c>
    </row>
    <row r="960" spans="1:7" ht="12.75" customHeight="1" x14ac:dyDescent="0.3">
      <c r="A960" s="174">
        <v>45335</v>
      </c>
      <c r="B960" s="155">
        <v>1328.45</v>
      </c>
      <c r="C960" s="155">
        <f t="shared" si="28"/>
        <v>7.3172581134365268E-3</v>
      </c>
      <c r="E960" s="174">
        <v>45335</v>
      </c>
      <c r="F960" s="175">
        <v>21743.25</v>
      </c>
      <c r="G960" s="155">
        <f t="shared" si="29"/>
        <v>5.8844800115076526E-3</v>
      </c>
    </row>
    <row r="961" spans="1:7" ht="12.75" customHeight="1" x14ac:dyDescent="0.3">
      <c r="A961" s="174">
        <v>45336</v>
      </c>
      <c r="B961" s="155">
        <v>1292.9000000000001</v>
      </c>
      <c r="C961" s="155">
        <f t="shared" si="28"/>
        <v>-2.6760510369227261E-2</v>
      </c>
      <c r="E961" s="174">
        <v>45336</v>
      </c>
      <c r="F961" s="175">
        <v>21840.05078125</v>
      </c>
      <c r="G961" s="155">
        <f t="shared" si="29"/>
        <v>4.4519922849619994E-3</v>
      </c>
    </row>
    <row r="962" spans="1:7" ht="12.75" customHeight="1" x14ac:dyDescent="0.3">
      <c r="A962" s="174">
        <v>45337</v>
      </c>
      <c r="B962" s="155">
        <v>1300.3499999999999</v>
      </c>
      <c r="C962" s="155">
        <f t="shared" si="28"/>
        <v>5.7622399257481766E-3</v>
      </c>
      <c r="E962" s="174">
        <v>45337</v>
      </c>
      <c r="F962" s="175">
        <v>21910.75</v>
      </c>
      <c r="G962" s="155">
        <f t="shared" si="29"/>
        <v>3.2371361888359849E-3</v>
      </c>
    </row>
    <row r="963" spans="1:7" ht="12.75" customHeight="1" x14ac:dyDescent="0.3">
      <c r="A963" s="174">
        <v>45338</v>
      </c>
      <c r="B963" s="155">
        <v>1302.55</v>
      </c>
      <c r="C963" s="155">
        <f t="shared" si="28"/>
        <v>1.6918521936402089E-3</v>
      </c>
      <c r="E963" s="174">
        <v>45338</v>
      </c>
      <c r="F963" s="175">
        <v>22040.69921875</v>
      </c>
      <c r="G963" s="155">
        <f t="shared" si="29"/>
        <v>5.9308430222607626E-3</v>
      </c>
    </row>
    <row r="964" spans="1:7" ht="12.75" customHeight="1" x14ac:dyDescent="0.3">
      <c r="A964" s="174">
        <v>45341</v>
      </c>
      <c r="B964" s="155">
        <v>1310</v>
      </c>
      <c r="C964" s="155">
        <f t="shared" ref="C964:C1027" si="30">(B964-B963)/B963</f>
        <v>5.7195501132394503E-3</v>
      </c>
      <c r="E964" s="174">
        <v>45341</v>
      </c>
      <c r="F964" s="175">
        <v>22122.25</v>
      </c>
      <c r="G964" s="155">
        <f t="shared" ref="G964:G1027" si="31">(F964-F963)/F963</f>
        <v>3.7000088082788604E-3</v>
      </c>
    </row>
    <row r="965" spans="1:7" ht="12.75" customHeight="1" x14ac:dyDescent="0.3">
      <c r="A965" s="174">
        <v>45342</v>
      </c>
      <c r="B965" s="155">
        <v>1320.55</v>
      </c>
      <c r="C965" s="155">
        <f t="shared" si="30"/>
        <v>8.0534351145037826E-3</v>
      </c>
      <c r="E965" s="174">
        <v>45342</v>
      </c>
      <c r="F965" s="175">
        <v>22196.94921875</v>
      </c>
      <c r="G965" s="155">
        <f t="shared" si="31"/>
        <v>3.3766555730090748E-3</v>
      </c>
    </row>
    <row r="966" spans="1:7" ht="12.75" customHeight="1" x14ac:dyDescent="0.3">
      <c r="A966" s="174">
        <v>45343</v>
      </c>
      <c r="B966" s="155">
        <v>1296.5999999999999</v>
      </c>
      <c r="C966" s="155">
        <f t="shared" si="30"/>
        <v>-1.8136382567869484E-2</v>
      </c>
      <c r="E966" s="174">
        <v>45343</v>
      </c>
      <c r="F966" s="175">
        <v>22055.05078125</v>
      </c>
      <c r="G966" s="155">
        <f t="shared" si="31"/>
        <v>-6.3927000103301077E-3</v>
      </c>
    </row>
    <row r="967" spans="1:7" ht="12.75" customHeight="1" x14ac:dyDescent="0.3">
      <c r="A967" s="174">
        <v>45344</v>
      </c>
      <c r="B967" s="155">
        <v>1328.1</v>
      </c>
      <c r="C967" s="155">
        <f t="shared" si="30"/>
        <v>2.4294308190652477E-2</v>
      </c>
      <c r="E967" s="174">
        <v>45344</v>
      </c>
      <c r="F967" s="175">
        <v>22217.44921875</v>
      </c>
      <c r="G967" s="155">
        <f t="shared" si="31"/>
        <v>7.3633218581415499E-3</v>
      </c>
    </row>
    <row r="968" spans="1:7" ht="12.75" customHeight="1" x14ac:dyDescent="0.3">
      <c r="A968" s="174">
        <v>45345</v>
      </c>
      <c r="B968" s="155">
        <v>1322.25</v>
      </c>
      <c r="C968" s="155">
        <f t="shared" si="30"/>
        <v>-4.4047887960243278E-3</v>
      </c>
      <c r="E968" s="174">
        <v>45345</v>
      </c>
      <c r="F968" s="175">
        <v>22212.69921875</v>
      </c>
      <c r="G968" s="155">
        <f t="shared" si="31"/>
        <v>-2.1379592019012364E-4</v>
      </c>
    </row>
    <row r="969" spans="1:7" ht="12.75" customHeight="1" x14ac:dyDescent="0.3">
      <c r="A969" s="174">
        <v>45348</v>
      </c>
      <c r="B969" s="155">
        <v>1298.25</v>
      </c>
      <c r="C969" s="155">
        <f t="shared" si="30"/>
        <v>-1.8150879183210438E-2</v>
      </c>
      <c r="E969" s="174">
        <v>45348</v>
      </c>
      <c r="F969" s="175">
        <v>22122.05078125</v>
      </c>
      <c r="G969" s="155">
        <f t="shared" si="31"/>
        <v>-4.0809285088361791E-3</v>
      </c>
    </row>
    <row r="970" spans="1:7" ht="12.75" customHeight="1" x14ac:dyDescent="0.3">
      <c r="A970" s="174">
        <v>45349</v>
      </c>
      <c r="B970" s="155">
        <v>1296.05</v>
      </c>
      <c r="C970" s="155">
        <f t="shared" si="30"/>
        <v>-1.6945888696322322E-3</v>
      </c>
      <c r="E970" s="174">
        <v>45349</v>
      </c>
      <c r="F970" s="175">
        <v>22198.349609375</v>
      </c>
      <c r="G970" s="155">
        <f t="shared" si="31"/>
        <v>3.4489943486464033E-3</v>
      </c>
    </row>
    <row r="971" spans="1:7" ht="12.75" customHeight="1" x14ac:dyDescent="0.3">
      <c r="A971" s="174">
        <v>45350</v>
      </c>
      <c r="B971" s="155">
        <v>1285.8499999999999</v>
      </c>
      <c r="C971" s="155">
        <f t="shared" si="30"/>
        <v>-7.8700667412523011E-3</v>
      </c>
      <c r="E971" s="174">
        <v>45350</v>
      </c>
      <c r="F971" s="175">
        <v>21951.150390625</v>
      </c>
      <c r="G971" s="155">
        <f t="shared" si="31"/>
        <v>-1.1135927809948569E-2</v>
      </c>
    </row>
    <row r="972" spans="1:7" ht="12.75" customHeight="1" x14ac:dyDescent="0.3">
      <c r="A972" s="174">
        <v>45351</v>
      </c>
      <c r="B972" s="155">
        <v>1273.8499999999999</v>
      </c>
      <c r="C972" s="155">
        <f t="shared" si="30"/>
        <v>-9.3323482521289434E-3</v>
      </c>
      <c r="E972" s="174">
        <v>45351</v>
      </c>
      <c r="F972" s="175">
        <v>21982.80078125</v>
      </c>
      <c r="G972" s="155">
        <f t="shared" si="31"/>
        <v>1.4418556686904846E-3</v>
      </c>
    </row>
    <row r="973" spans="1:7" ht="12.75" customHeight="1" x14ac:dyDescent="0.3">
      <c r="A973" s="174">
        <v>45352</v>
      </c>
      <c r="B973" s="155">
        <v>1271.8</v>
      </c>
      <c r="C973" s="155">
        <f t="shared" si="30"/>
        <v>-1.6092946579267218E-3</v>
      </c>
      <c r="E973" s="174">
        <v>45352</v>
      </c>
      <c r="F973" s="175">
        <v>22338.75</v>
      </c>
      <c r="G973" s="155">
        <f t="shared" si="31"/>
        <v>1.6192168700068607E-2</v>
      </c>
    </row>
    <row r="974" spans="1:7" ht="12.75" customHeight="1" x14ac:dyDescent="0.3">
      <c r="A974" s="174">
        <v>45355</v>
      </c>
      <c r="B974" s="155">
        <v>1280.05</v>
      </c>
      <c r="C974" s="155">
        <f t="shared" si="30"/>
        <v>6.4868690045604659E-3</v>
      </c>
      <c r="E974" s="174">
        <v>45355</v>
      </c>
      <c r="F974" s="175">
        <v>22405.599609375</v>
      </c>
      <c r="G974" s="155">
        <f t="shared" si="31"/>
        <v>2.9925402887359411E-3</v>
      </c>
    </row>
    <row r="975" spans="1:7" ht="12.75" customHeight="1" x14ac:dyDescent="0.3">
      <c r="A975" s="174">
        <v>45356</v>
      </c>
      <c r="B975" s="155">
        <v>1272.5</v>
      </c>
      <c r="C975" s="155">
        <f t="shared" si="30"/>
        <v>-5.8982071012850705E-3</v>
      </c>
      <c r="E975" s="174">
        <v>45356</v>
      </c>
      <c r="F975" s="175">
        <v>22356.30078125</v>
      </c>
      <c r="G975" s="155">
        <f t="shared" si="31"/>
        <v>-2.2002905070379049E-3</v>
      </c>
    </row>
    <row r="976" spans="1:7" ht="12.75" customHeight="1" x14ac:dyDescent="0.3">
      <c r="A976" s="174">
        <v>45357</v>
      </c>
      <c r="B976" s="155">
        <v>1271</v>
      </c>
      <c r="C976" s="155">
        <f t="shared" si="30"/>
        <v>-1.1787819253438114E-3</v>
      </c>
      <c r="E976" s="174">
        <v>45357</v>
      </c>
      <c r="F976" s="175">
        <v>22474.05078125</v>
      </c>
      <c r="G976" s="155">
        <f t="shared" si="31"/>
        <v>5.2669715420341689E-3</v>
      </c>
    </row>
    <row r="977" spans="1:7" ht="12.75" customHeight="1" x14ac:dyDescent="0.3">
      <c r="A977" s="174">
        <v>45358</v>
      </c>
      <c r="B977" s="155">
        <v>1288.1500000000001</v>
      </c>
      <c r="C977" s="155">
        <f t="shared" si="30"/>
        <v>1.3493312352478436E-2</v>
      </c>
      <c r="E977" s="174">
        <v>45358</v>
      </c>
      <c r="F977" s="175">
        <v>22493.55078125</v>
      </c>
      <c r="G977" s="155">
        <f t="shared" si="31"/>
        <v>8.6766734621195941E-4</v>
      </c>
    </row>
    <row r="978" spans="1:7" ht="12.75" customHeight="1" x14ac:dyDescent="0.3">
      <c r="A978" s="174">
        <v>45362</v>
      </c>
      <c r="B978" s="155">
        <v>1289</v>
      </c>
      <c r="C978" s="155">
        <f t="shared" si="30"/>
        <v>6.5986104102775994E-4</v>
      </c>
      <c r="E978" s="174">
        <v>45362</v>
      </c>
      <c r="F978" s="175">
        <v>22332.650390625</v>
      </c>
      <c r="G978" s="155">
        <f t="shared" si="31"/>
        <v>-7.1531788017711326E-3</v>
      </c>
    </row>
    <row r="979" spans="1:7" ht="12.75" customHeight="1" x14ac:dyDescent="0.3">
      <c r="A979" s="174">
        <v>45363</v>
      </c>
      <c r="B979" s="155">
        <v>1292.3</v>
      </c>
      <c r="C979" s="155">
        <f t="shared" si="30"/>
        <v>2.560124127230376E-3</v>
      </c>
      <c r="E979" s="174">
        <v>45363</v>
      </c>
      <c r="F979" s="175">
        <v>22335.69921875</v>
      </c>
      <c r="G979" s="155">
        <f t="shared" si="31"/>
        <v>1.3651886684617893E-4</v>
      </c>
    </row>
    <row r="980" spans="1:7" ht="12.75" customHeight="1" x14ac:dyDescent="0.3">
      <c r="A980" s="174">
        <v>45364</v>
      </c>
      <c r="B980" s="155">
        <v>1277.2</v>
      </c>
      <c r="C980" s="155">
        <f t="shared" si="30"/>
        <v>-1.1684593360674697E-2</v>
      </c>
      <c r="E980" s="174">
        <v>45364</v>
      </c>
      <c r="F980" s="175">
        <v>21997.69921875</v>
      </c>
      <c r="G980" s="155">
        <f t="shared" si="31"/>
        <v>-1.5132725270416491E-2</v>
      </c>
    </row>
    <row r="981" spans="1:7" ht="12.75" customHeight="1" x14ac:dyDescent="0.3">
      <c r="A981" s="174">
        <v>45365</v>
      </c>
      <c r="B981" s="155">
        <v>1293.3499999999999</v>
      </c>
      <c r="C981" s="155">
        <f t="shared" si="30"/>
        <v>1.2644848105230084E-2</v>
      </c>
      <c r="E981" s="174">
        <v>45365</v>
      </c>
      <c r="F981" s="175">
        <v>22146.650390625</v>
      </c>
      <c r="G981" s="155">
        <f t="shared" si="31"/>
        <v>6.7712159528047237E-3</v>
      </c>
    </row>
    <row r="982" spans="1:7" ht="12.75" customHeight="1" x14ac:dyDescent="0.3">
      <c r="A982" s="174">
        <v>45366</v>
      </c>
      <c r="B982" s="155">
        <v>1282.2</v>
      </c>
      <c r="C982" s="155">
        <f t="shared" si="30"/>
        <v>-8.6210229249622031E-3</v>
      </c>
      <c r="E982" s="174">
        <v>45366</v>
      </c>
      <c r="F982" s="175">
        <v>22023.349609375</v>
      </c>
      <c r="G982" s="155">
        <f t="shared" si="31"/>
        <v>-5.5674686273186943E-3</v>
      </c>
    </row>
    <row r="983" spans="1:7" ht="12.75" customHeight="1" x14ac:dyDescent="0.3">
      <c r="A983" s="174">
        <v>45369</v>
      </c>
      <c r="B983" s="155">
        <v>1272.6500000000001</v>
      </c>
      <c r="C983" s="155">
        <f t="shared" si="30"/>
        <v>-7.4481360162220829E-3</v>
      </c>
      <c r="E983" s="174">
        <v>45369</v>
      </c>
      <c r="F983" s="175">
        <v>22055.69921875</v>
      </c>
      <c r="G983" s="155">
        <f t="shared" si="31"/>
        <v>1.4688778023679591E-3</v>
      </c>
    </row>
    <row r="984" spans="1:7" ht="12.75" customHeight="1" x14ac:dyDescent="0.3">
      <c r="A984" s="174">
        <v>45370</v>
      </c>
      <c r="B984" s="155">
        <v>1252.25</v>
      </c>
      <c r="C984" s="155">
        <f t="shared" si="30"/>
        <v>-1.6029544650925306E-2</v>
      </c>
      <c r="E984" s="174">
        <v>45370</v>
      </c>
      <c r="F984" s="175">
        <v>21817.44921875</v>
      </c>
      <c r="G984" s="155">
        <f t="shared" si="31"/>
        <v>-1.080219664028873E-2</v>
      </c>
    </row>
    <row r="985" spans="1:7" ht="12.75" customHeight="1" x14ac:dyDescent="0.3">
      <c r="A985" s="174">
        <v>45371</v>
      </c>
      <c r="B985" s="155">
        <v>1264.3</v>
      </c>
      <c r="C985" s="155">
        <f t="shared" si="30"/>
        <v>9.6226791774804993E-3</v>
      </c>
      <c r="E985" s="174">
        <v>45371</v>
      </c>
      <c r="F985" s="175">
        <v>21839.099609375</v>
      </c>
      <c r="G985" s="155">
        <f t="shared" si="31"/>
        <v>9.9234289068006964E-4</v>
      </c>
    </row>
    <row r="986" spans="1:7" ht="12.75" customHeight="1" x14ac:dyDescent="0.3">
      <c r="A986" s="174">
        <v>45372</v>
      </c>
      <c r="B986" s="155">
        <v>1282.75</v>
      </c>
      <c r="C986" s="155">
        <f t="shared" si="30"/>
        <v>1.4593055445701214E-2</v>
      </c>
      <c r="E986" s="174">
        <v>45372</v>
      </c>
      <c r="F986" s="175">
        <v>22011.94921875</v>
      </c>
      <c r="G986" s="155">
        <f t="shared" si="31"/>
        <v>7.9146856998078725E-3</v>
      </c>
    </row>
    <row r="987" spans="1:7" ht="12.75" customHeight="1" x14ac:dyDescent="0.3">
      <c r="A987" s="174">
        <v>45373</v>
      </c>
      <c r="B987" s="155">
        <v>1262.6500000000001</v>
      </c>
      <c r="C987" s="155">
        <f t="shared" si="30"/>
        <v>-1.5669460144221329E-2</v>
      </c>
      <c r="E987" s="174">
        <v>45373</v>
      </c>
      <c r="F987" s="175">
        <v>22096.75</v>
      </c>
      <c r="G987" s="155">
        <f t="shared" si="31"/>
        <v>3.8524885010077091E-3</v>
      </c>
    </row>
    <row r="988" spans="1:7" ht="12.75" customHeight="1" x14ac:dyDescent="0.3">
      <c r="A988" s="174">
        <v>45377</v>
      </c>
      <c r="B988" s="155">
        <v>1254.3499999999999</v>
      </c>
      <c r="C988" s="155">
        <f t="shared" si="30"/>
        <v>-6.5734764186434732E-3</v>
      </c>
      <c r="E988" s="174">
        <v>45377</v>
      </c>
      <c r="F988" s="175">
        <v>22004.69921875</v>
      </c>
      <c r="G988" s="155">
        <f t="shared" si="31"/>
        <v>-4.1658063402989125E-3</v>
      </c>
    </row>
    <row r="989" spans="1:7" ht="12.75" customHeight="1" x14ac:dyDescent="0.3">
      <c r="A989" s="174">
        <v>45378</v>
      </c>
      <c r="B989" s="155">
        <v>1253.8</v>
      </c>
      <c r="C989" s="155">
        <f t="shared" si="30"/>
        <v>-4.3847411009682668E-4</v>
      </c>
      <c r="E989" s="174">
        <v>45378</v>
      </c>
      <c r="F989" s="175">
        <v>22123.650390625</v>
      </c>
      <c r="G989" s="155">
        <f t="shared" si="31"/>
        <v>5.40571678315161E-3</v>
      </c>
    </row>
    <row r="990" spans="1:7" ht="12.75" customHeight="1" x14ac:dyDescent="0.3">
      <c r="A990" s="174">
        <v>45379</v>
      </c>
      <c r="B990" s="155">
        <v>1248.0999999999999</v>
      </c>
      <c r="C990" s="155">
        <f t="shared" si="30"/>
        <v>-4.5461796139735569E-3</v>
      </c>
      <c r="E990" s="174">
        <v>45379</v>
      </c>
      <c r="F990" s="175">
        <v>22326.900390625</v>
      </c>
      <c r="G990" s="155">
        <f t="shared" si="31"/>
        <v>9.1870010785438973E-3</v>
      </c>
    </row>
    <row r="991" spans="1:7" ht="12.75" customHeight="1" x14ac:dyDescent="0.3">
      <c r="A991" s="174">
        <v>45383</v>
      </c>
      <c r="B991" s="155">
        <v>1244.55</v>
      </c>
      <c r="C991" s="155">
        <f t="shared" si="30"/>
        <v>-2.8443233715246814E-3</v>
      </c>
      <c r="E991" s="174">
        <v>45383</v>
      </c>
      <c r="F991" s="175">
        <v>22462</v>
      </c>
      <c r="G991" s="155">
        <f t="shared" si="31"/>
        <v>6.0509791780917303E-3</v>
      </c>
    </row>
    <row r="992" spans="1:7" ht="12.75" customHeight="1" x14ac:dyDescent="0.3">
      <c r="A992" s="174">
        <v>45384</v>
      </c>
      <c r="B992" s="155">
        <v>1236.8</v>
      </c>
      <c r="C992" s="155">
        <f t="shared" si="30"/>
        <v>-6.2271503756377812E-3</v>
      </c>
      <c r="E992" s="174">
        <v>45384</v>
      </c>
      <c r="F992" s="175">
        <v>22453.30078125</v>
      </c>
      <c r="G992" s="155">
        <f t="shared" si="31"/>
        <v>-3.872860275131333E-4</v>
      </c>
    </row>
    <row r="993" spans="1:7" ht="12.75" customHeight="1" x14ac:dyDescent="0.3">
      <c r="A993" s="174">
        <v>45385</v>
      </c>
      <c r="B993" s="155">
        <v>1255.1500000000001</v>
      </c>
      <c r="C993" s="155">
        <f t="shared" si="30"/>
        <v>1.483667529107385E-2</v>
      </c>
      <c r="E993" s="174">
        <v>45385</v>
      </c>
      <c r="F993" s="175">
        <v>22434.650390625</v>
      </c>
      <c r="G993" s="155">
        <f t="shared" si="31"/>
        <v>-8.3063024036868183E-4</v>
      </c>
    </row>
    <row r="994" spans="1:7" ht="12.75" customHeight="1" x14ac:dyDescent="0.3">
      <c r="A994" s="174">
        <v>45386</v>
      </c>
      <c r="B994" s="155">
        <v>1279.25</v>
      </c>
      <c r="C994" s="155">
        <f t="shared" si="30"/>
        <v>1.9200892323626585E-2</v>
      </c>
      <c r="E994" s="174">
        <v>45386</v>
      </c>
      <c r="F994" s="175">
        <v>22514.650390625</v>
      </c>
      <c r="G994" s="155">
        <f t="shared" si="31"/>
        <v>3.5659124883635554E-3</v>
      </c>
    </row>
    <row r="995" spans="1:7" ht="12.75" customHeight="1" x14ac:dyDescent="0.3">
      <c r="A995" s="174">
        <v>45387</v>
      </c>
      <c r="B995" s="155">
        <v>1263.4000000000001</v>
      </c>
      <c r="C995" s="155">
        <f t="shared" si="30"/>
        <v>-1.2390072307992894E-2</v>
      </c>
      <c r="E995" s="174">
        <v>45387</v>
      </c>
      <c r="F995" s="175">
        <v>22513.69921875</v>
      </c>
      <c r="G995" s="155">
        <f t="shared" si="31"/>
        <v>-4.2246797462867275E-5</v>
      </c>
    </row>
    <row r="996" spans="1:7" ht="12.75" customHeight="1" x14ac:dyDescent="0.3">
      <c r="A996" s="174">
        <v>45390</v>
      </c>
      <c r="B996" s="155">
        <v>1265.1500000000001</v>
      </c>
      <c r="C996" s="155">
        <f t="shared" si="30"/>
        <v>1.3851511793572897E-3</v>
      </c>
      <c r="E996" s="174">
        <v>45390</v>
      </c>
      <c r="F996" s="175">
        <v>22666.30078125</v>
      </c>
      <c r="G996" s="155">
        <f t="shared" si="31"/>
        <v>6.7781647528145621E-3</v>
      </c>
    </row>
    <row r="997" spans="1:7" ht="12.75" customHeight="1" x14ac:dyDescent="0.3">
      <c r="A997" s="174">
        <v>45391</v>
      </c>
      <c r="B997" s="155">
        <v>1251.4000000000001</v>
      </c>
      <c r="C997" s="155">
        <f t="shared" si="30"/>
        <v>-1.0868276488953879E-2</v>
      </c>
      <c r="E997" s="174">
        <v>45391</v>
      </c>
      <c r="F997" s="175">
        <v>22642.75</v>
      </c>
      <c r="G997" s="155">
        <f t="shared" si="31"/>
        <v>-1.0390218270412109E-3</v>
      </c>
    </row>
    <row r="998" spans="1:7" ht="12.75" customHeight="1" x14ac:dyDescent="0.3">
      <c r="A998" s="174">
        <v>45392</v>
      </c>
      <c r="B998" s="155">
        <v>1266.3</v>
      </c>
      <c r="C998" s="155">
        <f t="shared" si="30"/>
        <v>1.1906664535719884E-2</v>
      </c>
      <c r="E998" s="174">
        <v>45392</v>
      </c>
      <c r="F998" s="175">
        <v>22753.80078125</v>
      </c>
      <c r="G998" s="155">
        <f t="shared" si="31"/>
        <v>4.9044741142308243E-3</v>
      </c>
    </row>
    <row r="999" spans="1:7" ht="12.75" customHeight="1" x14ac:dyDescent="0.3">
      <c r="A999" s="174">
        <v>45394</v>
      </c>
      <c r="B999" s="155">
        <v>1242.0999999999999</v>
      </c>
      <c r="C999" s="155">
        <f t="shared" si="30"/>
        <v>-1.9110795230198253E-2</v>
      </c>
      <c r="E999" s="174">
        <v>45394</v>
      </c>
      <c r="F999" s="175">
        <v>22519.400390625</v>
      </c>
      <c r="G999" s="155">
        <f t="shared" si="31"/>
        <v>-1.0301592814249954E-2</v>
      </c>
    </row>
    <row r="1000" spans="1:7" ht="12.75" customHeight="1" x14ac:dyDescent="0.3">
      <c r="A1000" s="174">
        <v>45397</v>
      </c>
      <c r="B1000" s="155">
        <v>1218.75</v>
      </c>
      <c r="C1000" s="155">
        <f t="shared" si="30"/>
        <v>-1.8798808469527341E-2</v>
      </c>
      <c r="E1000" s="174">
        <v>45397</v>
      </c>
      <c r="F1000" s="175">
        <v>22272.5</v>
      </c>
      <c r="G1000" s="155">
        <f t="shared" si="31"/>
        <v>-1.0963897188301094E-2</v>
      </c>
    </row>
    <row r="1001" spans="1:7" ht="12.75" customHeight="1" x14ac:dyDescent="0.3">
      <c r="A1001" s="174">
        <v>45398</v>
      </c>
      <c r="B1001" s="155">
        <v>1195.8</v>
      </c>
      <c r="C1001" s="155">
        <f t="shared" si="30"/>
        <v>-1.8830769230769269E-2</v>
      </c>
      <c r="E1001" s="174">
        <v>45398</v>
      </c>
      <c r="F1001" s="175">
        <v>22147.900390625</v>
      </c>
      <c r="G1001" s="155">
        <f t="shared" si="31"/>
        <v>-5.5943252609720511E-3</v>
      </c>
    </row>
    <row r="1002" spans="1:7" ht="12.75" customHeight="1" x14ac:dyDescent="0.3">
      <c r="A1002" s="174">
        <v>45400</v>
      </c>
      <c r="B1002" s="155">
        <v>1179.6500000000001</v>
      </c>
      <c r="C1002" s="155">
        <f t="shared" si="30"/>
        <v>-1.3505602943635946E-2</v>
      </c>
      <c r="E1002" s="174">
        <v>45400</v>
      </c>
      <c r="F1002" s="175">
        <v>21995.849609375</v>
      </c>
      <c r="G1002" s="155">
        <f t="shared" si="31"/>
        <v>-6.8652458503182393E-3</v>
      </c>
    </row>
    <row r="1003" spans="1:7" ht="12.75" customHeight="1" x14ac:dyDescent="0.3">
      <c r="A1003" s="174">
        <v>45401</v>
      </c>
      <c r="B1003" s="155">
        <v>1193.6500000000001</v>
      </c>
      <c r="C1003" s="155">
        <f t="shared" si="30"/>
        <v>1.1867926927478489E-2</v>
      </c>
      <c r="E1003" s="174">
        <v>45401</v>
      </c>
      <c r="F1003" s="175">
        <v>22147</v>
      </c>
      <c r="G1003" s="155">
        <f t="shared" si="31"/>
        <v>6.8717686886064708E-3</v>
      </c>
    </row>
    <row r="1004" spans="1:7" ht="12.75" customHeight="1" x14ac:dyDescent="0.3">
      <c r="A1004" s="174">
        <v>45404</v>
      </c>
      <c r="B1004" s="155">
        <v>1208.05</v>
      </c>
      <c r="C1004" s="155">
        <f t="shared" si="30"/>
        <v>1.2063837808402682E-2</v>
      </c>
      <c r="E1004" s="174">
        <v>45404</v>
      </c>
      <c r="F1004" s="175">
        <v>22336.400390625</v>
      </c>
      <c r="G1004" s="155">
        <f t="shared" si="31"/>
        <v>8.5519659829773782E-3</v>
      </c>
    </row>
    <row r="1005" spans="1:7" ht="12.75" customHeight="1" x14ac:dyDescent="0.3">
      <c r="A1005" s="174">
        <v>45405</v>
      </c>
      <c r="B1005" s="155">
        <v>1200.25</v>
      </c>
      <c r="C1005" s="155">
        <f t="shared" si="30"/>
        <v>-6.456686395430615E-3</v>
      </c>
      <c r="E1005" s="174">
        <v>45405</v>
      </c>
      <c r="F1005" s="175">
        <v>22368</v>
      </c>
      <c r="G1005" s="155">
        <f t="shared" si="31"/>
        <v>1.4147135985377009E-3</v>
      </c>
    </row>
    <row r="1006" spans="1:7" ht="12.75" customHeight="1" x14ac:dyDescent="0.3">
      <c r="A1006" s="174">
        <v>45406</v>
      </c>
      <c r="B1006" s="155">
        <v>1185.7</v>
      </c>
      <c r="C1006" s="155">
        <f t="shared" si="30"/>
        <v>-1.2122474484482362E-2</v>
      </c>
      <c r="E1006" s="174">
        <v>45406</v>
      </c>
      <c r="F1006" s="175">
        <v>22402.400390625</v>
      </c>
      <c r="G1006" s="155">
        <f t="shared" si="31"/>
        <v>1.5379287654238199E-3</v>
      </c>
    </row>
    <row r="1007" spans="1:7" ht="12.75" customHeight="1" x14ac:dyDescent="0.3">
      <c r="A1007" s="174">
        <v>45407</v>
      </c>
      <c r="B1007" s="155">
        <v>1190.3</v>
      </c>
      <c r="C1007" s="155">
        <f t="shared" si="30"/>
        <v>3.8795648140338272E-3</v>
      </c>
      <c r="E1007" s="174">
        <v>45407</v>
      </c>
      <c r="F1007" s="175">
        <v>22570.349609375</v>
      </c>
      <c r="G1007" s="155">
        <f t="shared" si="31"/>
        <v>7.4969296067167743E-3</v>
      </c>
    </row>
    <row r="1008" spans="1:7" ht="12.75" customHeight="1" x14ac:dyDescent="0.3">
      <c r="A1008" s="174">
        <v>45408</v>
      </c>
      <c r="B1008" s="155">
        <v>1278.75</v>
      </c>
      <c r="C1008" s="155">
        <f t="shared" si="30"/>
        <v>7.4308997731664328E-2</v>
      </c>
      <c r="E1008" s="174">
        <v>45408</v>
      </c>
      <c r="F1008" s="175">
        <v>22419.94921875</v>
      </c>
      <c r="G1008" s="155">
        <f t="shared" si="31"/>
        <v>-6.6636269808832953E-3</v>
      </c>
    </row>
    <row r="1009" spans="1:7" ht="12.75" customHeight="1" x14ac:dyDescent="0.3">
      <c r="A1009" s="174">
        <v>45411</v>
      </c>
      <c r="B1009" s="155">
        <v>1288.3</v>
      </c>
      <c r="C1009" s="155">
        <f t="shared" si="30"/>
        <v>7.4682306940371101E-3</v>
      </c>
      <c r="E1009" s="174">
        <v>45411</v>
      </c>
      <c r="F1009" s="175">
        <v>22643.400390625</v>
      </c>
      <c r="G1009" s="155">
        <f t="shared" si="31"/>
        <v>9.9666225688025117E-3</v>
      </c>
    </row>
    <row r="1010" spans="1:7" ht="12.75" customHeight="1" x14ac:dyDescent="0.3">
      <c r="A1010" s="174">
        <v>45412</v>
      </c>
      <c r="B1010" s="155">
        <v>1263.5</v>
      </c>
      <c r="C1010" s="155">
        <f t="shared" si="30"/>
        <v>-1.92501746487619E-2</v>
      </c>
      <c r="E1010" s="174">
        <v>45412</v>
      </c>
      <c r="F1010" s="175">
        <v>22604.849609375</v>
      </c>
      <c r="G1010" s="155">
        <f t="shared" si="31"/>
        <v>-1.7025173156396201E-3</v>
      </c>
    </row>
    <row r="1011" spans="1:7" ht="12.75" customHeight="1" x14ac:dyDescent="0.3">
      <c r="A1011" s="174">
        <v>45414</v>
      </c>
      <c r="B1011" s="155">
        <v>1266.9000000000001</v>
      </c>
      <c r="C1011" s="155">
        <f t="shared" si="30"/>
        <v>2.6909378709933447E-3</v>
      </c>
      <c r="E1011" s="174">
        <v>45414</v>
      </c>
      <c r="F1011" s="175">
        <v>22648.19921875</v>
      </c>
      <c r="G1011" s="155">
        <f t="shared" si="31"/>
        <v>1.9177127972141625E-3</v>
      </c>
    </row>
    <row r="1012" spans="1:7" ht="12.75" customHeight="1" x14ac:dyDescent="0.3">
      <c r="A1012" s="174">
        <v>45415</v>
      </c>
      <c r="B1012" s="155">
        <v>1250.45</v>
      </c>
      <c r="C1012" s="155">
        <f t="shared" si="30"/>
        <v>-1.2984450232851878E-2</v>
      </c>
      <c r="E1012" s="174">
        <v>45415</v>
      </c>
      <c r="F1012" s="175">
        <v>22475.849609375</v>
      </c>
      <c r="G1012" s="155">
        <f t="shared" si="31"/>
        <v>-7.6098592965534824E-3</v>
      </c>
    </row>
    <row r="1013" spans="1:7" ht="12.75" customHeight="1" x14ac:dyDescent="0.3">
      <c r="A1013" s="174">
        <v>45418</v>
      </c>
      <c r="B1013" s="155">
        <v>1262.25</v>
      </c>
      <c r="C1013" s="155">
        <f t="shared" si="30"/>
        <v>9.4366028229836887E-3</v>
      </c>
      <c r="E1013" s="174">
        <v>45418</v>
      </c>
      <c r="F1013" s="175">
        <v>22442.69921875</v>
      </c>
      <c r="G1013" s="155">
        <f t="shared" si="31"/>
        <v>-1.4749338156797639E-3</v>
      </c>
    </row>
    <row r="1014" spans="1:7" ht="12.75" customHeight="1" x14ac:dyDescent="0.3">
      <c r="A1014" s="174">
        <v>45419</v>
      </c>
      <c r="B1014" s="155">
        <v>1292.45</v>
      </c>
      <c r="C1014" s="155">
        <f t="shared" si="30"/>
        <v>2.3925529807882786E-2</v>
      </c>
      <c r="E1014" s="174">
        <v>45419</v>
      </c>
      <c r="F1014" s="175">
        <v>22302.5</v>
      </c>
      <c r="G1014" s="155">
        <f t="shared" si="31"/>
        <v>-6.2469855957820357E-3</v>
      </c>
    </row>
    <row r="1015" spans="1:7" ht="12.75" customHeight="1" x14ac:dyDescent="0.3">
      <c r="A1015" s="174">
        <v>45420</v>
      </c>
      <c r="B1015" s="155">
        <v>1287</v>
      </c>
      <c r="C1015" s="155">
        <f t="shared" si="30"/>
        <v>-4.2167975550311777E-3</v>
      </c>
      <c r="E1015" s="174">
        <v>45420</v>
      </c>
      <c r="F1015" s="175">
        <v>22302.5</v>
      </c>
      <c r="G1015" s="155">
        <f t="shared" si="31"/>
        <v>0</v>
      </c>
    </row>
    <row r="1016" spans="1:7" ht="12.75" customHeight="1" x14ac:dyDescent="0.3">
      <c r="A1016" s="174">
        <v>45421</v>
      </c>
      <c r="B1016" s="155">
        <v>1269.0999999999999</v>
      </c>
      <c r="C1016" s="155">
        <f t="shared" si="30"/>
        <v>-1.3908313908313978E-2</v>
      </c>
      <c r="E1016" s="174">
        <v>45421</v>
      </c>
      <c r="F1016" s="175">
        <v>21957.5</v>
      </c>
      <c r="G1016" s="155">
        <f t="shared" si="31"/>
        <v>-1.5469117811904494E-2</v>
      </c>
    </row>
    <row r="1017" spans="1:7" ht="12.75" customHeight="1" x14ac:dyDescent="0.3">
      <c r="A1017" s="174">
        <v>45422</v>
      </c>
      <c r="B1017" s="155">
        <v>1264.4000000000001</v>
      </c>
      <c r="C1017" s="155">
        <f t="shared" si="30"/>
        <v>-3.7034118666770298E-3</v>
      </c>
      <c r="E1017" s="174">
        <v>45422</v>
      </c>
      <c r="F1017" s="175">
        <v>22055.19921875</v>
      </c>
      <c r="G1017" s="155">
        <f t="shared" si="31"/>
        <v>4.4494691449390869E-3</v>
      </c>
    </row>
    <row r="1018" spans="1:7" ht="12.75" customHeight="1" x14ac:dyDescent="0.3">
      <c r="A1018" s="174">
        <v>45425</v>
      </c>
      <c r="B1018" s="155">
        <v>1262.05</v>
      </c>
      <c r="C1018" s="155">
        <f t="shared" si="30"/>
        <v>-1.8585890540969126E-3</v>
      </c>
      <c r="E1018" s="174">
        <v>45425</v>
      </c>
      <c r="F1018" s="175">
        <v>22104.05078125</v>
      </c>
      <c r="G1018" s="155">
        <f t="shared" si="31"/>
        <v>2.214968090538459E-3</v>
      </c>
    </row>
    <row r="1019" spans="1:7" ht="12.75" customHeight="1" x14ac:dyDescent="0.3">
      <c r="A1019" s="174">
        <v>45426</v>
      </c>
      <c r="B1019" s="155">
        <v>1275.5</v>
      </c>
      <c r="C1019" s="155">
        <f t="shared" si="30"/>
        <v>1.0657263975278353E-2</v>
      </c>
      <c r="E1019" s="174">
        <v>45426</v>
      </c>
      <c r="F1019" s="175">
        <v>22217.849609375</v>
      </c>
      <c r="G1019" s="155">
        <f t="shared" si="31"/>
        <v>5.1483245877054842E-3</v>
      </c>
    </row>
    <row r="1020" spans="1:7" ht="12.75" customHeight="1" x14ac:dyDescent="0.3">
      <c r="A1020" s="174">
        <v>45427</v>
      </c>
      <c r="B1020" s="155">
        <v>1274.5</v>
      </c>
      <c r="C1020" s="155">
        <f t="shared" si="30"/>
        <v>-7.840062720501764E-4</v>
      </c>
      <c r="E1020" s="174">
        <v>45427</v>
      </c>
      <c r="F1020" s="175">
        <v>22200.55078125</v>
      </c>
      <c r="G1020" s="155">
        <f t="shared" si="31"/>
        <v>-7.7860046895360301E-4</v>
      </c>
    </row>
    <row r="1021" spans="1:7" ht="12.75" customHeight="1" x14ac:dyDescent="0.3">
      <c r="A1021" s="174">
        <v>45428</v>
      </c>
      <c r="B1021" s="155">
        <v>1307.95</v>
      </c>
      <c r="C1021" s="155">
        <f t="shared" si="30"/>
        <v>2.6245586504511607E-2</v>
      </c>
      <c r="E1021" s="174">
        <v>45428</v>
      </c>
      <c r="F1021" s="175">
        <v>22403.849609375</v>
      </c>
      <c r="G1021" s="155">
        <f t="shared" si="31"/>
        <v>9.1573776762647191E-3</v>
      </c>
    </row>
    <row r="1022" spans="1:7" ht="12.75" customHeight="1" x14ac:dyDescent="0.3">
      <c r="A1022" s="174">
        <v>45429</v>
      </c>
      <c r="B1022" s="155">
        <v>1305.4000000000001</v>
      </c>
      <c r="C1022" s="155">
        <f t="shared" si="30"/>
        <v>-1.9496158110019147E-3</v>
      </c>
      <c r="E1022" s="174">
        <v>45429</v>
      </c>
      <c r="F1022" s="175">
        <v>22466.099609375</v>
      </c>
      <c r="G1022" s="155">
        <f t="shared" si="31"/>
        <v>2.7785403439751347E-3</v>
      </c>
    </row>
    <row r="1023" spans="1:7" ht="12.75" customHeight="1" x14ac:dyDescent="0.3">
      <c r="A1023" s="174">
        <v>45433</v>
      </c>
      <c r="B1023" s="155">
        <v>1323.9</v>
      </c>
      <c r="C1023" s="155">
        <f t="shared" si="30"/>
        <v>1.4171901332924773E-2</v>
      </c>
      <c r="E1023" s="174">
        <v>45433</v>
      </c>
      <c r="F1023" s="175">
        <v>22529.05078125</v>
      </c>
      <c r="G1023" s="155">
        <f t="shared" si="31"/>
        <v>2.8020516676036979E-3</v>
      </c>
    </row>
    <row r="1024" spans="1:7" ht="12.75" customHeight="1" x14ac:dyDescent="0.3">
      <c r="A1024" s="174">
        <v>45434</v>
      </c>
      <c r="B1024" s="155">
        <v>1330.4</v>
      </c>
      <c r="C1024" s="155">
        <f t="shared" si="30"/>
        <v>4.9097363849233324E-3</v>
      </c>
      <c r="E1024" s="174">
        <v>45434</v>
      </c>
      <c r="F1024" s="175">
        <v>22597.80078125</v>
      </c>
      <c r="G1024" s="155">
        <f t="shared" si="31"/>
        <v>3.051615474950138E-3</v>
      </c>
    </row>
    <row r="1025" spans="1:7" ht="12.75" customHeight="1" x14ac:dyDescent="0.3">
      <c r="A1025" s="174">
        <v>45435</v>
      </c>
      <c r="B1025" s="155">
        <v>1337.5</v>
      </c>
      <c r="C1025" s="155">
        <f t="shared" si="30"/>
        <v>5.3367408298255472E-3</v>
      </c>
      <c r="E1025" s="174">
        <v>45435</v>
      </c>
      <c r="F1025" s="175">
        <v>22967.650390625</v>
      </c>
      <c r="G1025" s="155">
        <f t="shared" si="31"/>
        <v>1.6366619608483058E-2</v>
      </c>
    </row>
    <row r="1026" spans="1:7" ht="12.75" customHeight="1" x14ac:dyDescent="0.3">
      <c r="A1026" s="174">
        <v>45436</v>
      </c>
      <c r="B1026" s="155">
        <v>1321.75</v>
      </c>
      <c r="C1026" s="155">
        <f t="shared" si="30"/>
        <v>-1.177570093457944E-2</v>
      </c>
      <c r="E1026" s="174">
        <v>45436</v>
      </c>
      <c r="F1026" s="175">
        <v>22957.099609375</v>
      </c>
      <c r="G1026" s="155">
        <f t="shared" si="31"/>
        <v>-4.5937573371922485E-4</v>
      </c>
    </row>
    <row r="1027" spans="1:7" ht="12.75" customHeight="1" x14ac:dyDescent="0.3">
      <c r="A1027" s="174">
        <v>45439</v>
      </c>
      <c r="B1027" s="155">
        <v>1329.7</v>
      </c>
      <c r="C1027" s="155">
        <f t="shared" si="30"/>
        <v>6.0147531681483228E-3</v>
      </c>
      <c r="E1027" s="174">
        <v>45439</v>
      </c>
      <c r="F1027" s="175">
        <v>22932.44921875</v>
      </c>
      <c r="G1027" s="155">
        <f t="shared" si="31"/>
        <v>-1.0737589261900274E-3</v>
      </c>
    </row>
    <row r="1028" spans="1:7" ht="12.75" customHeight="1" x14ac:dyDescent="0.3">
      <c r="A1028" s="174">
        <v>45440</v>
      </c>
      <c r="B1028" s="155">
        <v>1315.1</v>
      </c>
      <c r="C1028" s="155">
        <f t="shared" ref="C1028:C1091" si="32">(B1028-B1027)/B1027</f>
        <v>-1.0979920282770651E-2</v>
      </c>
      <c r="E1028" s="174">
        <v>45440</v>
      </c>
      <c r="F1028" s="175">
        <v>22888.150390625</v>
      </c>
      <c r="G1028" s="155">
        <f t="shared" ref="G1028:G1091" si="33">(F1028-F1027)/F1027</f>
        <v>-1.9317094176221025E-3</v>
      </c>
    </row>
    <row r="1029" spans="1:7" ht="12.75" customHeight="1" x14ac:dyDescent="0.3">
      <c r="A1029" s="174">
        <v>45441</v>
      </c>
      <c r="B1029" s="155">
        <v>1286.45</v>
      </c>
      <c r="C1029" s="155">
        <f t="shared" si="32"/>
        <v>-2.1785415557752159E-2</v>
      </c>
      <c r="E1029" s="174">
        <v>45441</v>
      </c>
      <c r="F1029" s="175">
        <v>22704.69921875</v>
      </c>
      <c r="G1029" s="155">
        <f t="shared" si="33"/>
        <v>-8.0151156272610692E-3</v>
      </c>
    </row>
    <row r="1030" spans="1:7" ht="12.75" customHeight="1" x14ac:dyDescent="0.3">
      <c r="A1030" s="174">
        <v>45442</v>
      </c>
      <c r="B1030" s="155">
        <v>1240.8499999999999</v>
      </c>
      <c r="C1030" s="155">
        <f t="shared" si="32"/>
        <v>-3.5446383458354491E-2</v>
      </c>
      <c r="E1030" s="174">
        <v>45442</v>
      </c>
      <c r="F1030" s="175">
        <v>22488.650390625</v>
      </c>
      <c r="G1030" s="155">
        <f t="shared" si="33"/>
        <v>-9.5155996581792416E-3</v>
      </c>
    </row>
    <row r="1031" spans="1:7" ht="12.75" customHeight="1" x14ac:dyDescent="0.3">
      <c r="A1031" s="174">
        <v>45443</v>
      </c>
      <c r="B1031" s="155">
        <v>1228.45</v>
      </c>
      <c r="C1031" s="155">
        <f t="shared" si="32"/>
        <v>-9.9931498569527863E-3</v>
      </c>
      <c r="E1031" s="174">
        <v>45443</v>
      </c>
      <c r="F1031" s="175">
        <v>22530.69921875</v>
      </c>
      <c r="G1031" s="155">
        <f t="shared" si="33"/>
        <v>1.869779973213919E-3</v>
      </c>
    </row>
    <row r="1032" spans="1:7" ht="12.75" customHeight="1" x14ac:dyDescent="0.3">
      <c r="A1032" s="174">
        <v>45446</v>
      </c>
      <c r="B1032" s="155">
        <v>1245.3499999999999</v>
      </c>
      <c r="C1032" s="155">
        <f t="shared" si="32"/>
        <v>1.3757173674142101E-2</v>
      </c>
      <c r="E1032" s="174">
        <v>45446</v>
      </c>
      <c r="F1032" s="175">
        <v>23263.900390625</v>
      </c>
      <c r="G1032" s="155">
        <f t="shared" si="33"/>
        <v>3.2542317695352818E-2</v>
      </c>
    </row>
    <row r="1033" spans="1:7" ht="12.75" customHeight="1" x14ac:dyDescent="0.3">
      <c r="A1033" s="174">
        <v>45447</v>
      </c>
      <c r="B1033" s="155">
        <v>1239.3</v>
      </c>
      <c r="C1033" s="155">
        <f t="shared" si="32"/>
        <v>-4.8580720279439151E-3</v>
      </c>
      <c r="E1033" s="174">
        <v>45447</v>
      </c>
      <c r="F1033" s="175">
        <v>21884.5</v>
      </c>
      <c r="G1033" s="155">
        <f t="shared" si="33"/>
        <v>-5.9293599416410735E-2</v>
      </c>
    </row>
    <row r="1034" spans="1:7" ht="12.75" customHeight="1" x14ac:dyDescent="0.3">
      <c r="A1034" s="174">
        <v>45448</v>
      </c>
      <c r="B1034" s="155">
        <v>1266.9000000000001</v>
      </c>
      <c r="C1034" s="155">
        <f t="shared" si="32"/>
        <v>2.2270636649721728E-2</v>
      </c>
      <c r="E1034" s="174">
        <v>45448</v>
      </c>
      <c r="F1034" s="175">
        <v>22620.349609375</v>
      </c>
      <c r="G1034" s="155">
        <f t="shared" si="33"/>
        <v>3.362423676003564E-2</v>
      </c>
    </row>
    <row r="1035" spans="1:7" ht="12.75" customHeight="1" x14ac:dyDescent="0.3">
      <c r="A1035" s="174">
        <v>45449</v>
      </c>
      <c r="B1035" s="155">
        <v>1317.45</v>
      </c>
      <c r="C1035" s="155">
        <f t="shared" si="32"/>
        <v>3.9900544636514289E-2</v>
      </c>
      <c r="E1035" s="174">
        <v>45449</v>
      </c>
      <c r="F1035" s="175">
        <v>22821.400390625</v>
      </c>
      <c r="G1035" s="155">
        <f t="shared" si="33"/>
        <v>8.8880492442377883E-3</v>
      </c>
    </row>
    <row r="1036" spans="1:7" ht="12.75" customHeight="1" x14ac:dyDescent="0.3">
      <c r="A1036" s="174">
        <v>45450</v>
      </c>
      <c r="B1036" s="155">
        <v>1377.6</v>
      </c>
      <c r="C1036" s="155">
        <f t="shared" si="32"/>
        <v>4.5656381646362189E-2</v>
      </c>
      <c r="E1036" s="174">
        <v>45450</v>
      </c>
      <c r="F1036" s="175">
        <v>23290.150390625</v>
      </c>
      <c r="G1036" s="155">
        <f t="shared" si="33"/>
        <v>2.0539931466807E-2</v>
      </c>
    </row>
    <row r="1037" spans="1:7" ht="12.75" customHeight="1" x14ac:dyDescent="0.3">
      <c r="A1037" s="174">
        <v>45453</v>
      </c>
      <c r="B1037" s="155">
        <v>1340.35</v>
      </c>
      <c r="C1037" s="155">
        <f t="shared" si="32"/>
        <v>-2.7039779326364696E-2</v>
      </c>
      <c r="E1037" s="174">
        <v>45453</v>
      </c>
      <c r="F1037" s="175">
        <v>23259.19921875</v>
      </c>
      <c r="G1037" s="155">
        <f t="shared" si="33"/>
        <v>-1.328938257412833E-3</v>
      </c>
    </row>
    <row r="1038" spans="1:7" ht="12.75" customHeight="1" x14ac:dyDescent="0.3">
      <c r="A1038" s="174">
        <v>45454</v>
      </c>
      <c r="B1038" s="155">
        <v>1349.45</v>
      </c>
      <c r="C1038" s="155">
        <f t="shared" si="32"/>
        <v>6.7892714589473917E-3</v>
      </c>
      <c r="E1038" s="174">
        <v>45454</v>
      </c>
      <c r="F1038" s="175">
        <v>23264.849609375</v>
      </c>
      <c r="G1038" s="155">
        <f t="shared" si="33"/>
        <v>2.4293143421915555E-4</v>
      </c>
    </row>
    <row r="1039" spans="1:7" ht="12.75" customHeight="1" x14ac:dyDescent="0.3">
      <c r="A1039" s="174">
        <v>45455</v>
      </c>
      <c r="B1039" s="155">
        <v>1370.6</v>
      </c>
      <c r="C1039" s="155">
        <f t="shared" si="32"/>
        <v>1.5673051984141585E-2</v>
      </c>
      <c r="E1039" s="174">
        <v>45455</v>
      </c>
      <c r="F1039" s="175">
        <v>23322.94921875</v>
      </c>
      <c r="G1039" s="155">
        <f t="shared" si="33"/>
        <v>2.4973129141392641E-3</v>
      </c>
    </row>
    <row r="1040" spans="1:7" ht="12.75" customHeight="1" x14ac:dyDescent="0.3">
      <c r="A1040" s="174">
        <v>45456</v>
      </c>
      <c r="B1040" s="155">
        <v>1388.95</v>
      </c>
      <c r="C1040" s="155">
        <f t="shared" si="32"/>
        <v>1.3388297096162365E-2</v>
      </c>
      <c r="E1040" s="174">
        <v>45456</v>
      </c>
      <c r="F1040" s="175">
        <v>23398.900390625</v>
      </c>
      <c r="G1040" s="155">
        <f t="shared" si="33"/>
        <v>3.2564994745150257E-3</v>
      </c>
    </row>
    <row r="1041" spans="1:7" ht="12.75" customHeight="1" x14ac:dyDescent="0.3">
      <c r="A1041" s="174">
        <v>45457</v>
      </c>
      <c r="B1041" s="155">
        <v>1371.45</v>
      </c>
      <c r="C1041" s="155">
        <f t="shared" si="32"/>
        <v>-1.2599445624392526E-2</v>
      </c>
      <c r="E1041" s="174">
        <v>45457</v>
      </c>
      <c r="F1041" s="175">
        <v>23465.599609375</v>
      </c>
      <c r="G1041" s="155">
        <f t="shared" si="33"/>
        <v>2.8505279152657831E-3</v>
      </c>
    </row>
    <row r="1042" spans="1:7" ht="12.75" customHeight="1" x14ac:dyDescent="0.3">
      <c r="A1042" s="174">
        <v>45461</v>
      </c>
      <c r="B1042" s="155">
        <v>1371.35</v>
      </c>
      <c r="C1042" s="155">
        <f t="shared" si="32"/>
        <v>-7.2915527361651109E-5</v>
      </c>
      <c r="E1042" s="174">
        <v>45461</v>
      </c>
      <c r="F1042" s="175">
        <v>23557.900390625</v>
      </c>
      <c r="G1042" s="155">
        <f t="shared" si="33"/>
        <v>3.9334507869606666E-3</v>
      </c>
    </row>
    <row r="1043" spans="1:7" ht="12.75" customHeight="1" x14ac:dyDescent="0.3">
      <c r="A1043" s="174">
        <v>45462</v>
      </c>
      <c r="B1043" s="155">
        <v>1381.15</v>
      </c>
      <c r="C1043" s="155">
        <f t="shared" si="32"/>
        <v>7.1462427534912188E-3</v>
      </c>
      <c r="E1043" s="174">
        <v>45462</v>
      </c>
      <c r="F1043" s="175">
        <v>23516</v>
      </c>
      <c r="G1043" s="155">
        <f t="shared" si="33"/>
        <v>-1.7786131162042989E-3</v>
      </c>
    </row>
    <row r="1044" spans="1:7" ht="12.75" customHeight="1" x14ac:dyDescent="0.3">
      <c r="A1044" s="174">
        <v>45463</v>
      </c>
      <c r="B1044" s="155">
        <v>1393.1</v>
      </c>
      <c r="C1044" s="155">
        <f t="shared" si="32"/>
        <v>8.6522101147593067E-3</v>
      </c>
      <c r="E1044" s="174">
        <v>45463</v>
      </c>
      <c r="F1044" s="175">
        <v>23567</v>
      </c>
      <c r="G1044" s="155">
        <f t="shared" si="33"/>
        <v>2.1687361796223848E-3</v>
      </c>
    </row>
    <row r="1045" spans="1:7" ht="12.75" customHeight="1" x14ac:dyDescent="0.3">
      <c r="A1045" s="174">
        <v>45464</v>
      </c>
      <c r="B1045" s="155">
        <v>1399.8</v>
      </c>
      <c r="C1045" s="155">
        <f t="shared" si="32"/>
        <v>4.8094178450937093E-3</v>
      </c>
      <c r="E1045" s="174">
        <v>45464</v>
      </c>
      <c r="F1045" s="175">
        <v>23501.099609375</v>
      </c>
      <c r="G1045" s="155">
        <f t="shared" si="33"/>
        <v>-2.7962995130903384E-3</v>
      </c>
    </row>
    <row r="1046" spans="1:7" ht="12.75" customHeight="1" x14ac:dyDescent="0.3">
      <c r="A1046" s="174">
        <v>45467</v>
      </c>
      <c r="B1046" s="155">
        <v>1401.7</v>
      </c>
      <c r="C1046" s="155">
        <f t="shared" si="32"/>
        <v>1.3573367623946927E-3</v>
      </c>
      <c r="E1046" s="174">
        <v>45467</v>
      </c>
      <c r="F1046" s="175">
        <v>23537.849609375</v>
      </c>
      <c r="G1046" s="155">
        <f t="shared" si="33"/>
        <v>1.5637566161091365E-3</v>
      </c>
    </row>
    <row r="1047" spans="1:7" ht="12.75" customHeight="1" x14ac:dyDescent="0.3">
      <c r="A1047" s="174">
        <v>45468</v>
      </c>
      <c r="B1047" s="155">
        <v>1427.75</v>
      </c>
      <c r="C1047" s="155">
        <f t="shared" si="32"/>
        <v>1.8584575872155208E-2</v>
      </c>
      <c r="E1047" s="174">
        <v>45468</v>
      </c>
      <c r="F1047" s="175">
        <v>23721.30078125</v>
      </c>
      <c r="G1047" s="155">
        <f t="shared" si="33"/>
        <v>7.7938798539154731E-3</v>
      </c>
    </row>
    <row r="1048" spans="1:7" ht="12.75" customHeight="1" x14ac:dyDescent="0.3">
      <c r="A1048" s="174">
        <v>45469</v>
      </c>
      <c r="B1048" s="155">
        <v>1413.05</v>
      </c>
      <c r="C1048" s="155">
        <f t="shared" si="32"/>
        <v>-1.0295920154088633E-2</v>
      </c>
      <c r="E1048" s="174">
        <v>45469</v>
      </c>
      <c r="F1048" s="175">
        <v>23868.80078125</v>
      </c>
      <c r="G1048" s="155">
        <f t="shared" si="33"/>
        <v>6.2180401218380173E-3</v>
      </c>
    </row>
    <row r="1049" spans="1:7" ht="12.75" customHeight="1" x14ac:dyDescent="0.3">
      <c r="A1049" s="174">
        <v>45470</v>
      </c>
      <c r="B1049" s="155">
        <v>1432.25</v>
      </c>
      <c r="C1049" s="155">
        <f t="shared" si="32"/>
        <v>1.3587629595555746E-2</v>
      </c>
      <c r="E1049" s="174">
        <v>45470</v>
      </c>
      <c r="F1049" s="175">
        <v>24044.5</v>
      </c>
      <c r="G1049" s="155">
        <f t="shared" si="33"/>
        <v>7.3610408985448281E-3</v>
      </c>
    </row>
    <row r="1050" spans="1:7" ht="12.75" customHeight="1" x14ac:dyDescent="0.3">
      <c r="A1050" s="174">
        <v>45471</v>
      </c>
      <c r="B1050" s="155">
        <v>1430.35</v>
      </c>
      <c r="C1050" s="155">
        <f t="shared" si="32"/>
        <v>-1.3265840460814041E-3</v>
      </c>
      <c r="E1050" s="174">
        <v>45471</v>
      </c>
      <c r="F1050" s="175">
        <v>24010.599609375</v>
      </c>
      <c r="G1050" s="155">
        <f t="shared" si="33"/>
        <v>-1.4099020825968517E-3</v>
      </c>
    </row>
    <row r="1051" spans="1:7" ht="12.75" customHeight="1" x14ac:dyDescent="0.3">
      <c r="A1051" s="174">
        <v>45474</v>
      </c>
      <c r="B1051" s="155">
        <v>1472.1</v>
      </c>
      <c r="C1051" s="155">
        <f t="shared" si="32"/>
        <v>2.9188660118152902E-2</v>
      </c>
      <c r="E1051" s="174">
        <v>45474</v>
      </c>
      <c r="F1051" s="175">
        <v>24141.94921875</v>
      </c>
      <c r="G1051" s="155">
        <f t="shared" si="33"/>
        <v>5.4704843490753228E-3</v>
      </c>
    </row>
    <row r="1052" spans="1:7" ht="12.75" customHeight="1" x14ac:dyDescent="0.3">
      <c r="A1052" s="174">
        <v>45475</v>
      </c>
      <c r="B1052" s="155">
        <v>1472.15</v>
      </c>
      <c r="C1052" s="155">
        <f t="shared" si="32"/>
        <v>3.3965083893880786E-5</v>
      </c>
      <c r="E1052" s="174">
        <v>45475</v>
      </c>
      <c r="F1052" s="175">
        <v>24123.849609375</v>
      </c>
      <c r="G1052" s="155">
        <f t="shared" si="33"/>
        <v>-7.4971615634676354E-4</v>
      </c>
    </row>
    <row r="1053" spans="1:7" ht="12.75" customHeight="1" x14ac:dyDescent="0.3">
      <c r="A1053" s="174">
        <v>45476</v>
      </c>
      <c r="B1053" s="155">
        <v>1479.8</v>
      </c>
      <c r="C1053" s="155">
        <f t="shared" si="32"/>
        <v>5.1964813368202039E-3</v>
      </c>
      <c r="E1053" s="174">
        <v>45476</v>
      </c>
      <c r="F1053" s="175">
        <v>24286.5</v>
      </c>
      <c r="G1053" s="155">
        <f t="shared" si="33"/>
        <v>6.742306607722794E-3</v>
      </c>
    </row>
    <row r="1054" spans="1:7" ht="12.75" customHeight="1" x14ac:dyDescent="0.3">
      <c r="A1054" s="174">
        <v>45477</v>
      </c>
      <c r="B1054" s="155">
        <v>1459.15</v>
      </c>
      <c r="C1054" s="155">
        <f t="shared" si="32"/>
        <v>-1.3954588457899625E-2</v>
      </c>
      <c r="E1054" s="174">
        <v>45477</v>
      </c>
      <c r="F1054" s="175">
        <v>24302.150390625</v>
      </c>
      <c r="G1054" s="155">
        <f t="shared" si="33"/>
        <v>6.4440700080291519E-4</v>
      </c>
    </row>
    <row r="1055" spans="1:7" ht="12.75" customHeight="1" x14ac:dyDescent="0.3">
      <c r="A1055" s="174">
        <v>45478</v>
      </c>
      <c r="B1055" s="155">
        <v>1461.35</v>
      </c>
      <c r="C1055" s="155">
        <f t="shared" si="32"/>
        <v>1.5077271013945227E-3</v>
      </c>
      <c r="E1055" s="174">
        <v>45478</v>
      </c>
      <c r="F1055" s="175">
        <v>24323.849609375</v>
      </c>
      <c r="G1055" s="155">
        <f t="shared" si="33"/>
        <v>8.928929498506795E-4</v>
      </c>
    </row>
    <row r="1056" spans="1:7" ht="12.75" customHeight="1" x14ac:dyDescent="0.3">
      <c r="A1056" s="174">
        <v>45481</v>
      </c>
      <c r="B1056" s="155">
        <v>1467.6</v>
      </c>
      <c r="C1056" s="155">
        <f t="shared" si="32"/>
        <v>4.2768672802545593E-3</v>
      </c>
      <c r="E1056" s="174">
        <v>45481</v>
      </c>
      <c r="F1056" s="175">
        <v>24320.55078125</v>
      </c>
      <c r="G1056" s="155">
        <f t="shared" si="33"/>
        <v>-1.3562113637343622E-4</v>
      </c>
    </row>
    <row r="1057" spans="1:7" ht="12.75" customHeight="1" x14ac:dyDescent="0.3">
      <c r="A1057" s="174">
        <v>45482</v>
      </c>
      <c r="B1057" s="155">
        <v>1465.75</v>
      </c>
      <c r="C1057" s="155">
        <f t="shared" si="32"/>
        <v>-1.2605614608884636E-3</v>
      </c>
      <c r="E1057" s="174">
        <v>45482</v>
      </c>
      <c r="F1057" s="175">
        <v>24433.19921875</v>
      </c>
      <c r="G1057" s="155">
        <f t="shared" si="33"/>
        <v>4.631820986013468E-3</v>
      </c>
    </row>
    <row r="1058" spans="1:7" ht="12.75" customHeight="1" x14ac:dyDescent="0.3">
      <c r="A1058" s="174">
        <v>45483</v>
      </c>
      <c r="B1058" s="155">
        <v>1463.35</v>
      </c>
      <c r="C1058" s="155">
        <f t="shared" si="32"/>
        <v>-1.6373870032407238E-3</v>
      </c>
      <c r="E1058" s="174">
        <v>45483</v>
      </c>
      <c r="F1058" s="175">
        <v>24324.44921875</v>
      </c>
      <c r="G1058" s="155">
        <f t="shared" si="33"/>
        <v>-4.4509111977667423E-3</v>
      </c>
    </row>
    <row r="1059" spans="1:7" ht="12.75" customHeight="1" x14ac:dyDescent="0.3">
      <c r="A1059" s="174">
        <v>45484</v>
      </c>
      <c r="B1059" s="155">
        <v>1460.6</v>
      </c>
      <c r="C1059" s="155">
        <f t="shared" si="32"/>
        <v>-1.8792496668602865E-3</v>
      </c>
      <c r="E1059" s="174">
        <v>45484</v>
      </c>
      <c r="F1059" s="175">
        <v>24315.94921875</v>
      </c>
      <c r="G1059" s="155">
        <f t="shared" si="33"/>
        <v>-3.4944265021417015E-4</v>
      </c>
    </row>
    <row r="1060" spans="1:7" ht="12.75" customHeight="1" x14ac:dyDescent="0.3">
      <c r="A1060" s="174">
        <v>45485</v>
      </c>
      <c r="B1060" s="155">
        <v>1505.05</v>
      </c>
      <c r="C1060" s="155">
        <f t="shared" si="32"/>
        <v>3.0432698890866802E-2</v>
      </c>
      <c r="E1060" s="174">
        <v>45485</v>
      </c>
      <c r="F1060" s="175">
        <v>24502.150390625</v>
      </c>
      <c r="G1060" s="155">
        <f t="shared" si="33"/>
        <v>7.6575736443560468E-3</v>
      </c>
    </row>
    <row r="1061" spans="1:7" ht="12.75" customHeight="1" x14ac:dyDescent="0.3">
      <c r="A1061" s="174">
        <v>45488</v>
      </c>
      <c r="B1061" s="155">
        <v>1499.05</v>
      </c>
      <c r="C1061" s="155">
        <f t="shared" si="32"/>
        <v>-3.98657851898608E-3</v>
      </c>
      <c r="E1061" s="174">
        <v>45488</v>
      </c>
      <c r="F1061" s="175">
        <v>24586.69921875</v>
      </c>
      <c r="G1061" s="155">
        <f t="shared" si="33"/>
        <v>3.4506697076412537E-3</v>
      </c>
    </row>
    <row r="1062" spans="1:7" ht="12.75" customHeight="1" x14ac:dyDescent="0.3">
      <c r="A1062" s="174">
        <v>45489</v>
      </c>
      <c r="B1062" s="155">
        <v>1516.2</v>
      </c>
      <c r="C1062" s="155">
        <f t="shared" si="32"/>
        <v>1.1440579033387873E-2</v>
      </c>
      <c r="E1062" s="174">
        <v>45489</v>
      </c>
      <c r="F1062" s="175">
        <v>24613</v>
      </c>
      <c r="G1062" s="155">
        <f t="shared" si="33"/>
        <v>1.0697158254550424E-3</v>
      </c>
    </row>
    <row r="1063" spans="1:7" ht="12.75" customHeight="1" x14ac:dyDescent="0.3">
      <c r="A1063" s="174">
        <v>45491</v>
      </c>
      <c r="B1063" s="155">
        <v>1539.35</v>
      </c>
      <c r="C1063" s="155">
        <f t="shared" si="32"/>
        <v>1.5268434243503406E-2</v>
      </c>
      <c r="E1063" s="174">
        <v>45491</v>
      </c>
      <c r="F1063" s="175">
        <v>24800.849609375</v>
      </c>
      <c r="G1063" s="155">
        <f t="shared" si="33"/>
        <v>7.63212974342827E-3</v>
      </c>
    </row>
    <row r="1064" spans="1:7" ht="12.75" customHeight="1" x14ac:dyDescent="0.3">
      <c r="A1064" s="174">
        <v>45492</v>
      </c>
      <c r="B1064" s="155">
        <v>1491.4</v>
      </c>
      <c r="C1064" s="155">
        <f t="shared" si="32"/>
        <v>-3.1149511157306541E-2</v>
      </c>
      <c r="E1064" s="174">
        <v>45492</v>
      </c>
      <c r="F1064" s="175">
        <v>24530.900390625</v>
      </c>
      <c r="G1064" s="155">
        <f t="shared" si="33"/>
        <v>-1.0884676251089243E-2</v>
      </c>
    </row>
    <row r="1065" spans="1:7" ht="12.75" customHeight="1" x14ac:dyDescent="0.3">
      <c r="A1065" s="174">
        <v>45495</v>
      </c>
      <c r="B1065" s="155">
        <v>1495.55</v>
      </c>
      <c r="C1065" s="155">
        <f t="shared" si="32"/>
        <v>2.7826203567117226E-3</v>
      </c>
      <c r="E1065" s="174">
        <v>45495</v>
      </c>
      <c r="F1065" s="175">
        <v>24509.25</v>
      </c>
      <c r="G1065" s="155">
        <f t="shared" si="33"/>
        <v>-8.8257627238477363E-4</v>
      </c>
    </row>
    <row r="1066" spans="1:7" ht="12.75" customHeight="1" x14ac:dyDescent="0.3">
      <c r="A1066" s="174">
        <v>45496</v>
      </c>
      <c r="B1066" s="155">
        <v>1493.4</v>
      </c>
      <c r="C1066" s="155">
        <f t="shared" si="32"/>
        <v>-1.4375982080170263E-3</v>
      </c>
      <c r="E1066" s="174">
        <v>45496</v>
      </c>
      <c r="F1066" s="175">
        <v>24479.05078125</v>
      </c>
      <c r="G1066" s="155">
        <f t="shared" si="33"/>
        <v>-1.2321559717249609E-3</v>
      </c>
    </row>
    <row r="1067" spans="1:7" ht="12.75" customHeight="1" x14ac:dyDescent="0.3">
      <c r="A1067" s="174">
        <v>45497</v>
      </c>
      <c r="B1067" s="155">
        <v>1533.3</v>
      </c>
      <c r="C1067" s="155">
        <f t="shared" si="32"/>
        <v>2.6717557251908303E-2</v>
      </c>
      <c r="E1067" s="174">
        <v>45497</v>
      </c>
      <c r="F1067" s="175">
        <v>24413.5</v>
      </c>
      <c r="G1067" s="155">
        <f t="shared" si="33"/>
        <v>-2.6778318259059845E-3</v>
      </c>
    </row>
    <row r="1068" spans="1:7" ht="12.75" customHeight="1" x14ac:dyDescent="0.3">
      <c r="A1068" s="174">
        <v>45498</v>
      </c>
      <c r="B1068" s="155">
        <v>1530</v>
      </c>
      <c r="C1068" s="155">
        <f t="shared" si="32"/>
        <v>-2.1522207004499804E-3</v>
      </c>
      <c r="E1068" s="174">
        <v>45498</v>
      </c>
      <c r="F1068" s="175">
        <v>24406.099609375</v>
      </c>
      <c r="G1068" s="155">
        <f t="shared" si="33"/>
        <v>-3.031269840457124E-4</v>
      </c>
    </row>
    <row r="1069" spans="1:7" ht="12.75" customHeight="1" x14ac:dyDescent="0.3">
      <c r="A1069" s="174">
        <v>45499</v>
      </c>
      <c r="B1069" s="155">
        <v>1541.15</v>
      </c>
      <c r="C1069" s="155">
        <f t="shared" si="32"/>
        <v>7.2875816993464649E-3</v>
      </c>
      <c r="E1069" s="174">
        <v>45499</v>
      </c>
      <c r="F1069" s="175">
        <v>24834.849609375</v>
      </c>
      <c r="G1069" s="155">
        <f t="shared" si="33"/>
        <v>1.756732976027461E-2</v>
      </c>
    </row>
    <row r="1070" spans="1:7" ht="12.75" customHeight="1" x14ac:dyDescent="0.3">
      <c r="A1070" s="174">
        <v>45502</v>
      </c>
      <c r="B1070" s="155">
        <v>1525.35</v>
      </c>
      <c r="C1070" s="155">
        <f t="shared" si="32"/>
        <v>-1.0252084482367181E-2</v>
      </c>
      <c r="E1070" s="174">
        <v>45502</v>
      </c>
      <c r="F1070" s="175">
        <v>24836.099609375</v>
      </c>
      <c r="G1070" s="155">
        <f t="shared" si="33"/>
        <v>5.0332497263367071E-5</v>
      </c>
    </row>
    <row r="1071" spans="1:7" ht="12.75" customHeight="1" x14ac:dyDescent="0.3">
      <c r="A1071" s="174">
        <v>45503</v>
      </c>
      <c r="B1071" s="155">
        <v>1538.05</v>
      </c>
      <c r="C1071" s="155">
        <f t="shared" si="32"/>
        <v>8.3259579768578014E-3</v>
      </c>
      <c r="E1071" s="174">
        <v>45503</v>
      </c>
      <c r="F1071" s="175">
        <v>24857.30078125</v>
      </c>
      <c r="G1071" s="155">
        <f t="shared" si="33"/>
        <v>8.5364337430008915E-4</v>
      </c>
    </row>
    <row r="1072" spans="1:7" ht="12.75" customHeight="1" x14ac:dyDescent="0.3">
      <c r="A1072" s="174">
        <v>45504</v>
      </c>
      <c r="B1072" s="155">
        <v>1554.4</v>
      </c>
      <c r="C1072" s="155">
        <f t="shared" si="32"/>
        <v>1.0630343616917615E-2</v>
      </c>
      <c r="E1072" s="174">
        <v>45504</v>
      </c>
      <c r="F1072" s="175">
        <v>24951.150390625</v>
      </c>
      <c r="G1072" s="155">
        <f t="shared" si="33"/>
        <v>3.7755350108564997E-3</v>
      </c>
    </row>
    <row r="1073" spans="1:7" ht="12.75" customHeight="1" x14ac:dyDescent="0.3">
      <c r="A1073" s="174">
        <v>45505</v>
      </c>
      <c r="B1073" s="155">
        <v>1544.45</v>
      </c>
      <c r="C1073" s="155">
        <f t="shared" si="32"/>
        <v>-6.4011837364899926E-3</v>
      </c>
      <c r="E1073" s="174">
        <v>45505</v>
      </c>
      <c r="F1073" s="175">
        <v>25010.900390625</v>
      </c>
      <c r="G1073" s="155">
        <f t="shared" si="33"/>
        <v>2.3946791656728628E-3</v>
      </c>
    </row>
    <row r="1074" spans="1:7" ht="12.75" customHeight="1" x14ac:dyDescent="0.3">
      <c r="A1074" s="174">
        <v>45506</v>
      </c>
      <c r="B1074" s="155">
        <v>1507.7</v>
      </c>
      <c r="C1074" s="155">
        <f t="shared" si="32"/>
        <v>-2.3794878435689081E-2</v>
      </c>
      <c r="E1074" s="174">
        <v>45506</v>
      </c>
      <c r="F1074" s="175">
        <v>24717.69921875</v>
      </c>
      <c r="G1074" s="155">
        <f t="shared" si="33"/>
        <v>-1.1722935491954641E-2</v>
      </c>
    </row>
    <row r="1075" spans="1:7" ht="12.75" customHeight="1" x14ac:dyDescent="0.3">
      <c r="A1075" s="174">
        <v>45509</v>
      </c>
      <c r="B1075" s="155">
        <v>1456.35</v>
      </c>
      <c r="C1075" s="155">
        <f t="shared" si="32"/>
        <v>-3.4058499701532227E-2</v>
      </c>
      <c r="E1075" s="174">
        <v>45509</v>
      </c>
      <c r="F1075" s="175">
        <v>24055.599609375</v>
      </c>
      <c r="G1075" s="155">
        <f t="shared" si="33"/>
        <v>-2.6786457894622889E-2</v>
      </c>
    </row>
    <row r="1076" spans="1:7" ht="12.75" customHeight="1" x14ac:dyDescent="0.3">
      <c r="A1076" s="174">
        <v>45510</v>
      </c>
      <c r="B1076" s="155">
        <v>1483.4</v>
      </c>
      <c r="C1076" s="155">
        <f t="shared" si="32"/>
        <v>1.8573831839873784E-2</v>
      </c>
      <c r="E1076" s="174">
        <v>45510</v>
      </c>
      <c r="F1076" s="175">
        <v>23992.55078125</v>
      </c>
      <c r="G1076" s="155">
        <f t="shared" si="33"/>
        <v>-2.6209626510589443E-3</v>
      </c>
    </row>
    <row r="1077" spans="1:7" ht="12.75" customHeight="1" x14ac:dyDescent="0.3">
      <c r="A1077" s="174">
        <v>45511</v>
      </c>
      <c r="B1077" s="155">
        <v>1473.65</v>
      </c>
      <c r="C1077" s="155">
        <f t="shared" si="32"/>
        <v>-6.5727383038964539E-3</v>
      </c>
      <c r="E1077" s="174">
        <v>45511</v>
      </c>
      <c r="F1077" s="175">
        <v>24297.5</v>
      </c>
      <c r="G1077" s="155">
        <f t="shared" si="33"/>
        <v>1.2710162480444369E-2</v>
      </c>
    </row>
    <row r="1078" spans="1:7" ht="12.75" customHeight="1" x14ac:dyDescent="0.3">
      <c r="A1078" s="174">
        <v>45512</v>
      </c>
      <c r="B1078" s="155">
        <v>1466.45</v>
      </c>
      <c r="C1078" s="155">
        <f t="shared" si="32"/>
        <v>-4.8858277067146509E-3</v>
      </c>
      <c r="E1078" s="174">
        <v>45512</v>
      </c>
      <c r="F1078" s="175">
        <v>24117</v>
      </c>
      <c r="G1078" s="155">
        <f t="shared" si="33"/>
        <v>-7.428747813561066E-3</v>
      </c>
    </row>
    <row r="1079" spans="1:7" ht="12.75" customHeight="1" x14ac:dyDescent="0.3">
      <c r="A1079" s="174">
        <v>45513</v>
      </c>
      <c r="B1079" s="155">
        <v>1506.7</v>
      </c>
      <c r="C1079" s="155">
        <f t="shared" si="32"/>
        <v>2.7447236523577345E-2</v>
      </c>
      <c r="E1079" s="174">
        <v>45513</v>
      </c>
      <c r="F1079" s="175">
        <v>24367.5</v>
      </c>
      <c r="G1079" s="155">
        <f t="shared" si="33"/>
        <v>1.0386864037815649E-2</v>
      </c>
    </row>
    <row r="1080" spans="1:7" ht="12.75" customHeight="1" x14ac:dyDescent="0.3">
      <c r="A1080" s="174">
        <v>45516</v>
      </c>
      <c r="B1080" s="155">
        <v>1512.5</v>
      </c>
      <c r="C1080" s="155">
        <f t="shared" si="32"/>
        <v>3.8494723568062352E-3</v>
      </c>
      <c r="E1080" s="174">
        <v>45516</v>
      </c>
      <c r="F1080" s="175">
        <v>24347</v>
      </c>
      <c r="G1080" s="155">
        <f t="shared" si="33"/>
        <v>-8.412844977941931E-4</v>
      </c>
    </row>
    <row r="1081" spans="1:7" ht="12.75" customHeight="1" x14ac:dyDescent="0.3">
      <c r="A1081" s="174">
        <v>45517</v>
      </c>
      <c r="B1081" s="155">
        <v>1503.4</v>
      </c>
      <c r="C1081" s="155">
        <f t="shared" si="32"/>
        <v>-6.0165289256197746E-3</v>
      </c>
      <c r="E1081" s="174">
        <v>45517</v>
      </c>
      <c r="F1081" s="175">
        <v>24139</v>
      </c>
      <c r="G1081" s="155">
        <f t="shared" si="33"/>
        <v>-8.5431469996303452E-3</v>
      </c>
    </row>
    <row r="1082" spans="1:7" ht="12.75" customHeight="1" x14ac:dyDescent="0.3">
      <c r="A1082" s="174">
        <v>45518</v>
      </c>
      <c r="B1082" s="155">
        <v>1524.4</v>
      </c>
      <c r="C1082" s="155">
        <f t="shared" si="32"/>
        <v>1.3968338432885459E-2</v>
      </c>
      <c r="E1082" s="174">
        <v>45518</v>
      </c>
      <c r="F1082" s="175">
        <v>24143.75</v>
      </c>
      <c r="G1082" s="155">
        <f t="shared" si="33"/>
        <v>1.9677699987571978E-4</v>
      </c>
    </row>
    <row r="1083" spans="1:7" ht="12.75" customHeight="1" x14ac:dyDescent="0.3">
      <c r="A1083" s="174">
        <v>45520</v>
      </c>
      <c r="B1083" s="155">
        <v>1585.3</v>
      </c>
      <c r="C1083" s="155">
        <f t="shared" si="32"/>
        <v>3.9950144319076265E-2</v>
      </c>
      <c r="E1083" s="174">
        <v>45520</v>
      </c>
      <c r="F1083" s="175">
        <v>24541.150390625</v>
      </c>
      <c r="G1083" s="155">
        <f t="shared" si="33"/>
        <v>1.6459762490292518E-2</v>
      </c>
    </row>
    <row r="1084" spans="1:7" ht="12.75" customHeight="1" x14ac:dyDescent="0.3">
      <c r="A1084" s="174">
        <v>45523</v>
      </c>
      <c r="B1084" s="155">
        <v>1594.65</v>
      </c>
      <c r="C1084" s="155">
        <f t="shared" si="32"/>
        <v>5.8979372989340422E-3</v>
      </c>
      <c r="E1084" s="174">
        <v>45523</v>
      </c>
      <c r="F1084" s="175">
        <v>24572.650390625</v>
      </c>
      <c r="G1084" s="155">
        <f t="shared" si="33"/>
        <v>1.2835584110202657E-3</v>
      </c>
    </row>
    <row r="1085" spans="1:7" ht="12.75" customHeight="1" x14ac:dyDescent="0.3">
      <c r="A1085" s="174">
        <v>45524</v>
      </c>
      <c r="B1085" s="155">
        <v>1628.6</v>
      </c>
      <c r="C1085" s="155">
        <f t="shared" si="32"/>
        <v>2.1289938230959655E-2</v>
      </c>
      <c r="E1085" s="174">
        <v>45524</v>
      </c>
      <c r="F1085" s="175">
        <v>24698.849609375</v>
      </c>
      <c r="G1085" s="155">
        <f t="shared" si="33"/>
        <v>5.1357593399101852E-3</v>
      </c>
    </row>
    <row r="1086" spans="1:7" ht="12.75" customHeight="1" x14ac:dyDescent="0.3">
      <c r="A1086" s="174">
        <v>45525</v>
      </c>
      <c r="B1086" s="155">
        <v>1604.65</v>
      </c>
      <c r="C1086" s="155">
        <f t="shared" si="32"/>
        <v>-1.4705882352941065E-2</v>
      </c>
      <c r="E1086" s="174">
        <v>45525</v>
      </c>
      <c r="F1086" s="175">
        <v>24770.19921875</v>
      </c>
      <c r="G1086" s="155">
        <f t="shared" si="33"/>
        <v>2.8887826964992596E-3</v>
      </c>
    </row>
    <row r="1087" spans="1:7" ht="12.75" customHeight="1" x14ac:dyDescent="0.3">
      <c r="A1087" s="174">
        <v>45526</v>
      </c>
      <c r="B1087" s="155">
        <v>1611.25</v>
      </c>
      <c r="C1087" s="155">
        <f t="shared" si="32"/>
        <v>4.1130464587292607E-3</v>
      </c>
      <c r="E1087" s="174">
        <v>45526</v>
      </c>
      <c r="F1087" s="175">
        <v>24811.5</v>
      </c>
      <c r="G1087" s="155">
        <f t="shared" si="33"/>
        <v>1.667357653657345E-3</v>
      </c>
    </row>
    <row r="1088" spans="1:7" ht="12.75" customHeight="1" x14ac:dyDescent="0.3">
      <c r="A1088" s="174">
        <v>45527</v>
      </c>
      <c r="B1088" s="155">
        <v>1598.4</v>
      </c>
      <c r="C1088" s="155">
        <f t="shared" si="32"/>
        <v>-7.9751745539177101E-3</v>
      </c>
      <c r="E1088" s="174">
        <v>45527</v>
      </c>
      <c r="F1088" s="175">
        <v>24823.150390625</v>
      </c>
      <c r="G1088" s="155">
        <f t="shared" si="33"/>
        <v>4.6955607782681415E-4</v>
      </c>
    </row>
    <row r="1089" spans="1:7" ht="12.75" customHeight="1" x14ac:dyDescent="0.3">
      <c r="A1089" s="174">
        <v>45530</v>
      </c>
      <c r="B1089" s="155">
        <v>1640.15</v>
      </c>
      <c r="C1089" s="155">
        <f t="shared" si="32"/>
        <v>2.6119869869869868E-2</v>
      </c>
      <c r="E1089" s="174">
        <v>45530</v>
      </c>
      <c r="F1089" s="175">
        <v>25010.599609375</v>
      </c>
      <c r="G1089" s="155">
        <f t="shared" si="33"/>
        <v>7.551387144670978E-3</v>
      </c>
    </row>
    <row r="1090" spans="1:7" ht="12.75" customHeight="1" x14ac:dyDescent="0.3">
      <c r="A1090" s="174">
        <v>45531</v>
      </c>
      <c r="B1090" s="155">
        <v>1624.6</v>
      </c>
      <c r="C1090" s="155">
        <f t="shared" si="32"/>
        <v>-9.4808401670580019E-3</v>
      </c>
      <c r="E1090" s="174">
        <v>45531</v>
      </c>
      <c r="F1090" s="175">
        <v>25017.75</v>
      </c>
      <c r="G1090" s="155">
        <f t="shared" si="33"/>
        <v>2.8589441023715959E-4</v>
      </c>
    </row>
    <row r="1091" spans="1:7" ht="12.75" customHeight="1" x14ac:dyDescent="0.3">
      <c r="A1091" s="174">
        <v>45532</v>
      </c>
      <c r="B1091" s="155">
        <v>1627.35</v>
      </c>
      <c r="C1091" s="155">
        <f t="shared" si="32"/>
        <v>1.6927243629201035E-3</v>
      </c>
      <c r="E1091" s="174">
        <v>45532</v>
      </c>
      <c r="F1091" s="175">
        <v>25052.349609375</v>
      </c>
      <c r="G1091" s="155">
        <f t="shared" si="33"/>
        <v>1.3830024432652816E-3</v>
      </c>
    </row>
    <row r="1092" spans="1:7" ht="12.75" customHeight="1" x14ac:dyDescent="0.3">
      <c r="A1092" s="174">
        <v>45533</v>
      </c>
      <c r="B1092" s="155">
        <v>1647.35</v>
      </c>
      <c r="C1092" s="155">
        <f t="shared" ref="C1092:C1155" si="34">(B1092-B1091)/B1091</f>
        <v>1.2289919193781302E-2</v>
      </c>
      <c r="E1092" s="174">
        <v>45533</v>
      </c>
      <c r="F1092" s="175">
        <v>25151.94921875</v>
      </c>
      <c r="G1092" s="155">
        <f t="shared" ref="G1092:G1155" si="35">(F1092-F1091)/F1091</f>
        <v>3.9756594063228385E-3</v>
      </c>
    </row>
    <row r="1093" spans="1:7" ht="12.75" customHeight="1" x14ac:dyDescent="0.3">
      <c r="A1093" s="174">
        <v>45534</v>
      </c>
      <c r="B1093" s="155">
        <v>1636.5</v>
      </c>
      <c r="C1093" s="155">
        <f t="shared" si="34"/>
        <v>-6.5863356299510787E-3</v>
      </c>
      <c r="E1093" s="174">
        <v>45534</v>
      </c>
      <c r="F1093" s="175">
        <v>25235.900390625</v>
      </c>
      <c r="G1093" s="155">
        <f t="shared" si="35"/>
        <v>3.3377600735777966E-3</v>
      </c>
    </row>
    <row r="1094" spans="1:7" ht="12.75" customHeight="1" x14ac:dyDescent="0.3">
      <c r="A1094" s="174">
        <v>45537</v>
      </c>
      <c r="B1094" s="155">
        <v>1646.65</v>
      </c>
      <c r="C1094" s="155">
        <f t="shared" si="34"/>
        <v>6.2022609227009419E-3</v>
      </c>
      <c r="E1094" s="174">
        <v>45537</v>
      </c>
      <c r="F1094" s="175">
        <v>25278.69921875</v>
      </c>
      <c r="G1094" s="155">
        <f t="shared" si="35"/>
        <v>1.6959501132323192E-3</v>
      </c>
    </row>
    <row r="1095" spans="1:7" ht="12.75" customHeight="1" x14ac:dyDescent="0.3">
      <c r="A1095" s="174">
        <v>45538</v>
      </c>
      <c r="B1095" s="155">
        <v>1644.1</v>
      </c>
      <c r="C1095" s="155">
        <f t="shared" si="34"/>
        <v>-1.5485986700271349E-3</v>
      </c>
      <c r="E1095" s="174">
        <v>45538</v>
      </c>
      <c r="F1095" s="175">
        <v>25279.849609375</v>
      </c>
      <c r="G1095" s="155">
        <f t="shared" si="35"/>
        <v>4.5508299894905958E-5</v>
      </c>
    </row>
    <row r="1096" spans="1:7" ht="12.75" customHeight="1" x14ac:dyDescent="0.3">
      <c r="A1096" s="174">
        <v>45539</v>
      </c>
      <c r="B1096" s="155">
        <v>1645.3</v>
      </c>
      <c r="C1096" s="155">
        <f t="shared" si="34"/>
        <v>7.2988261054683146E-4</v>
      </c>
      <c r="E1096" s="174">
        <v>45539</v>
      </c>
      <c r="F1096" s="175">
        <v>25198.69921875</v>
      </c>
      <c r="G1096" s="155">
        <f t="shared" si="35"/>
        <v>-3.2100820170585776E-3</v>
      </c>
    </row>
    <row r="1097" spans="1:7" ht="12.75" customHeight="1" x14ac:dyDescent="0.3">
      <c r="A1097" s="174">
        <v>45540</v>
      </c>
      <c r="B1097" s="155">
        <v>1639.5</v>
      </c>
      <c r="C1097" s="155">
        <f t="shared" si="34"/>
        <v>-3.5251929739257004E-3</v>
      </c>
      <c r="E1097" s="174">
        <v>45540</v>
      </c>
      <c r="F1097" s="175">
        <v>25145.099609375</v>
      </c>
      <c r="G1097" s="155">
        <f t="shared" si="35"/>
        <v>-2.1270784221717794E-3</v>
      </c>
    </row>
    <row r="1098" spans="1:7" ht="12.75" customHeight="1" x14ac:dyDescent="0.3">
      <c r="A1098" s="174">
        <v>45541</v>
      </c>
      <c r="B1098" s="155">
        <v>1623.25</v>
      </c>
      <c r="C1098" s="155">
        <f t="shared" si="34"/>
        <v>-9.9115584019518147E-3</v>
      </c>
      <c r="E1098" s="174">
        <v>45541</v>
      </c>
      <c r="F1098" s="175">
        <v>24852.150390625</v>
      </c>
      <c r="G1098" s="155">
        <f t="shared" si="35"/>
        <v>-1.1650350298901897E-2</v>
      </c>
    </row>
    <row r="1099" spans="1:7" ht="12.75" customHeight="1" x14ac:dyDescent="0.3">
      <c r="A1099" s="174">
        <v>45544</v>
      </c>
      <c r="B1099" s="155">
        <v>1579.2</v>
      </c>
      <c r="C1099" s="155">
        <f t="shared" si="34"/>
        <v>-2.7136916679500973E-2</v>
      </c>
      <c r="E1099" s="174">
        <v>45544</v>
      </c>
      <c r="F1099" s="175">
        <v>24936.400390625</v>
      </c>
      <c r="G1099" s="155">
        <f t="shared" si="35"/>
        <v>3.3900486950127948E-3</v>
      </c>
    </row>
    <row r="1100" spans="1:7" ht="12.75" customHeight="1" x14ac:dyDescent="0.3">
      <c r="A1100" s="174">
        <v>45545</v>
      </c>
      <c r="B1100" s="155">
        <v>1607.4</v>
      </c>
      <c r="C1100" s="155">
        <f t="shared" si="34"/>
        <v>1.7857142857142884E-2</v>
      </c>
      <c r="E1100" s="174">
        <v>45545</v>
      </c>
      <c r="F1100" s="175">
        <v>25041.099609375</v>
      </c>
      <c r="G1100" s="155">
        <f t="shared" si="35"/>
        <v>4.1986500501236075E-3</v>
      </c>
    </row>
    <row r="1101" spans="1:7" ht="12.75" customHeight="1" x14ac:dyDescent="0.3">
      <c r="A1101" s="174">
        <v>45546</v>
      </c>
      <c r="B1101" s="155">
        <v>1602.6</v>
      </c>
      <c r="C1101" s="155">
        <f t="shared" si="34"/>
        <v>-2.9861888764465484E-3</v>
      </c>
      <c r="E1101" s="174">
        <v>45546</v>
      </c>
      <c r="F1101" s="175">
        <v>24918.44921875</v>
      </c>
      <c r="G1101" s="155">
        <f t="shared" si="35"/>
        <v>-4.8979634496195048E-3</v>
      </c>
    </row>
    <row r="1102" spans="1:7" ht="12.75" customHeight="1" x14ac:dyDescent="0.3">
      <c r="A1102" s="174">
        <v>45547</v>
      </c>
      <c r="B1102" s="155">
        <v>1643.25</v>
      </c>
      <c r="C1102" s="155">
        <f t="shared" si="34"/>
        <v>2.5365031823287216E-2</v>
      </c>
      <c r="E1102" s="174">
        <v>45547</v>
      </c>
      <c r="F1102" s="175">
        <v>25388.900390625</v>
      </c>
      <c r="G1102" s="155">
        <f t="shared" si="35"/>
        <v>1.8879632827271085E-2</v>
      </c>
    </row>
    <row r="1103" spans="1:7" ht="12.75" customHeight="1" x14ac:dyDescent="0.3">
      <c r="A1103" s="174">
        <v>45548</v>
      </c>
      <c r="B1103" s="155">
        <v>1656.05</v>
      </c>
      <c r="C1103" s="155">
        <f t="shared" si="34"/>
        <v>7.7894416552563243E-3</v>
      </c>
      <c r="E1103" s="174">
        <v>45548</v>
      </c>
      <c r="F1103" s="175">
        <v>25356.5</v>
      </c>
      <c r="G1103" s="155">
        <f t="shared" si="35"/>
        <v>-1.2761636040355664E-3</v>
      </c>
    </row>
    <row r="1104" spans="1:7" ht="12.75" customHeight="1" x14ac:dyDescent="0.3">
      <c r="A1104" s="174">
        <v>45551</v>
      </c>
      <c r="B1104" s="155">
        <v>1649</v>
      </c>
      <c r="C1104" s="155">
        <f t="shared" si="34"/>
        <v>-4.2571178406448805E-3</v>
      </c>
      <c r="E1104" s="174">
        <v>45551</v>
      </c>
      <c r="F1104" s="175">
        <v>25383.75</v>
      </c>
      <c r="G1104" s="155">
        <f t="shared" si="35"/>
        <v>1.0746751326089958E-3</v>
      </c>
    </row>
    <row r="1105" spans="1:7" ht="12.75" customHeight="1" x14ac:dyDescent="0.3">
      <c r="A1105" s="174">
        <v>45552</v>
      </c>
      <c r="B1105" s="155">
        <v>1651.55</v>
      </c>
      <c r="C1105" s="155">
        <f t="shared" si="34"/>
        <v>1.546391752577292E-3</v>
      </c>
      <c r="E1105" s="174">
        <v>45552</v>
      </c>
      <c r="F1105" s="175">
        <v>25418.55078125</v>
      </c>
      <c r="G1105" s="155">
        <f t="shared" si="35"/>
        <v>1.3709866056039789E-3</v>
      </c>
    </row>
    <row r="1106" spans="1:7" ht="12.75" customHeight="1" x14ac:dyDescent="0.3">
      <c r="A1106" s="174">
        <v>45553</v>
      </c>
      <c r="B1106" s="155">
        <v>1605.4</v>
      </c>
      <c r="C1106" s="155">
        <f t="shared" si="34"/>
        <v>-2.7943447064878366E-2</v>
      </c>
      <c r="E1106" s="174">
        <v>45553</v>
      </c>
      <c r="F1106" s="175">
        <v>25377.55078125</v>
      </c>
      <c r="G1106" s="155">
        <f t="shared" si="35"/>
        <v>-1.6129951842196943E-3</v>
      </c>
    </row>
    <row r="1107" spans="1:7" ht="12.75" customHeight="1" x14ac:dyDescent="0.3">
      <c r="A1107" s="174">
        <v>45554</v>
      </c>
      <c r="B1107" s="155">
        <v>1595.35</v>
      </c>
      <c r="C1107" s="155">
        <f t="shared" si="34"/>
        <v>-6.2601220879532713E-3</v>
      </c>
      <c r="E1107" s="174">
        <v>45554</v>
      </c>
      <c r="F1107" s="175">
        <v>25415.80078125</v>
      </c>
      <c r="G1107" s="155">
        <f t="shared" si="35"/>
        <v>1.5072376499098844E-3</v>
      </c>
    </row>
    <row r="1108" spans="1:7" ht="12.75" customHeight="1" x14ac:dyDescent="0.3">
      <c r="A1108" s="174">
        <v>45555</v>
      </c>
      <c r="B1108" s="155">
        <v>1622.05</v>
      </c>
      <c r="C1108" s="155">
        <f t="shared" si="34"/>
        <v>1.6736139405146237E-2</v>
      </c>
      <c r="E1108" s="174">
        <v>45555</v>
      </c>
      <c r="F1108" s="175">
        <v>25790.94921875</v>
      </c>
      <c r="G1108" s="155">
        <f t="shared" si="35"/>
        <v>1.4760441377741608E-2</v>
      </c>
    </row>
    <row r="1109" spans="1:7" ht="12.75" customHeight="1" x14ac:dyDescent="0.3">
      <c r="A1109" s="174">
        <v>45558</v>
      </c>
      <c r="B1109" s="155">
        <v>1607.15</v>
      </c>
      <c r="C1109" s="155">
        <f t="shared" si="34"/>
        <v>-9.1859067229739313E-3</v>
      </c>
      <c r="E1109" s="174">
        <v>45558</v>
      </c>
      <c r="F1109" s="175">
        <v>25939.05078125</v>
      </c>
      <c r="G1109" s="155">
        <f t="shared" si="35"/>
        <v>5.7423850996662926E-3</v>
      </c>
    </row>
    <row r="1110" spans="1:7" ht="12.75" customHeight="1" x14ac:dyDescent="0.3">
      <c r="A1110" s="174">
        <v>45559</v>
      </c>
      <c r="B1110" s="155">
        <v>1637.1</v>
      </c>
      <c r="C1110" s="155">
        <f t="shared" si="34"/>
        <v>1.8635472731232193E-2</v>
      </c>
      <c r="E1110" s="174">
        <v>45559</v>
      </c>
      <c r="F1110" s="175">
        <v>25940.400390625</v>
      </c>
      <c r="G1110" s="155">
        <f t="shared" si="35"/>
        <v>5.2030021699003842E-5</v>
      </c>
    </row>
    <row r="1111" spans="1:7" ht="12.75" customHeight="1" x14ac:dyDescent="0.3">
      <c r="A1111" s="174">
        <v>45560</v>
      </c>
      <c r="B1111" s="155">
        <v>1602.75</v>
      </c>
      <c r="C1111" s="155">
        <f t="shared" si="34"/>
        <v>-2.0982224665567106E-2</v>
      </c>
      <c r="E1111" s="174">
        <v>45560</v>
      </c>
      <c r="F1111" s="175">
        <v>26004.150390625</v>
      </c>
      <c r="G1111" s="155">
        <f t="shared" si="35"/>
        <v>2.4575565157058869E-3</v>
      </c>
    </row>
    <row r="1112" spans="1:7" ht="12.75" customHeight="1" x14ac:dyDescent="0.3">
      <c r="A1112" s="174">
        <v>45561</v>
      </c>
      <c r="B1112" s="155">
        <v>1606.95</v>
      </c>
      <c r="C1112" s="155">
        <f t="shared" si="34"/>
        <v>2.6204960224614228E-3</v>
      </c>
      <c r="E1112" s="174">
        <v>45561</v>
      </c>
      <c r="F1112" s="175">
        <v>26216.05078125</v>
      </c>
      <c r="G1112" s="155">
        <f t="shared" si="35"/>
        <v>8.1487142414540942E-3</v>
      </c>
    </row>
    <row r="1113" spans="1:7" ht="12.75" customHeight="1" x14ac:dyDescent="0.3">
      <c r="A1113" s="174">
        <v>45562</v>
      </c>
      <c r="B1113" s="155">
        <v>1609.25</v>
      </c>
      <c r="C1113" s="155">
        <f t="shared" si="34"/>
        <v>1.4312828650548893E-3</v>
      </c>
      <c r="E1113" s="174">
        <v>45562</v>
      </c>
      <c r="F1113" s="175">
        <v>26178.94921875</v>
      </c>
      <c r="G1113" s="155">
        <f t="shared" si="35"/>
        <v>-1.4152231703234049E-3</v>
      </c>
    </row>
    <row r="1114" spans="1:7" ht="12.75" customHeight="1" x14ac:dyDescent="0.3">
      <c r="A1114" s="174">
        <v>45565</v>
      </c>
      <c r="B1114" s="155">
        <v>1577.2</v>
      </c>
      <c r="C1114" s="155">
        <f t="shared" si="34"/>
        <v>-1.9916109989125342E-2</v>
      </c>
      <c r="E1114" s="174">
        <v>45565</v>
      </c>
      <c r="F1114" s="175">
        <v>25810.849609375</v>
      </c>
      <c r="G1114" s="155">
        <f t="shared" si="35"/>
        <v>-1.406090085202343E-2</v>
      </c>
    </row>
    <row r="1115" spans="1:7" ht="12.75" customHeight="1" x14ac:dyDescent="0.3">
      <c r="A1115" s="174">
        <v>45566</v>
      </c>
      <c r="B1115" s="155">
        <v>1625.4</v>
      </c>
      <c r="C1115" s="155">
        <f t="shared" si="34"/>
        <v>3.0560486938879056E-2</v>
      </c>
      <c r="E1115" s="174">
        <v>45566</v>
      </c>
      <c r="F1115" s="175">
        <v>25796.900390625</v>
      </c>
      <c r="G1115" s="155">
        <f t="shared" si="35"/>
        <v>-5.4044012347944466E-4</v>
      </c>
    </row>
    <row r="1116" spans="1:7" ht="12.75" customHeight="1" x14ac:dyDescent="0.3">
      <c r="A1116" s="174">
        <v>45568</v>
      </c>
      <c r="B1116" s="155">
        <v>1604.05</v>
      </c>
      <c r="C1116" s="155">
        <f t="shared" si="34"/>
        <v>-1.3135228251507404E-2</v>
      </c>
      <c r="E1116" s="174">
        <v>45568</v>
      </c>
      <c r="F1116" s="175">
        <v>25250.099609375</v>
      </c>
      <c r="G1116" s="155">
        <f t="shared" si="35"/>
        <v>-2.1196375260987402E-2</v>
      </c>
    </row>
    <row r="1117" spans="1:7" ht="12.75" customHeight="1" x14ac:dyDescent="0.3">
      <c r="A1117" s="174">
        <v>45569</v>
      </c>
      <c r="B1117" s="155">
        <v>1616.45</v>
      </c>
      <c r="C1117" s="155">
        <f t="shared" si="34"/>
        <v>7.7304323431315056E-3</v>
      </c>
      <c r="E1117" s="174">
        <v>45569</v>
      </c>
      <c r="F1117" s="175">
        <v>25014.599609375</v>
      </c>
      <c r="G1117" s="155">
        <f t="shared" si="35"/>
        <v>-9.3266958801446562E-3</v>
      </c>
    </row>
    <row r="1118" spans="1:7" ht="12.75" customHeight="1" x14ac:dyDescent="0.3">
      <c r="A1118" s="174">
        <v>45572</v>
      </c>
      <c r="B1118" s="155">
        <v>1618.55</v>
      </c>
      <c r="C1118" s="155">
        <f t="shared" si="34"/>
        <v>1.2991431841380241E-3</v>
      </c>
      <c r="E1118" s="174">
        <v>45572</v>
      </c>
      <c r="F1118" s="175">
        <v>24795.75</v>
      </c>
      <c r="G1118" s="155">
        <f t="shared" si="35"/>
        <v>-8.7488751686027114E-3</v>
      </c>
    </row>
    <row r="1119" spans="1:7" ht="12.75" customHeight="1" x14ac:dyDescent="0.3">
      <c r="A1119" s="174">
        <v>45573</v>
      </c>
      <c r="B1119" s="155">
        <v>1629.1</v>
      </c>
      <c r="C1119" s="155">
        <f t="shared" si="34"/>
        <v>6.5181798523369404E-3</v>
      </c>
      <c r="E1119" s="174">
        <v>45573</v>
      </c>
      <c r="F1119" s="175">
        <v>25013.150390625</v>
      </c>
      <c r="G1119" s="155">
        <f t="shared" si="35"/>
        <v>8.7676473034693451E-3</v>
      </c>
    </row>
    <row r="1120" spans="1:7" ht="12.75" customHeight="1" x14ac:dyDescent="0.3">
      <c r="A1120" s="174">
        <v>45574</v>
      </c>
      <c r="B1120" s="155">
        <v>1658.8</v>
      </c>
      <c r="C1120" s="155">
        <f t="shared" si="34"/>
        <v>1.8230925050641486E-2</v>
      </c>
      <c r="E1120" s="174">
        <v>45574</v>
      </c>
      <c r="F1120" s="175">
        <v>24981.94921875</v>
      </c>
      <c r="G1120" s="155">
        <f t="shared" si="35"/>
        <v>-1.2473907279865989E-3</v>
      </c>
    </row>
    <row r="1121" spans="1:7" ht="12.75" customHeight="1" x14ac:dyDescent="0.3">
      <c r="A1121" s="174">
        <v>45575</v>
      </c>
      <c r="B1121" s="155">
        <v>1619.7</v>
      </c>
      <c r="C1121" s="155">
        <f t="shared" si="34"/>
        <v>-2.3571256329876965E-2</v>
      </c>
      <c r="E1121" s="174">
        <v>45575</v>
      </c>
      <c r="F1121" s="175">
        <v>24998.44921875</v>
      </c>
      <c r="G1121" s="155">
        <f t="shared" si="35"/>
        <v>6.6047688495083712E-4</v>
      </c>
    </row>
    <row r="1122" spans="1:7" ht="12.75" customHeight="1" x14ac:dyDescent="0.3">
      <c r="A1122" s="174">
        <v>45576</v>
      </c>
      <c r="B1122" s="155">
        <v>1647.05</v>
      </c>
      <c r="C1122" s="155">
        <f t="shared" si="34"/>
        <v>1.6885843057356242E-2</v>
      </c>
      <c r="E1122" s="174">
        <v>45576</v>
      </c>
      <c r="F1122" s="175">
        <v>24964.25</v>
      </c>
      <c r="G1122" s="155">
        <f t="shared" si="35"/>
        <v>-1.3680536120756241E-3</v>
      </c>
    </row>
    <row r="1123" spans="1:7" ht="12.75" customHeight="1" x14ac:dyDescent="0.3">
      <c r="A1123" s="174">
        <v>45579</v>
      </c>
      <c r="B1123" s="155">
        <v>1692.5</v>
      </c>
      <c r="C1123" s="155">
        <f t="shared" si="34"/>
        <v>2.7594790686378705E-2</v>
      </c>
      <c r="E1123" s="174">
        <v>45579</v>
      </c>
      <c r="F1123" s="175">
        <v>25127.94921875</v>
      </c>
      <c r="G1123" s="155">
        <f t="shared" si="35"/>
        <v>6.5573457544288337E-3</v>
      </c>
    </row>
    <row r="1124" spans="1:7" ht="12.75" customHeight="1" x14ac:dyDescent="0.3">
      <c r="A1124" s="174">
        <v>45580</v>
      </c>
      <c r="B1124" s="155">
        <v>1675.35</v>
      </c>
      <c r="C1124" s="155">
        <f t="shared" si="34"/>
        <v>-1.0132939438700202E-2</v>
      </c>
      <c r="E1124" s="174">
        <v>45580</v>
      </c>
      <c r="F1124" s="175">
        <v>25057.349609375</v>
      </c>
      <c r="G1124" s="155">
        <f t="shared" si="35"/>
        <v>-2.8096049048968912E-3</v>
      </c>
    </row>
    <row r="1125" spans="1:7" ht="12.75" customHeight="1" x14ac:dyDescent="0.3">
      <c r="A1125" s="174">
        <v>45581</v>
      </c>
      <c r="B1125" s="155">
        <v>1660.3</v>
      </c>
      <c r="C1125" s="155">
        <f t="shared" si="34"/>
        <v>-8.9831975408123411E-3</v>
      </c>
      <c r="E1125" s="174">
        <v>45581</v>
      </c>
      <c r="F1125" s="175">
        <v>24971.30078125</v>
      </c>
      <c r="G1125" s="155">
        <f t="shared" si="35"/>
        <v>-3.4340754096676505E-3</v>
      </c>
    </row>
    <row r="1126" spans="1:7" ht="12.75" customHeight="1" x14ac:dyDescent="0.3">
      <c r="A1126" s="174">
        <v>45582</v>
      </c>
      <c r="B1126" s="155">
        <v>1699</v>
      </c>
      <c r="C1126" s="155">
        <f t="shared" si="34"/>
        <v>2.3309040534843128E-2</v>
      </c>
      <c r="E1126" s="174">
        <v>45582</v>
      </c>
      <c r="F1126" s="175">
        <v>24749.849609375</v>
      </c>
      <c r="G1126" s="155">
        <f t="shared" si="35"/>
        <v>-8.8682273228345102E-3</v>
      </c>
    </row>
    <row r="1127" spans="1:7" ht="12.75" customHeight="1" x14ac:dyDescent="0.3">
      <c r="A1127" s="174">
        <v>45583</v>
      </c>
      <c r="B1127" s="155">
        <v>1687.9</v>
      </c>
      <c r="C1127" s="155">
        <f t="shared" si="34"/>
        <v>-6.5332548557974742E-3</v>
      </c>
      <c r="E1127" s="174">
        <v>45583</v>
      </c>
      <c r="F1127" s="175">
        <v>24854.05078125</v>
      </c>
      <c r="G1127" s="155">
        <f t="shared" si="35"/>
        <v>4.2101739412400158E-3</v>
      </c>
    </row>
    <row r="1128" spans="1:7" ht="12.75" customHeight="1" x14ac:dyDescent="0.3">
      <c r="A1128" s="174">
        <v>45586</v>
      </c>
      <c r="B1128" s="155">
        <v>1701.2</v>
      </c>
      <c r="C1128" s="155">
        <f t="shared" si="34"/>
        <v>7.8796137211919869E-3</v>
      </c>
      <c r="E1128" s="174">
        <v>45586</v>
      </c>
      <c r="F1128" s="175">
        <v>24781.099609375</v>
      </c>
      <c r="G1128" s="155">
        <f t="shared" si="35"/>
        <v>-2.9351823779983047E-3</v>
      </c>
    </row>
    <row r="1129" spans="1:7" ht="12.75" customHeight="1" x14ac:dyDescent="0.3">
      <c r="A1129" s="174">
        <v>45587</v>
      </c>
      <c r="B1129" s="155">
        <v>1696.55</v>
      </c>
      <c r="C1129" s="155">
        <f t="shared" si="34"/>
        <v>-2.7333646837526984E-3</v>
      </c>
      <c r="E1129" s="174">
        <v>45587</v>
      </c>
      <c r="F1129" s="175">
        <v>24472.099609375</v>
      </c>
      <c r="G1129" s="155">
        <f t="shared" si="35"/>
        <v>-1.2469180337869326E-2</v>
      </c>
    </row>
    <row r="1130" spans="1:7" ht="12.75" customHeight="1" x14ac:dyDescent="0.3">
      <c r="A1130" s="174">
        <v>45588</v>
      </c>
      <c r="B1130" s="155">
        <v>1735.95</v>
      </c>
      <c r="C1130" s="155">
        <f t="shared" si="34"/>
        <v>2.3223600836992774E-2</v>
      </c>
      <c r="E1130" s="174">
        <v>45588</v>
      </c>
      <c r="F1130" s="175">
        <v>24435.5</v>
      </c>
      <c r="G1130" s="155">
        <f t="shared" si="35"/>
        <v>-1.4955647434917714E-3</v>
      </c>
    </row>
    <row r="1131" spans="1:7" ht="12.75" customHeight="1" x14ac:dyDescent="0.3">
      <c r="A1131" s="174">
        <v>45589</v>
      </c>
      <c r="B1131" s="155">
        <v>1735.75</v>
      </c>
      <c r="C1131" s="155">
        <f t="shared" si="34"/>
        <v>-1.1521069155220224E-4</v>
      </c>
      <c r="E1131" s="174">
        <v>45589</v>
      </c>
      <c r="F1131" s="175">
        <v>24399.400390625</v>
      </c>
      <c r="G1131" s="155">
        <f t="shared" si="35"/>
        <v>-1.4773427748562542E-3</v>
      </c>
    </row>
    <row r="1132" spans="1:7" ht="12.75" customHeight="1" x14ac:dyDescent="0.3">
      <c r="A1132" s="174">
        <v>45590</v>
      </c>
      <c r="B1132" s="155">
        <v>1716.45</v>
      </c>
      <c r="C1132" s="155">
        <f t="shared" si="34"/>
        <v>-1.1119112775457268E-2</v>
      </c>
      <c r="E1132" s="174">
        <v>45590</v>
      </c>
      <c r="F1132" s="175">
        <v>24180.80078125</v>
      </c>
      <c r="G1132" s="155">
        <f t="shared" si="35"/>
        <v>-8.9592205494932031E-3</v>
      </c>
    </row>
    <row r="1133" spans="1:7" ht="12.75" customHeight="1" x14ac:dyDescent="0.3">
      <c r="A1133" s="174">
        <v>45593</v>
      </c>
      <c r="B1133" s="155">
        <v>1702.55</v>
      </c>
      <c r="C1133" s="155">
        <f t="shared" si="34"/>
        <v>-8.0981094701273511E-3</v>
      </c>
      <c r="E1133" s="174">
        <v>45593</v>
      </c>
      <c r="F1133" s="175">
        <v>24339.150390625</v>
      </c>
      <c r="G1133" s="155">
        <f t="shared" si="35"/>
        <v>6.5485676346080995E-3</v>
      </c>
    </row>
    <row r="1134" spans="1:7" ht="12.75" customHeight="1" x14ac:dyDescent="0.3">
      <c r="A1134" s="174">
        <v>45594</v>
      </c>
      <c r="B1134" s="155">
        <v>1698.5</v>
      </c>
      <c r="C1134" s="155">
        <f t="shared" si="34"/>
        <v>-2.3787847640303985E-3</v>
      </c>
      <c r="E1134" s="174">
        <v>45594</v>
      </c>
      <c r="F1134" s="175">
        <v>24466.849609375</v>
      </c>
      <c r="G1134" s="155">
        <f t="shared" si="35"/>
        <v>5.2466588480092318E-3</v>
      </c>
    </row>
    <row r="1135" spans="1:7" ht="12.75" customHeight="1" x14ac:dyDescent="0.3">
      <c r="A1135" s="174">
        <v>45595</v>
      </c>
      <c r="B1135" s="155">
        <v>1684.95</v>
      </c>
      <c r="C1135" s="155">
        <f t="shared" si="34"/>
        <v>-7.9776273182219342E-3</v>
      </c>
      <c r="E1135" s="174">
        <v>45595</v>
      </c>
      <c r="F1135" s="175">
        <v>24340.849609375</v>
      </c>
      <c r="G1135" s="155">
        <f t="shared" si="35"/>
        <v>-5.149825253829181E-3</v>
      </c>
    </row>
    <row r="1136" spans="1:7" ht="12.75" customHeight="1" x14ac:dyDescent="0.3">
      <c r="A1136" s="174">
        <v>45596</v>
      </c>
      <c r="B1136" s="155">
        <v>1608.65</v>
      </c>
      <c r="C1136" s="155">
        <f t="shared" si="34"/>
        <v>-4.5283242826196592E-2</v>
      </c>
      <c r="E1136" s="174">
        <v>45596</v>
      </c>
      <c r="F1136" s="175">
        <v>24205.349609375</v>
      </c>
      <c r="G1136" s="155">
        <f t="shared" si="35"/>
        <v>-5.566773640794013E-3</v>
      </c>
    </row>
    <row r="1137" spans="1:7" ht="12.75" customHeight="1" x14ac:dyDescent="0.3">
      <c r="A1137" s="174">
        <v>45597</v>
      </c>
      <c r="B1137" s="155">
        <v>1603.65</v>
      </c>
      <c r="C1137" s="155">
        <f t="shared" si="34"/>
        <v>-3.1081963136791717E-3</v>
      </c>
      <c r="E1137" s="174">
        <v>45597</v>
      </c>
      <c r="F1137" s="175">
        <v>24304.349609375</v>
      </c>
      <c r="G1137" s="155">
        <f t="shared" si="35"/>
        <v>4.0900049616162618E-3</v>
      </c>
    </row>
    <row r="1138" spans="1:7" ht="12.75" customHeight="1" x14ac:dyDescent="0.3">
      <c r="A1138" s="174">
        <v>45600</v>
      </c>
      <c r="B1138" s="155">
        <v>1638.4</v>
      </c>
      <c r="C1138" s="155">
        <f t="shared" si="34"/>
        <v>2.1669316870888286E-2</v>
      </c>
      <c r="E1138" s="174">
        <v>45600</v>
      </c>
      <c r="F1138" s="175">
        <v>23995.349609375</v>
      </c>
      <c r="G1138" s="155">
        <f t="shared" si="35"/>
        <v>-1.2713773664645128E-2</v>
      </c>
    </row>
    <row r="1139" spans="1:7" ht="12.75" customHeight="1" x14ac:dyDescent="0.3">
      <c r="A1139" s="174">
        <v>45601</v>
      </c>
      <c r="B1139" s="155">
        <v>1632.65</v>
      </c>
      <c r="C1139" s="155">
        <f t="shared" si="34"/>
        <v>-3.509521484375E-3</v>
      </c>
      <c r="E1139" s="174">
        <v>45601</v>
      </c>
      <c r="F1139" s="175">
        <v>24213.30078125</v>
      </c>
      <c r="G1139" s="155">
        <f t="shared" si="35"/>
        <v>9.0830588186073483E-3</v>
      </c>
    </row>
    <row r="1140" spans="1:7" ht="12.75" customHeight="1" x14ac:dyDescent="0.3">
      <c r="A1140" s="174">
        <v>45602</v>
      </c>
      <c r="B1140" s="155">
        <v>1693.55</v>
      </c>
      <c r="C1140" s="155">
        <f t="shared" si="34"/>
        <v>3.7301319939974799E-2</v>
      </c>
      <c r="E1140" s="174">
        <v>45602</v>
      </c>
      <c r="F1140" s="175">
        <v>24484.05078125</v>
      </c>
      <c r="G1140" s="155">
        <f t="shared" si="35"/>
        <v>1.1181870759630595E-2</v>
      </c>
    </row>
    <row r="1141" spans="1:7" ht="12.75" customHeight="1" x14ac:dyDescent="0.3">
      <c r="A1141" s="174">
        <v>45603</v>
      </c>
      <c r="B1141" s="155">
        <v>1651</v>
      </c>
      <c r="C1141" s="155">
        <f t="shared" si="34"/>
        <v>-2.5124737976439996E-2</v>
      </c>
      <c r="E1141" s="174">
        <v>45603</v>
      </c>
      <c r="F1141" s="175">
        <v>24199.349609375</v>
      </c>
      <c r="G1141" s="155">
        <f t="shared" si="35"/>
        <v>-1.1628025706147672E-2</v>
      </c>
    </row>
    <row r="1142" spans="1:7" ht="12.75" customHeight="1" x14ac:dyDescent="0.3">
      <c r="A1142" s="174">
        <v>45604</v>
      </c>
      <c r="B1142" s="155">
        <v>1681.35</v>
      </c>
      <c r="C1142" s="155">
        <f t="shared" si="34"/>
        <v>1.838279830405809E-2</v>
      </c>
      <c r="E1142" s="174">
        <v>45604</v>
      </c>
      <c r="F1142" s="175">
        <v>24148.19921875</v>
      </c>
      <c r="G1142" s="155">
        <f t="shared" si="35"/>
        <v>-2.1137093124678017E-3</v>
      </c>
    </row>
    <row r="1143" spans="1:7" ht="12.75" customHeight="1" x14ac:dyDescent="0.3">
      <c r="A1143" s="174">
        <v>45607</v>
      </c>
      <c r="B1143" s="155">
        <v>1704.15</v>
      </c>
      <c r="C1143" s="155">
        <f t="shared" si="34"/>
        <v>1.35605317155858E-2</v>
      </c>
      <c r="E1143" s="174">
        <v>45607</v>
      </c>
      <c r="F1143" s="175">
        <v>24141.30078125</v>
      </c>
      <c r="G1143" s="155">
        <f t="shared" si="35"/>
        <v>-2.8567088740280355E-4</v>
      </c>
    </row>
    <row r="1144" spans="1:7" ht="12.75" customHeight="1" x14ac:dyDescent="0.3">
      <c r="A1144" s="174">
        <v>45608</v>
      </c>
      <c r="B1144" s="155">
        <v>1687</v>
      </c>
      <c r="C1144" s="155">
        <f t="shared" si="34"/>
        <v>-1.0063668104333592E-2</v>
      </c>
      <c r="E1144" s="174">
        <v>45608</v>
      </c>
      <c r="F1144" s="175">
        <v>23883.44921875</v>
      </c>
      <c r="G1144" s="155">
        <f t="shared" si="35"/>
        <v>-1.0680930776533279E-2</v>
      </c>
    </row>
    <row r="1145" spans="1:7" ht="12.75" customHeight="1" x14ac:dyDescent="0.3">
      <c r="A1145" s="174">
        <v>45609</v>
      </c>
      <c r="B1145" s="155">
        <v>1675.6</v>
      </c>
      <c r="C1145" s="155">
        <f t="shared" si="34"/>
        <v>-6.7575577949022473E-3</v>
      </c>
      <c r="E1145" s="174">
        <v>45609</v>
      </c>
      <c r="F1145" s="175">
        <v>23559.05078125</v>
      </c>
      <c r="G1145" s="155">
        <f t="shared" si="35"/>
        <v>-1.3582562322921387E-2</v>
      </c>
    </row>
    <row r="1146" spans="1:7" ht="12.75" customHeight="1" x14ac:dyDescent="0.3">
      <c r="A1146" s="174">
        <v>45610</v>
      </c>
      <c r="B1146" s="155">
        <v>1687.5</v>
      </c>
      <c r="C1146" s="155">
        <f t="shared" si="34"/>
        <v>7.1019336357126348E-3</v>
      </c>
      <c r="E1146" s="174">
        <v>45610</v>
      </c>
      <c r="F1146" s="175">
        <v>23532.69921875</v>
      </c>
      <c r="G1146" s="155">
        <f t="shared" si="35"/>
        <v>-1.1185324376894032E-3</v>
      </c>
    </row>
    <row r="1147" spans="1:7" ht="12.75" customHeight="1" x14ac:dyDescent="0.3">
      <c r="A1147" s="174">
        <v>45614</v>
      </c>
      <c r="B1147" s="155">
        <v>1660.8</v>
      </c>
      <c r="C1147" s="155">
        <f t="shared" si="34"/>
        <v>-1.5822222222222248E-2</v>
      </c>
      <c r="E1147" s="174">
        <v>45614</v>
      </c>
      <c r="F1147" s="175">
        <v>23453.80078125</v>
      </c>
      <c r="G1147" s="155">
        <f t="shared" si="35"/>
        <v>-3.3527151631265739E-3</v>
      </c>
    </row>
    <row r="1148" spans="1:7" ht="12.75" customHeight="1" x14ac:dyDescent="0.3">
      <c r="A1148" s="174">
        <v>45615</v>
      </c>
      <c r="B1148" s="155">
        <v>1699.65</v>
      </c>
      <c r="C1148" s="155">
        <f t="shared" si="34"/>
        <v>2.3392341040462509E-2</v>
      </c>
      <c r="E1148" s="174">
        <v>45615</v>
      </c>
      <c r="F1148" s="175">
        <v>23518.5</v>
      </c>
      <c r="G1148" s="155">
        <f t="shared" si="35"/>
        <v>2.7585814066316875E-3</v>
      </c>
    </row>
    <row r="1149" spans="1:7" ht="12.75" customHeight="1" x14ac:dyDescent="0.3">
      <c r="A1149" s="174">
        <v>45617</v>
      </c>
      <c r="B1149" s="155">
        <v>1702.25</v>
      </c>
      <c r="C1149" s="155">
        <f t="shared" si="34"/>
        <v>1.5297267084399193E-3</v>
      </c>
      <c r="E1149" s="174">
        <v>45617</v>
      </c>
      <c r="F1149" s="175">
        <v>23349.900390625</v>
      </c>
      <c r="G1149" s="155">
        <f t="shared" si="35"/>
        <v>-7.1688079331164827E-3</v>
      </c>
    </row>
    <row r="1150" spans="1:7" ht="12.75" customHeight="1" x14ac:dyDescent="0.3">
      <c r="A1150" s="174">
        <v>45618</v>
      </c>
      <c r="B1150" s="155">
        <v>1747.45</v>
      </c>
      <c r="C1150" s="155">
        <f t="shared" si="34"/>
        <v>2.6553091496548713E-2</v>
      </c>
      <c r="E1150" s="174">
        <v>45618</v>
      </c>
      <c r="F1150" s="175">
        <v>23907.25</v>
      </c>
      <c r="G1150" s="155">
        <f t="shared" si="35"/>
        <v>2.3869464111237762E-2</v>
      </c>
    </row>
    <row r="1151" spans="1:7" ht="12.75" customHeight="1" x14ac:dyDescent="0.3">
      <c r="A1151" s="174">
        <v>45621</v>
      </c>
      <c r="B1151" s="155">
        <v>1732.6</v>
      </c>
      <c r="C1151" s="155">
        <f t="shared" si="34"/>
        <v>-8.498097227388559E-3</v>
      </c>
      <c r="E1151" s="174">
        <v>45621</v>
      </c>
      <c r="F1151" s="175">
        <v>24221.900390625</v>
      </c>
      <c r="G1151" s="155">
        <f t="shared" si="35"/>
        <v>1.3161295867362411E-2</v>
      </c>
    </row>
    <row r="1152" spans="1:7" ht="12.75" customHeight="1" x14ac:dyDescent="0.3">
      <c r="A1152" s="174">
        <v>45622</v>
      </c>
      <c r="B1152" s="155">
        <v>1745.4</v>
      </c>
      <c r="C1152" s="155">
        <f t="shared" si="34"/>
        <v>7.3877409673324384E-3</v>
      </c>
      <c r="E1152" s="174">
        <v>45622</v>
      </c>
      <c r="F1152" s="175">
        <v>24194.5</v>
      </c>
      <c r="G1152" s="155">
        <f t="shared" si="35"/>
        <v>-1.1312238174179439E-3</v>
      </c>
    </row>
    <row r="1153" spans="1:7" ht="12.75" customHeight="1" x14ac:dyDescent="0.3">
      <c r="A1153" s="174">
        <v>45623</v>
      </c>
      <c r="B1153" s="155">
        <v>1756.8</v>
      </c>
      <c r="C1153" s="155">
        <f t="shared" si="34"/>
        <v>6.5314541079407942E-3</v>
      </c>
      <c r="E1153" s="174">
        <v>45623</v>
      </c>
      <c r="F1153" s="175">
        <v>24274.900390625</v>
      </c>
      <c r="G1153" s="155">
        <f t="shared" si="35"/>
        <v>3.3230854378061129E-3</v>
      </c>
    </row>
    <row r="1154" spans="1:7" ht="12.75" customHeight="1" x14ac:dyDescent="0.3">
      <c r="A1154" s="174">
        <v>45624</v>
      </c>
      <c r="B1154" s="155">
        <v>1713.35</v>
      </c>
      <c r="C1154" s="155">
        <f t="shared" si="34"/>
        <v>-2.4732468123861592E-2</v>
      </c>
      <c r="E1154" s="174">
        <v>45624</v>
      </c>
      <c r="F1154" s="175">
        <v>23914.150390625</v>
      </c>
      <c r="G1154" s="155">
        <f t="shared" si="35"/>
        <v>-1.4861029054492934E-2</v>
      </c>
    </row>
    <row r="1155" spans="1:7" ht="12.75" customHeight="1" x14ac:dyDescent="0.3">
      <c r="A1155" s="174">
        <v>45625</v>
      </c>
      <c r="B1155" s="155">
        <v>1712.3</v>
      </c>
      <c r="C1155" s="155">
        <f t="shared" si="34"/>
        <v>-6.128345055008927E-4</v>
      </c>
      <c r="E1155" s="174">
        <v>45625</v>
      </c>
      <c r="F1155" s="175">
        <v>24131.099609375</v>
      </c>
      <c r="G1155" s="155">
        <f t="shared" si="35"/>
        <v>9.0720019405351737E-3</v>
      </c>
    </row>
    <row r="1156" spans="1:7" ht="12.75" customHeight="1" x14ac:dyDescent="0.3">
      <c r="A1156" s="174">
        <v>45628</v>
      </c>
      <c r="B1156" s="155">
        <v>1745.95</v>
      </c>
      <c r="C1156" s="155">
        <f t="shared" ref="C1156:C1219" si="36">(B1156-B1155)/B1155</f>
        <v>1.9651930152426614E-2</v>
      </c>
      <c r="E1156" s="174">
        <v>45628</v>
      </c>
      <c r="F1156" s="175">
        <v>24276.05078125</v>
      </c>
      <c r="G1156" s="155">
        <f t="shared" ref="G1156:G1219" si="37">(F1156-F1155)/F1155</f>
        <v>6.0068200049485541E-3</v>
      </c>
    </row>
    <row r="1157" spans="1:7" ht="12.75" customHeight="1" x14ac:dyDescent="0.3">
      <c r="A1157" s="174">
        <v>45629</v>
      </c>
      <c r="B1157" s="155">
        <v>1749.5</v>
      </c>
      <c r="C1157" s="155">
        <f t="shared" si="36"/>
        <v>2.0332770125146508E-3</v>
      </c>
      <c r="E1157" s="174">
        <v>45629</v>
      </c>
      <c r="F1157" s="175">
        <v>24457.150390625</v>
      </c>
      <c r="G1157" s="155">
        <f t="shared" si="37"/>
        <v>7.4600111445999777E-3</v>
      </c>
    </row>
    <row r="1158" spans="1:7" ht="12.75" customHeight="1" x14ac:dyDescent="0.3">
      <c r="A1158" s="174">
        <v>45630</v>
      </c>
      <c r="B1158" s="155">
        <v>1759.6</v>
      </c>
      <c r="C1158" s="155">
        <f t="shared" si="36"/>
        <v>5.7730780222920311E-3</v>
      </c>
      <c r="E1158" s="174">
        <v>45630</v>
      </c>
      <c r="F1158" s="175">
        <v>24467.44921875</v>
      </c>
      <c r="G1158" s="155">
        <f t="shared" si="37"/>
        <v>4.2109681465375389E-4</v>
      </c>
    </row>
    <row r="1159" spans="1:7" ht="12.75" customHeight="1" x14ac:dyDescent="0.3">
      <c r="A1159" s="174">
        <v>45631</v>
      </c>
      <c r="B1159" s="155">
        <v>1786.95</v>
      </c>
      <c r="C1159" s="155">
        <f t="shared" si="36"/>
        <v>1.554330529665841E-2</v>
      </c>
      <c r="E1159" s="174">
        <v>45631</v>
      </c>
      <c r="F1159" s="175">
        <v>24708.400390625</v>
      </c>
      <c r="G1159" s="155">
        <f t="shared" si="37"/>
        <v>9.8478255628851284E-3</v>
      </c>
    </row>
    <row r="1160" spans="1:7" ht="12.75" customHeight="1" x14ac:dyDescent="0.3">
      <c r="A1160" s="174">
        <v>45632</v>
      </c>
      <c r="B1160" s="155">
        <v>1782.8</v>
      </c>
      <c r="C1160" s="155">
        <f t="shared" si="36"/>
        <v>-2.3223929041104063E-3</v>
      </c>
      <c r="E1160" s="174">
        <v>45632</v>
      </c>
      <c r="F1160" s="175">
        <v>24677.80078125</v>
      </c>
      <c r="G1160" s="155">
        <f t="shared" si="37"/>
        <v>-1.2384293961259537E-3</v>
      </c>
    </row>
    <row r="1161" spans="1:7" ht="12.75" customHeight="1" x14ac:dyDescent="0.3">
      <c r="A1161" s="174">
        <v>45635</v>
      </c>
      <c r="B1161" s="155">
        <v>1777.85</v>
      </c>
      <c r="C1161" s="155">
        <f t="shared" si="36"/>
        <v>-2.7765312990801244E-3</v>
      </c>
      <c r="E1161" s="174">
        <v>45635</v>
      </c>
      <c r="F1161" s="175">
        <v>24619</v>
      </c>
      <c r="G1161" s="155">
        <f t="shared" si="37"/>
        <v>-2.3827399277279349E-3</v>
      </c>
    </row>
    <row r="1162" spans="1:7" ht="12.75" customHeight="1" x14ac:dyDescent="0.3">
      <c r="A1162" s="174">
        <v>45636</v>
      </c>
      <c r="B1162" s="155">
        <v>1763.55</v>
      </c>
      <c r="C1162" s="155">
        <f t="shared" si="36"/>
        <v>-8.0434232359310152E-3</v>
      </c>
      <c r="E1162" s="174">
        <v>45636</v>
      </c>
      <c r="F1162" s="175">
        <v>24610.05078125</v>
      </c>
      <c r="G1162" s="155">
        <f t="shared" si="37"/>
        <v>-3.6350862138998332E-4</v>
      </c>
    </row>
    <row r="1163" spans="1:7" ht="12.75" customHeight="1" x14ac:dyDescent="0.3">
      <c r="A1163" s="174">
        <v>45637</v>
      </c>
      <c r="B1163" s="155">
        <v>1762.8</v>
      </c>
      <c r="C1163" s="155">
        <f t="shared" si="36"/>
        <v>-4.2527855745513312E-4</v>
      </c>
      <c r="E1163" s="174">
        <v>45637</v>
      </c>
      <c r="F1163" s="175">
        <v>24641.80078125</v>
      </c>
      <c r="G1163" s="155">
        <f t="shared" si="37"/>
        <v>1.2901233029632678E-3</v>
      </c>
    </row>
    <row r="1164" spans="1:7" ht="12.75" customHeight="1" x14ac:dyDescent="0.3">
      <c r="A1164" s="174">
        <v>45638</v>
      </c>
      <c r="B1164" s="155">
        <v>1789.6</v>
      </c>
      <c r="C1164" s="155">
        <f t="shared" si="36"/>
        <v>1.5203085999546151E-2</v>
      </c>
      <c r="E1164" s="174">
        <v>45638</v>
      </c>
      <c r="F1164" s="175">
        <v>24548.69921875</v>
      </c>
      <c r="G1164" s="155">
        <f t="shared" si="37"/>
        <v>-3.778196379659119E-3</v>
      </c>
    </row>
    <row r="1165" spans="1:7" ht="12.75" customHeight="1" x14ac:dyDescent="0.3">
      <c r="A1165" s="174">
        <v>45639</v>
      </c>
      <c r="B1165" s="155">
        <v>1796.4</v>
      </c>
      <c r="C1165" s="155">
        <f t="shared" si="36"/>
        <v>3.799731783638904E-3</v>
      </c>
      <c r="E1165" s="174">
        <v>45639</v>
      </c>
      <c r="F1165" s="175">
        <v>24768.30078125</v>
      </c>
      <c r="G1165" s="155">
        <f t="shared" si="37"/>
        <v>8.9455478085890185E-3</v>
      </c>
    </row>
    <row r="1166" spans="1:7" ht="12.75" customHeight="1" x14ac:dyDescent="0.3">
      <c r="A1166" s="174">
        <v>45642</v>
      </c>
      <c r="B1166" s="155">
        <v>1775.55</v>
      </c>
      <c r="C1166" s="155">
        <f t="shared" si="36"/>
        <v>-1.160654642618578E-2</v>
      </c>
      <c r="E1166" s="174">
        <v>45642</v>
      </c>
      <c r="F1166" s="175">
        <v>24668.25</v>
      </c>
      <c r="G1166" s="155">
        <f t="shared" si="37"/>
        <v>-4.0394689217332193E-3</v>
      </c>
    </row>
    <row r="1167" spans="1:7" ht="12.75" customHeight="1" x14ac:dyDescent="0.3">
      <c r="A1167" s="174">
        <v>45643</v>
      </c>
      <c r="B1167" s="155">
        <v>1770.75</v>
      </c>
      <c r="C1167" s="155">
        <f t="shared" si="36"/>
        <v>-2.703387682689845E-3</v>
      </c>
      <c r="E1167" s="174">
        <v>45643</v>
      </c>
      <c r="F1167" s="175">
        <v>24336</v>
      </c>
      <c r="G1167" s="155">
        <f t="shared" si="37"/>
        <v>-1.3468730047733423E-2</v>
      </c>
    </row>
    <row r="1168" spans="1:7" ht="12.75" customHeight="1" x14ac:dyDescent="0.3">
      <c r="A1168" s="174">
        <v>45644</v>
      </c>
      <c r="B1168" s="155">
        <v>1778.9</v>
      </c>
      <c r="C1168" s="155">
        <f t="shared" si="36"/>
        <v>4.602569532683942E-3</v>
      </c>
      <c r="E1168" s="174">
        <v>45644</v>
      </c>
      <c r="F1168" s="175">
        <v>24198.849609375</v>
      </c>
      <c r="G1168" s="155">
        <f t="shared" si="37"/>
        <v>-5.6356998120069036E-3</v>
      </c>
    </row>
    <row r="1169" spans="1:7" ht="12.75" customHeight="1" x14ac:dyDescent="0.3">
      <c r="A1169" s="174">
        <v>45645</v>
      </c>
      <c r="B1169" s="155">
        <v>1754.35</v>
      </c>
      <c r="C1169" s="155">
        <f t="shared" si="36"/>
        <v>-1.3800663331272237E-2</v>
      </c>
      <c r="E1169" s="174">
        <v>45645</v>
      </c>
      <c r="F1169" s="175">
        <v>23951.69921875</v>
      </c>
      <c r="G1169" s="155">
        <f t="shared" si="37"/>
        <v>-1.0213311567061031E-2</v>
      </c>
    </row>
    <row r="1170" spans="1:7" ht="12.75" customHeight="1" x14ac:dyDescent="0.3">
      <c r="A1170" s="174">
        <v>45646</v>
      </c>
      <c r="B1170" s="155">
        <v>1686.05</v>
      </c>
      <c r="C1170" s="155">
        <f t="shared" si="36"/>
        <v>-3.8931798101861065E-2</v>
      </c>
      <c r="E1170" s="174">
        <v>45646</v>
      </c>
      <c r="F1170" s="175">
        <v>23587.5</v>
      </c>
      <c r="G1170" s="155">
        <f t="shared" si="37"/>
        <v>-1.5205569150805617E-2</v>
      </c>
    </row>
    <row r="1171" spans="1:7" ht="12.75" customHeight="1" x14ac:dyDescent="0.3">
      <c r="A1171" s="174">
        <v>45649</v>
      </c>
      <c r="B1171" s="155">
        <v>1712.4</v>
      </c>
      <c r="C1171" s="155">
        <f t="shared" si="36"/>
        <v>1.5628243527772093E-2</v>
      </c>
      <c r="E1171" s="174">
        <v>45649</v>
      </c>
      <c r="F1171" s="175">
        <v>23753.44921875</v>
      </c>
      <c r="G1171" s="155">
        <f t="shared" si="37"/>
        <v>7.0354729729729731E-3</v>
      </c>
    </row>
    <row r="1172" spans="1:7" ht="12.75" customHeight="1" x14ac:dyDescent="0.3">
      <c r="A1172" s="174">
        <v>45650</v>
      </c>
      <c r="B1172" s="155">
        <v>1704.9</v>
      </c>
      <c r="C1172" s="155">
        <f t="shared" si="36"/>
        <v>-4.3798177995795374E-3</v>
      </c>
      <c r="E1172" s="174">
        <v>45650</v>
      </c>
      <c r="F1172" s="175">
        <v>23727.650390625</v>
      </c>
      <c r="G1172" s="155">
        <f t="shared" si="37"/>
        <v>-1.0861087115144297E-3</v>
      </c>
    </row>
    <row r="1173" spans="1:7" ht="12.75" customHeight="1" x14ac:dyDescent="0.3">
      <c r="A1173" s="174">
        <v>45652</v>
      </c>
      <c r="B1173" s="155">
        <v>1698.7</v>
      </c>
      <c r="C1173" s="155">
        <f t="shared" si="36"/>
        <v>-3.6365769253328905E-3</v>
      </c>
      <c r="E1173" s="174">
        <v>45652</v>
      </c>
      <c r="F1173" s="175">
        <v>23750.19921875</v>
      </c>
      <c r="G1173" s="155">
        <f t="shared" si="37"/>
        <v>9.5031862631915877E-4</v>
      </c>
    </row>
    <row r="1174" spans="1:7" ht="12.75" customHeight="1" x14ac:dyDescent="0.3">
      <c r="A1174" s="174">
        <v>45653</v>
      </c>
      <c r="B1174" s="155">
        <v>1711.65</v>
      </c>
      <c r="C1174" s="155">
        <f t="shared" si="36"/>
        <v>7.6234767763584182E-3</v>
      </c>
      <c r="E1174" s="174">
        <v>45653</v>
      </c>
      <c r="F1174" s="175">
        <v>23813.400390625</v>
      </c>
      <c r="G1174" s="155">
        <f t="shared" si="37"/>
        <v>2.6610796521279179E-3</v>
      </c>
    </row>
    <row r="1175" spans="1:7" ht="12.75" customHeight="1" x14ac:dyDescent="0.3">
      <c r="A1175" s="174">
        <v>45656</v>
      </c>
      <c r="B1175" s="155">
        <v>1740.85</v>
      </c>
      <c r="C1175" s="155">
        <f t="shared" si="36"/>
        <v>1.7059562410539429E-2</v>
      </c>
      <c r="E1175" s="174">
        <v>45656</v>
      </c>
      <c r="F1175" s="175">
        <v>23644.900390625</v>
      </c>
      <c r="G1175" s="155">
        <f t="shared" si="37"/>
        <v>-7.0758479358679106E-3</v>
      </c>
    </row>
    <row r="1176" spans="1:7" ht="12.75" customHeight="1" x14ac:dyDescent="0.3">
      <c r="A1176" s="174">
        <v>45657</v>
      </c>
      <c r="B1176" s="155">
        <v>1706.2</v>
      </c>
      <c r="C1176" s="155">
        <f t="shared" si="36"/>
        <v>-1.9904069850934812E-2</v>
      </c>
      <c r="E1176" s="174">
        <v>45657</v>
      </c>
      <c r="F1176" s="175">
        <v>23644.80078125</v>
      </c>
      <c r="G1176" s="155">
        <f t="shared" si="37"/>
        <v>-4.2127212783477941E-6</v>
      </c>
    </row>
    <row r="1177" spans="1:7" ht="12.75" customHeight="1" x14ac:dyDescent="0.3">
      <c r="A1177" s="174">
        <v>45658</v>
      </c>
      <c r="B1177" s="155">
        <v>1703.85</v>
      </c>
      <c r="C1177" s="155">
        <f t="shared" si="36"/>
        <v>-1.3773297386004786E-3</v>
      </c>
      <c r="E1177" s="174">
        <v>45658</v>
      </c>
      <c r="F1177" s="175">
        <v>23742.900390625</v>
      </c>
      <c r="G1177" s="155">
        <f t="shared" si="37"/>
        <v>4.1488871182535671E-3</v>
      </c>
    </row>
    <row r="1178" spans="1:7" ht="12.75" customHeight="1" x14ac:dyDescent="0.3">
      <c r="A1178" s="174">
        <v>45659</v>
      </c>
      <c r="B1178" s="155">
        <v>1726.95</v>
      </c>
      <c r="C1178" s="155">
        <f t="shared" si="36"/>
        <v>1.3557531472841E-2</v>
      </c>
      <c r="E1178" s="174">
        <v>45659</v>
      </c>
      <c r="F1178" s="175">
        <v>24188.650390625</v>
      </c>
      <c r="G1178" s="155">
        <f t="shared" si="37"/>
        <v>1.8774033191665436E-2</v>
      </c>
    </row>
    <row r="1179" spans="1:7" ht="12.75" customHeight="1" x14ac:dyDescent="0.3">
      <c r="A1179" s="174">
        <v>45660</v>
      </c>
      <c r="B1179" s="155">
        <v>1689.45</v>
      </c>
      <c r="C1179" s="155">
        <f t="shared" si="36"/>
        <v>-2.1714583514288194E-2</v>
      </c>
      <c r="E1179" s="174">
        <v>45660</v>
      </c>
      <c r="F1179" s="175">
        <v>24004.75</v>
      </c>
      <c r="G1179" s="155">
        <f t="shared" si="37"/>
        <v>-7.602755327609176E-3</v>
      </c>
    </row>
    <row r="1180" spans="1:7" ht="12.75" customHeight="1" x14ac:dyDescent="0.3">
      <c r="A1180" s="174">
        <v>45663</v>
      </c>
      <c r="B1180" s="155">
        <v>1686.3</v>
      </c>
      <c r="C1180" s="155">
        <f t="shared" si="36"/>
        <v>-1.8645121193288294E-3</v>
      </c>
      <c r="E1180" s="174">
        <v>45663</v>
      </c>
      <c r="F1180" s="175">
        <v>23616.05078125</v>
      </c>
      <c r="G1180" s="155">
        <f t="shared" si="37"/>
        <v>-1.6192595996625668E-2</v>
      </c>
    </row>
    <row r="1181" spans="1:7" ht="12.75" customHeight="1" x14ac:dyDescent="0.3">
      <c r="A1181" s="174">
        <v>45664</v>
      </c>
      <c r="B1181" s="155">
        <v>1671.15</v>
      </c>
      <c r="C1181" s="155">
        <f t="shared" si="36"/>
        <v>-8.9841665184130139E-3</v>
      </c>
      <c r="E1181" s="174">
        <v>45664</v>
      </c>
      <c r="F1181" s="175">
        <v>23707.900390625</v>
      </c>
      <c r="G1181" s="155">
        <f t="shared" si="37"/>
        <v>3.8892874268344705E-3</v>
      </c>
    </row>
    <row r="1182" spans="1:7" ht="12.75" customHeight="1" x14ac:dyDescent="0.3">
      <c r="A1182" s="174">
        <v>45665</v>
      </c>
      <c r="B1182" s="155">
        <v>1663.75</v>
      </c>
      <c r="C1182" s="155">
        <f t="shared" si="36"/>
        <v>-4.4280884420908303E-3</v>
      </c>
      <c r="E1182" s="174">
        <v>45665</v>
      </c>
      <c r="F1182" s="175">
        <v>23688.94921875</v>
      </c>
      <c r="G1182" s="155">
        <f t="shared" si="37"/>
        <v>-7.9936103841966573E-4</v>
      </c>
    </row>
    <row r="1183" spans="1:7" ht="12.75" customHeight="1" x14ac:dyDescent="0.3">
      <c r="A1183" s="174">
        <v>45666</v>
      </c>
      <c r="B1183" s="155">
        <v>1642.8</v>
      </c>
      <c r="C1183" s="155">
        <f t="shared" si="36"/>
        <v>-1.2592036063110471E-2</v>
      </c>
      <c r="E1183" s="174">
        <v>45666</v>
      </c>
      <c r="F1183" s="175">
        <v>23526.5</v>
      </c>
      <c r="G1183" s="155">
        <f t="shared" si="37"/>
        <v>-6.8575949591474531E-3</v>
      </c>
    </row>
    <row r="1184" spans="1:7" ht="12.75" customHeight="1" x14ac:dyDescent="0.3">
      <c r="A1184" s="174">
        <v>45667</v>
      </c>
      <c r="B1184" s="155">
        <v>1705.6</v>
      </c>
      <c r="C1184" s="155">
        <f t="shared" si="36"/>
        <v>3.8227416605794956E-2</v>
      </c>
      <c r="E1184" s="174">
        <v>45667</v>
      </c>
      <c r="F1184" s="175">
        <v>23431.5</v>
      </c>
      <c r="G1184" s="155">
        <f t="shared" si="37"/>
        <v>-4.0379997024631801E-3</v>
      </c>
    </row>
    <row r="1185" spans="1:7" ht="12.75" customHeight="1" x14ac:dyDescent="0.3">
      <c r="A1185" s="174">
        <v>45670</v>
      </c>
      <c r="B1185" s="155">
        <v>1659.65</v>
      </c>
      <c r="C1185" s="155">
        <f t="shared" si="36"/>
        <v>-2.6940666041275693E-2</v>
      </c>
      <c r="E1185" s="174">
        <v>45670</v>
      </c>
      <c r="F1185" s="175">
        <v>23085.94921875</v>
      </c>
      <c r="G1185" s="155">
        <f t="shared" si="37"/>
        <v>-1.4747275302477434E-2</v>
      </c>
    </row>
    <row r="1186" spans="1:7" ht="12.75" customHeight="1" x14ac:dyDescent="0.3">
      <c r="A1186" s="174">
        <v>45671</v>
      </c>
      <c r="B1186" s="155">
        <v>1647.5</v>
      </c>
      <c r="C1186" s="155">
        <f t="shared" si="36"/>
        <v>-7.3208206549574247E-3</v>
      </c>
      <c r="E1186" s="174">
        <v>45671</v>
      </c>
      <c r="F1186" s="175">
        <v>23176.05078125</v>
      </c>
      <c r="G1186" s="155">
        <f t="shared" si="37"/>
        <v>3.9028744993868871E-3</v>
      </c>
    </row>
    <row r="1187" spans="1:7" ht="12.75" customHeight="1" x14ac:dyDescent="0.3">
      <c r="A1187" s="174">
        <v>45672</v>
      </c>
      <c r="B1187" s="155">
        <v>1675.95</v>
      </c>
      <c r="C1187" s="155">
        <f t="shared" si="36"/>
        <v>1.7268588770864974E-2</v>
      </c>
      <c r="E1187" s="174">
        <v>45672</v>
      </c>
      <c r="F1187" s="175">
        <v>23213.19921875</v>
      </c>
      <c r="G1187" s="155">
        <f t="shared" si="37"/>
        <v>1.6028803979862699E-3</v>
      </c>
    </row>
    <row r="1188" spans="1:7" ht="12.75" customHeight="1" x14ac:dyDescent="0.3">
      <c r="A1188" s="174">
        <v>45673</v>
      </c>
      <c r="B1188" s="155">
        <v>1687.65</v>
      </c>
      <c r="C1188" s="155">
        <f t="shared" si="36"/>
        <v>6.9811151884006358E-3</v>
      </c>
      <c r="E1188" s="174">
        <v>45673</v>
      </c>
      <c r="F1188" s="175">
        <v>23311.80078125</v>
      </c>
      <c r="G1188" s="155">
        <f t="shared" si="37"/>
        <v>4.2476507253837101E-3</v>
      </c>
    </row>
    <row r="1189" spans="1:7" ht="12.75" customHeight="1" x14ac:dyDescent="0.3">
      <c r="A1189" s="174">
        <v>45674</v>
      </c>
      <c r="B1189" s="155">
        <v>1660.3</v>
      </c>
      <c r="C1189" s="155">
        <f t="shared" si="36"/>
        <v>-1.6205966877018418E-2</v>
      </c>
      <c r="E1189" s="174">
        <v>45674</v>
      </c>
      <c r="F1189" s="175">
        <v>23203.19921875</v>
      </c>
      <c r="G1189" s="155">
        <f t="shared" si="37"/>
        <v>-4.6586517926727362E-3</v>
      </c>
    </row>
    <row r="1190" spans="1:7" ht="12.75" customHeight="1" x14ac:dyDescent="0.3">
      <c r="A1190" s="174">
        <v>45677</v>
      </c>
      <c r="B1190" s="155">
        <v>1674.6</v>
      </c>
      <c r="C1190" s="155">
        <f t="shared" si="36"/>
        <v>8.6129012829006535E-3</v>
      </c>
      <c r="E1190" s="174">
        <v>45677</v>
      </c>
      <c r="F1190" s="175">
        <v>23344.75</v>
      </c>
      <c r="G1190" s="155">
        <f t="shared" si="37"/>
        <v>6.1004855371674738E-3</v>
      </c>
    </row>
    <row r="1191" spans="1:7" ht="12.75" customHeight="1" x14ac:dyDescent="0.3">
      <c r="A1191" s="174">
        <v>45678</v>
      </c>
      <c r="B1191" s="155">
        <v>1640.5</v>
      </c>
      <c r="C1191" s="155">
        <f t="shared" si="36"/>
        <v>-2.036307177833507E-2</v>
      </c>
      <c r="E1191" s="174">
        <v>45678</v>
      </c>
      <c r="F1191" s="175">
        <v>23024.650390625</v>
      </c>
      <c r="G1191" s="155">
        <f t="shared" si="37"/>
        <v>-1.371184567729361E-2</v>
      </c>
    </row>
    <row r="1192" spans="1:7" ht="12.75" customHeight="1" x14ac:dyDescent="0.3">
      <c r="A1192" s="174">
        <v>45679</v>
      </c>
      <c r="B1192" s="155">
        <v>1683.95</v>
      </c>
      <c r="C1192" s="155">
        <f t="shared" si="36"/>
        <v>2.6485827491618437E-2</v>
      </c>
      <c r="E1192" s="174">
        <v>45679</v>
      </c>
      <c r="F1192" s="175">
        <v>23155.349609375</v>
      </c>
      <c r="G1192" s="155">
        <f t="shared" si="37"/>
        <v>5.6764909144165375E-3</v>
      </c>
    </row>
    <row r="1193" spans="1:7" ht="12.75" customHeight="1" x14ac:dyDescent="0.3">
      <c r="A1193" s="174">
        <v>45680</v>
      </c>
      <c r="B1193" s="155">
        <v>1713.4</v>
      </c>
      <c r="C1193" s="155">
        <f t="shared" si="36"/>
        <v>1.7488642774429197E-2</v>
      </c>
      <c r="E1193" s="174">
        <v>45680</v>
      </c>
      <c r="F1193" s="175">
        <v>23205.349609375</v>
      </c>
      <c r="G1193" s="155">
        <f t="shared" si="37"/>
        <v>2.1593282262409156E-3</v>
      </c>
    </row>
    <row r="1194" spans="1:7" ht="12.75" customHeight="1" x14ac:dyDescent="0.3">
      <c r="A1194" s="174">
        <v>45681</v>
      </c>
      <c r="B1194" s="155">
        <v>1723.05</v>
      </c>
      <c r="C1194" s="155">
        <f t="shared" si="36"/>
        <v>5.6320765728959162E-3</v>
      </c>
      <c r="E1194" s="174">
        <v>45681</v>
      </c>
      <c r="F1194" s="175">
        <v>23092.19921875</v>
      </c>
      <c r="G1194" s="155">
        <f t="shared" si="37"/>
        <v>-4.8760476583936943E-3</v>
      </c>
    </row>
    <row r="1195" spans="1:7" ht="12.75" customHeight="1" x14ac:dyDescent="0.3">
      <c r="A1195" s="174">
        <v>45684</v>
      </c>
      <c r="B1195" s="155">
        <v>1653.9</v>
      </c>
      <c r="C1195" s="155">
        <f t="shared" si="36"/>
        <v>-4.0132323496125978E-2</v>
      </c>
      <c r="E1195" s="174">
        <v>45684</v>
      </c>
      <c r="F1195" s="175">
        <v>22829.150390625</v>
      </c>
      <c r="G1195" s="155">
        <f t="shared" si="37"/>
        <v>-1.1391241935562993E-2</v>
      </c>
    </row>
    <row r="1196" spans="1:7" ht="12.75" customHeight="1" x14ac:dyDescent="0.3">
      <c r="A1196" s="174">
        <v>45685</v>
      </c>
      <c r="B1196" s="155">
        <v>1648.35</v>
      </c>
      <c r="C1196" s="155">
        <f t="shared" si="36"/>
        <v>-3.3557046979866868E-3</v>
      </c>
      <c r="E1196" s="174">
        <v>45685</v>
      </c>
      <c r="F1196" s="175">
        <v>22957.25</v>
      </c>
      <c r="G1196" s="155">
        <f t="shared" si="37"/>
        <v>5.6112298172780566E-3</v>
      </c>
    </row>
    <row r="1197" spans="1:7" ht="12.75" customHeight="1" x14ac:dyDescent="0.3">
      <c r="A1197" s="174">
        <v>45686</v>
      </c>
      <c r="B1197" s="155">
        <v>1681.15</v>
      </c>
      <c r="C1197" s="155">
        <f t="shared" si="36"/>
        <v>1.9898686565353343E-2</v>
      </c>
      <c r="E1197" s="174">
        <v>45686</v>
      </c>
      <c r="F1197" s="175">
        <v>23163.099609375</v>
      </c>
      <c r="G1197" s="155">
        <f t="shared" si="37"/>
        <v>8.9666492883511747E-3</v>
      </c>
    </row>
    <row r="1198" spans="1:7" ht="12.75" customHeight="1" x14ac:dyDescent="0.3">
      <c r="A1198" s="174">
        <v>45687</v>
      </c>
      <c r="B1198" s="155">
        <v>1670.1</v>
      </c>
      <c r="C1198" s="155">
        <f t="shared" si="36"/>
        <v>-6.5728816583887108E-3</v>
      </c>
      <c r="E1198" s="174">
        <v>45687</v>
      </c>
      <c r="F1198" s="175">
        <v>23249.5</v>
      </c>
      <c r="G1198" s="155">
        <f t="shared" si="37"/>
        <v>3.7300875997627893E-3</v>
      </c>
    </row>
    <row r="1199" spans="1:7" ht="12.75" customHeight="1" x14ac:dyDescent="0.3">
      <c r="A1199" s="174">
        <v>45688</v>
      </c>
      <c r="B1199" s="155">
        <v>1674.45</v>
      </c>
      <c r="C1199" s="155">
        <f t="shared" si="36"/>
        <v>2.6046344530268467E-3</v>
      </c>
      <c r="E1199" s="174">
        <v>45688</v>
      </c>
      <c r="F1199" s="175">
        <v>23508.400390625</v>
      </c>
      <c r="G1199" s="155">
        <f t="shared" si="37"/>
        <v>1.1135740150325814E-2</v>
      </c>
    </row>
    <row r="1200" spans="1:7" ht="12.75" customHeight="1" x14ac:dyDescent="0.3">
      <c r="A1200" s="174">
        <v>45689</v>
      </c>
      <c r="B1200" s="155">
        <v>1646.4</v>
      </c>
      <c r="C1200" s="155">
        <f t="shared" si="36"/>
        <v>-1.67517692376601E-2</v>
      </c>
      <c r="E1200" s="174">
        <v>45689</v>
      </c>
      <c r="F1200" s="175">
        <v>23482.150390625</v>
      </c>
      <c r="G1200" s="155">
        <f t="shared" si="37"/>
        <v>-1.1166221250199708E-3</v>
      </c>
    </row>
    <row r="1201" spans="1:7" ht="12.75" customHeight="1" x14ac:dyDescent="0.3">
      <c r="A1201" s="174">
        <v>45691</v>
      </c>
      <c r="B1201" s="155">
        <v>1654.7</v>
      </c>
      <c r="C1201" s="155">
        <f t="shared" si="36"/>
        <v>5.0413022351797586E-3</v>
      </c>
      <c r="E1201" s="174">
        <v>45691</v>
      </c>
      <c r="F1201" s="175">
        <v>23361.05078125</v>
      </c>
      <c r="G1201" s="155">
        <f t="shared" si="37"/>
        <v>-5.1570919766934014E-3</v>
      </c>
    </row>
    <row r="1202" spans="1:7" ht="12.75" customHeight="1" x14ac:dyDescent="0.3">
      <c r="A1202" s="174">
        <v>45692</v>
      </c>
      <c r="B1202" s="155">
        <v>1659.05</v>
      </c>
      <c r="C1202" s="155">
        <f t="shared" si="36"/>
        <v>2.6288753248322407E-3</v>
      </c>
      <c r="E1202" s="174">
        <v>45692</v>
      </c>
      <c r="F1202" s="175">
        <v>23739.25</v>
      </c>
      <c r="G1202" s="155">
        <f t="shared" si="37"/>
        <v>1.6189306820631095E-2</v>
      </c>
    </row>
    <row r="1203" spans="1:7" ht="12.75" customHeight="1" x14ac:dyDescent="0.3">
      <c r="A1203" s="174">
        <v>45693</v>
      </c>
      <c r="B1203" s="155">
        <v>1661</v>
      </c>
      <c r="C1203" s="155">
        <f t="shared" si="36"/>
        <v>1.1753714475151715E-3</v>
      </c>
      <c r="E1203" s="174">
        <v>45693</v>
      </c>
      <c r="F1203" s="175">
        <v>23696.30078125</v>
      </c>
      <c r="G1203" s="155">
        <f t="shared" si="37"/>
        <v>-1.8092070621439178E-3</v>
      </c>
    </row>
    <row r="1204" spans="1:7" ht="12.75" customHeight="1" x14ac:dyDescent="0.3">
      <c r="A1204" s="174">
        <v>45694</v>
      </c>
      <c r="B1204" s="155">
        <v>1669.6</v>
      </c>
      <c r="C1204" s="155">
        <f t="shared" si="36"/>
        <v>5.1776038531004872E-3</v>
      </c>
      <c r="E1204" s="174">
        <v>45694</v>
      </c>
      <c r="F1204" s="175">
        <v>23603.349609375</v>
      </c>
      <c r="G1204" s="155">
        <f t="shared" si="37"/>
        <v>-3.9226026346082174E-3</v>
      </c>
    </row>
    <row r="1205" spans="1:7" ht="12.75" customHeight="1" x14ac:dyDescent="0.3">
      <c r="A1205" s="174">
        <v>45695</v>
      </c>
      <c r="B1205" s="155">
        <v>1692.1</v>
      </c>
      <c r="C1205" s="155">
        <f t="shared" si="36"/>
        <v>1.3476281744130332E-2</v>
      </c>
      <c r="E1205" s="174">
        <v>45695</v>
      </c>
      <c r="F1205" s="175">
        <v>23559.94921875</v>
      </c>
      <c r="G1205" s="155">
        <f t="shared" si="37"/>
        <v>-1.8387386257991884E-3</v>
      </c>
    </row>
    <row r="1206" spans="1:7" ht="12.75" customHeight="1" x14ac:dyDescent="0.3">
      <c r="A1206" s="174">
        <v>45698</v>
      </c>
      <c r="B1206" s="155">
        <v>1699.05</v>
      </c>
      <c r="C1206" s="155">
        <f t="shared" si="36"/>
        <v>4.1073222622776701E-3</v>
      </c>
      <c r="E1206" s="174">
        <v>45698</v>
      </c>
      <c r="F1206" s="175">
        <v>23381.599609375</v>
      </c>
      <c r="G1206" s="155">
        <f t="shared" si="37"/>
        <v>-7.5700336923078711E-3</v>
      </c>
    </row>
    <row r="1207" spans="1:7" ht="12.75" customHeight="1" x14ac:dyDescent="0.3">
      <c r="A1207" s="174">
        <v>45699</v>
      </c>
      <c r="B1207" s="155">
        <v>1669.1</v>
      </c>
      <c r="C1207" s="155">
        <f t="shared" si="36"/>
        <v>-1.762749771931376E-2</v>
      </c>
      <c r="E1207" s="174">
        <v>45699</v>
      </c>
      <c r="F1207" s="175">
        <v>23071.80078125</v>
      </c>
      <c r="G1207" s="155">
        <f t="shared" si="37"/>
        <v>-1.3249684936046216E-2</v>
      </c>
    </row>
    <row r="1208" spans="1:7" ht="12.75" customHeight="1" x14ac:dyDescent="0.3">
      <c r="A1208" s="174">
        <v>45700</v>
      </c>
      <c r="B1208" s="155">
        <v>1680.2</v>
      </c>
      <c r="C1208" s="155">
        <f t="shared" si="36"/>
        <v>6.6502905757594736E-3</v>
      </c>
      <c r="E1208" s="174">
        <v>45700</v>
      </c>
      <c r="F1208" s="175">
        <v>23045.25</v>
      </c>
      <c r="G1208" s="155">
        <f t="shared" si="37"/>
        <v>-1.1507892904301298E-3</v>
      </c>
    </row>
    <row r="1209" spans="1:7" ht="12.75" customHeight="1" x14ac:dyDescent="0.3">
      <c r="A1209" s="174">
        <v>45701</v>
      </c>
      <c r="B1209" s="155">
        <v>1675.3</v>
      </c>
      <c r="C1209" s="155">
        <f t="shared" si="36"/>
        <v>-2.916319485775557E-3</v>
      </c>
      <c r="E1209" s="174">
        <v>45701</v>
      </c>
      <c r="F1209" s="175">
        <v>23031.400390625</v>
      </c>
      <c r="G1209" s="155">
        <f t="shared" si="37"/>
        <v>-6.0097457719052736E-4</v>
      </c>
    </row>
    <row r="1210" spans="1:7" ht="12.75" customHeight="1" x14ac:dyDescent="0.3">
      <c r="A1210" s="174">
        <v>45702</v>
      </c>
      <c r="B1210" s="155">
        <v>1659.1</v>
      </c>
      <c r="C1210" s="155">
        <f t="shared" si="36"/>
        <v>-9.6699098668895402E-3</v>
      </c>
      <c r="E1210" s="174">
        <v>45702</v>
      </c>
      <c r="F1210" s="175">
        <v>22929.25</v>
      </c>
      <c r="G1210" s="155">
        <f t="shared" si="37"/>
        <v>-4.4352661537064254E-3</v>
      </c>
    </row>
    <row r="1211" spans="1:7" ht="12.75" customHeight="1" x14ac:dyDescent="0.3">
      <c r="A1211" s="174">
        <v>45705</v>
      </c>
      <c r="B1211" s="155">
        <v>1664.95</v>
      </c>
      <c r="C1211" s="155">
        <f t="shared" si="36"/>
        <v>3.5260080766681555E-3</v>
      </c>
      <c r="E1211" s="174">
        <v>45705</v>
      </c>
      <c r="F1211" s="175">
        <v>22959.5</v>
      </c>
      <c r="G1211" s="155">
        <f t="shared" si="37"/>
        <v>1.3192755977626831E-3</v>
      </c>
    </row>
    <row r="1212" spans="1:7" ht="12.75" customHeight="1" x14ac:dyDescent="0.3">
      <c r="A1212" s="174">
        <v>45706</v>
      </c>
      <c r="B1212" s="155">
        <v>1705</v>
      </c>
      <c r="C1212" s="155">
        <f t="shared" si="36"/>
        <v>2.4054776419712275E-2</v>
      </c>
      <c r="E1212" s="174">
        <v>45706</v>
      </c>
      <c r="F1212" s="175">
        <v>22945.30078125</v>
      </c>
      <c r="G1212" s="155">
        <f t="shared" si="37"/>
        <v>-6.1844634029486708E-4</v>
      </c>
    </row>
    <row r="1213" spans="1:7" ht="12.75" customHeight="1" x14ac:dyDescent="0.3">
      <c r="A1213" s="174">
        <v>45707</v>
      </c>
      <c r="B1213" s="155">
        <v>1685.8</v>
      </c>
      <c r="C1213" s="155">
        <f t="shared" si="36"/>
        <v>-1.1260997067448706E-2</v>
      </c>
      <c r="E1213" s="174">
        <v>45707</v>
      </c>
      <c r="F1213" s="175">
        <v>22932.900390625</v>
      </c>
      <c r="G1213" s="155">
        <f t="shared" si="37"/>
        <v>-5.4043269004052947E-4</v>
      </c>
    </row>
    <row r="1214" spans="1:7" ht="12.75" customHeight="1" x14ac:dyDescent="0.3">
      <c r="A1214" s="174">
        <v>45708</v>
      </c>
      <c r="B1214" s="155">
        <v>1657.85</v>
      </c>
      <c r="C1214" s="155">
        <f t="shared" si="36"/>
        <v>-1.657966544074033E-2</v>
      </c>
      <c r="E1214" s="174">
        <v>45708</v>
      </c>
      <c r="F1214" s="175">
        <v>22913.150390625</v>
      </c>
      <c r="G1214" s="155">
        <f t="shared" si="37"/>
        <v>-8.6120811862392364E-4</v>
      </c>
    </row>
    <row r="1215" spans="1:7" ht="12.75" customHeight="1" x14ac:dyDescent="0.3">
      <c r="A1215" s="174">
        <v>45709</v>
      </c>
      <c r="B1215" s="155">
        <v>1649.5</v>
      </c>
      <c r="C1215" s="155">
        <f t="shared" si="36"/>
        <v>-5.036643845944995E-3</v>
      </c>
      <c r="E1215" s="174">
        <v>45709</v>
      </c>
      <c r="F1215" s="175">
        <v>22795.900390625</v>
      </c>
      <c r="G1215" s="155">
        <f t="shared" si="37"/>
        <v>-5.1171487988824647E-3</v>
      </c>
    </row>
    <row r="1216" spans="1:7" ht="12.75" customHeight="1" x14ac:dyDescent="0.3">
      <c r="A1216" s="174">
        <v>45712</v>
      </c>
      <c r="B1216" s="155">
        <v>1613.7</v>
      </c>
      <c r="C1216" s="155">
        <f t="shared" si="36"/>
        <v>-2.1703546529251262E-2</v>
      </c>
      <c r="E1216" s="174">
        <v>45712</v>
      </c>
      <c r="F1216" s="175">
        <v>22553.349609375</v>
      </c>
      <c r="G1216" s="155">
        <f t="shared" si="37"/>
        <v>-1.0640105330068515E-2</v>
      </c>
    </row>
    <row r="1217" spans="1:7" ht="12.75" customHeight="1" x14ac:dyDescent="0.3">
      <c r="A1217" s="174">
        <v>45713</v>
      </c>
      <c r="B1217" s="155">
        <v>1593.95</v>
      </c>
      <c r="C1217" s="155">
        <f t="shared" si="36"/>
        <v>-1.2238953956745367E-2</v>
      </c>
      <c r="E1217" s="174">
        <v>45713</v>
      </c>
      <c r="F1217" s="175">
        <v>22547.55078125</v>
      </c>
      <c r="G1217" s="155">
        <f t="shared" si="37"/>
        <v>-2.5711604818955748E-4</v>
      </c>
    </row>
    <row r="1218" spans="1:7" ht="12.75" customHeight="1" x14ac:dyDescent="0.3">
      <c r="A1218" s="174">
        <v>45715</v>
      </c>
      <c r="B1218" s="155">
        <v>1588.25</v>
      </c>
      <c r="C1218" s="155">
        <f t="shared" si="36"/>
        <v>-3.5760218325543744E-3</v>
      </c>
      <c r="E1218" s="174">
        <v>45715</v>
      </c>
      <c r="F1218" s="175">
        <v>22545.05078125</v>
      </c>
      <c r="G1218" s="155">
        <f t="shared" si="37"/>
        <v>-1.1087678764998901E-4</v>
      </c>
    </row>
    <row r="1219" spans="1:7" ht="12.75" customHeight="1" x14ac:dyDescent="0.3">
      <c r="A1219" s="174">
        <v>45716</v>
      </c>
      <c r="B1219" s="155">
        <v>1487.85</v>
      </c>
      <c r="C1219" s="155">
        <f t="shared" si="36"/>
        <v>-6.3214229497875071E-2</v>
      </c>
      <c r="E1219" s="174">
        <v>45716</v>
      </c>
      <c r="F1219" s="175">
        <v>22124.69921875</v>
      </c>
      <c r="G1219" s="155">
        <f t="shared" si="37"/>
        <v>-1.8644959666695139E-2</v>
      </c>
    </row>
    <row r="1220" spans="1:7" ht="12.75" customHeight="1" x14ac:dyDescent="0.3">
      <c r="A1220" s="174">
        <v>45719</v>
      </c>
      <c r="B1220" s="155">
        <v>1493.05</v>
      </c>
      <c r="C1220" s="155">
        <f t="shared" ref="C1220:C1283" si="38">(B1220-B1219)/B1219</f>
        <v>3.494975972040223E-3</v>
      </c>
      <c r="E1220" s="174">
        <v>45719</v>
      </c>
      <c r="F1220" s="175">
        <v>22119.30078125</v>
      </c>
      <c r="G1220" s="155">
        <f t="shared" ref="G1220:G1283" si="39">(F1220-F1219)/F1219</f>
        <v>-2.4400049223833022E-4</v>
      </c>
    </row>
    <row r="1221" spans="1:7" ht="12.75" customHeight="1" x14ac:dyDescent="0.3">
      <c r="A1221" s="174">
        <v>45720</v>
      </c>
      <c r="B1221" s="155">
        <v>1488.25</v>
      </c>
      <c r="C1221" s="155">
        <f t="shared" si="38"/>
        <v>-3.2148956833327447E-3</v>
      </c>
      <c r="E1221" s="174">
        <v>45720</v>
      </c>
      <c r="F1221" s="175">
        <v>22082.650390625</v>
      </c>
      <c r="G1221" s="155">
        <f t="shared" si="39"/>
        <v>-1.6569416451024373E-3</v>
      </c>
    </row>
    <row r="1222" spans="1:7" ht="12.75" customHeight="1" x14ac:dyDescent="0.3">
      <c r="A1222" s="174">
        <v>45721</v>
      </c>
      <c r="B1222" s="155">
        <v>1538.1</v>
      </c>
      <c r="C1222" s="155">
        <f t="shared" si="38"/>
        <v>3.3495716445489605E-2</v>
      </c>
      <c r="E1222" s="174">
        <v>45721</v>
      </c>
      <c r="F1222" s="175">
        <v>22337.30078125</v>
      </c>
      <c r="G1222" s="155">
        <f t="shared" si="39"/>
        <v>1.153169506922546E-2</v>
      </c>
    </row>
    <row r="1223" spans="1:7" ht="12.75" customHeight="1" x14ac:dyDescent="0.3">
      <c r="A1223" s="174">
        <v>45722</v>
      </c>
      <c r="B1223" s="155">
        <v>1503.45</v>
      </c>
      <c r="C1223" s="155">
        <f t="shared" si="38"/>
        <v>-2.252779403159734E-2</v>
      </c>
      <c r="E1223" s="174">
        <v>45722</v>
      </c>
      <c r="F1223" s="175">
        <v>22544.69921875</v>
      </c>
      <c r="G1223" s="155">
        <f t="shared" si="39"/>
        <v>9.2848477768670643E-3</v>
      </c>
    </row>
    <row r="1224" spans="1:7" ht="12.75" customHeight="1" x14ac:dyDescent="0.3">
      <c r="A1224" s="174">
        <v>45723</v>
      </c>
      <c r="B1224" s="155">
        <v>1492.35</v>
      </c>
      <c r="C1224" s="155">
        <f t="shared" si="38"/>
        <v>-7.383019056170898E-3</v>
      </c>
      <c r="E1224" s="174">
        <v>45723</v>
      </c>
      <c r="F1224" s="175">
        <v>22552.5</v>
      </c>
      <c r="G1224" s="155">
        <f t="shared" si="39"/>
        <v>3.4601398645018238E-4</v>
      </c>
    </row>
    <row r="1225" spans="1:7" ht="12.75" customHeight="1" x14ac:dyDescent="0.3">
      <c r="A1225" s="174">
        <v>45726</v>
      </c>
      <c r="B1225" s="155">
        <v>1486.85</v>
      </c>
      <c r="C1225" s="155">
        <f t="shared" si="38"/>
        <v>-3.6854625255469562E-3</v>
      </c>
      <c r="E1225" s="174">
        <v>45726</v>
      </c>
      <c r="F1225" s="175">
        <v>22460.30078125</v>
      </c>
      <c r="G1225" s="155">
        <f t="shared" si="39"/>
        <v>-4.0882039130916746E-3</v>
      </c>
    </row>
    <row r="1226" spans="1:7" ht="12.75" customHeight="1" x14ac:dyDescent="0.3">
      <c r="A1226" s="174">
        <v>45727</v>
      </c>
      <c r="B1226" s="155">
        <v>1479.2</v>
      </c>
      <c r="C1226" s="155">
        <f t="shared" si="38"/>
        <v>-5.1451054242188949E-3</v>
      </c>
      <c r="E1226" s="174">
        <v>45727</v>
      </c>
      <c r="F1226" s="175">
        <v>22497.900390625</v>
      </c>
      <c r="G1226" s="155">
        <f t="shared" si="39"/>
        <v>1.6740474556061328E-3</v>
      </c>
    </row>
    <row r="1227" spans="1:7" ht="12.75" customHeight="1" x14ac:dyDescent="0.3">
      <c r="A1227" s="174">
        <v>45728</v>
      </c>
      <c r="B1227" s="155">
        <v>1438.3</v>
      </c>
      <c r="C1227" s="155">
        <f t="shared" si="38"/>
        <v>-2.7650081124932457E-2</v>
      </c>
      <c r="E1227" s="174">
        <v>45728</v>
      </c>
      <c r="F1227" s="175">
        <v>22470.5</v>
      </c>
      <c r="G1227" s="155">
        <f t="shared" si="39"/>
        <v>-1.217908789231634E-3</v>
      </c>
    </row>
    <row r="1228" spans="1:7" ht="12.75" customHeight="1" x14ac:dyDescent="0.3">
      <c r="A1228" s="174">
        <v>45729</v>
      </c>
      <c r="B1228" s="155">
        <v>1440.65</v>
      </c>
      <c r="C1228" s="155">
        <f t="shared" si="38"/>
        <v>1.6338733226726944E-3</v>
      </c>
      <c r="E1228" s="174">
        <v>45729</v>
      </c>
      <c r="F1228" s="175">
        <v>22397.19921875</v>
      </c>
      <c r="G1228" s="155">
        <f t="shared" si="39"/>
        <v>-3.2620894617387242E-3</v>
      </c>
    </row>
    <row r="1229" spans="1:7" ht="12.75" customHeight="1" x14ac:dyDescent="0.3">
      <c r="A1229" s="174">
        <v>45733</v>
      </c>
      <c r="B1229" s="155">
        <v>1440.1</v>
      </c>
      <c r="C1229" s="155">
        <f t="shared" si="38"/>
        <v>-3.8177211675298088E-4</v>
      </c>
      <c r="E1229" s="174">
        <v>45733</v>
      </c>
      <c r="F1229" s="175">
        <v>22508.75</v>
      </c>
      <c r="G1229" s="155">
        <f t="shared" si="39"/>
        <v>4.9805683362683286E-3</v>
      </c>
    </row>
    <row r="1230" spans="1:7" ht="12.75" customHeight="1" x14ac:dyDescent="0.3">
      <c r="A1230" s="174">
        <v>45734</v>
      </c>
      <c r="B1230" s="155">
        <v>1440.1</v>
      </c>
      <c r="C1230" s="155">
        <f t="shared" si="38"/>
        <v>0</v>
      </c>
      <c r="E1230" s="174">
        <v>45734</v>
      </c>
      <c r="F1230" s="175">
        <v>22834.30078125</v>
      </c>
      <c r="G1230" s="155">
        <f t="shared" si="39"/>
        <v>1.4463298994835342E-2</v>
      </c>
    </row>
    <row r="1231" spans="1:7" ht="12.75" customHeight="1" x14ac:dyDescent="0.3">
      <c r="A1231" s="174">
        <v>45735</v>
      </c>
      <c r="B1231" s="155">
        <v>1396.15</v>
      </c>
      <c r="C1231" s="155">
        <f t="shared" si="38"/>
        <v>-3.0518713978195833E-2</v>
      </c>
      <c r="E1231" s="174">
        <v>45735</v>
      </c>
      <c r="F1231" s="175">
        <v>22907.599609375</v>
      </c>
      <c r="G1231" s="155">
        <f t="shared" si="39"/>
        <v>3.2100316461272198E-3</v>
      </c>
    </row>
    <row r="1232" spans="1:7" ht="12.75" customHeight="1" x14ac:dyDescent="0.3">
      <c r="A1232" s="174">
        <v>45736</v>
      </c>
      <c r="B1232" s="155">
        <v>1410.55</v>
      </c>
      <c r="C1232" s="155">
        <f t="shared" si="38"/>
        <v>1.0314078000214779E-2</v>
      </c>
      <c r="E1232" s="174">
        <v>45736</v>
      </c>
      <c r="F1232" s="175">
        <v>23190.650390625</v>
      </c>
      <c r="G1232" s="155">
        <f t="shared" si="39"/>
        <v>1.2356195589090036E-2</v>
      </c>
    </row>
    <row r="1233" spans="1:7" ht="12.75" customHeight="1" x14ac:dyDescent="0.3">
      <c r="A1233" s="174">
        <v>45737</v>
      </c>
      <c r="B1233" s="155">
        <v>1409.25</v>
      </c>
      <c r="C1233" s="155">
        <f t="shared" si="38"/>
        <v>-9.2162631597600549E-4</v>
      </c>
      <c r="E1233" s="174">
        <v>45737</v>
      </c>
      <c r="F1233" s="175">
        <v>23350.400390625</v>
      </c>
      <c r="G1233" s="155">
        <f t="shared" si="39"/>
        <v>6.8885519512889631E-3</v>
      </c>
    </row>
    <row r="1234" spans="1:7" ht="12.75" customHeight="1" x14ac:dyDescent="0.3">
      <c r="A1234" s="174">
        <v>45740</v>
      </c>
      <c r="B1234" s="155">
        <v>1458.65</v>
      </c>
      <c r="C1234" s="155">
        <f t="shared" si="38"/>
        <v>3.5054106794394246E-2</v>
      </c>
      <c r="E1234" s="174">
        <v>45740</v>
      </c>
      <c r="F1234" s="175">
        <v>23658.349609375</v>
      </c>
      <c r="G1234" s="155">
        <f t="shared" si="39"/>
        <v>1.3188177230298765E-2</v>
      </c>
    </row>
    <row r="1235" spans="1:7" ht="12.75" customHeight="1" x14ac:dyDescent="0.3">
      <c r="A1235" s="174">
        <v>45741</v>
      </c>
      <c r="B1235" s="155">
        <v>1455.5</v>
      </c>
      <c r="C1235" s="155">
        <f t="shared" si="38"/>
        <v>-2.1595310732527274E-3</v>
      </c>
      <c r="E1235" s="174">
        <v>45741</v>
      </c>
      <c r="F1235" s="175">
        <v>23668.650390625</v>
      </c>
      <c r="G1235" s="155">
        <f t="shared" si="39"/>
        <v>4.3539728764165997E-4</v>
      </c>
    </row>
    <row r="1236" spans="1:7" ht="12.75" customHeight="1" x14ac:dyDescent="0.3">
      <c r="A1236" s="174">
        <v>45742</v>
      </c>
      <c r="B1236" s="155">
        <v>1416.3</v>
      </c>
      <c r="C1236" s="155">
        <f t="shared" si="38"/>
        <v>-2.6932325661284812E-2</v>
      </c>
      <c r="E1236" s="174">
        <v>45742</v>
      </c>
      <c r="F1236" s="175">
        <v>23486.849609375</v>
      </c>
      <c r="G1236" s="155">
        <f t="shared" si="39"/>
        <v>-7.6810793285454976E-3</v>
      </c>
    </row>
    <row r="1237" spans="1:7" ht="12.75" customHeight="1" x14ac:dyDescent="0.3">
      <c r="A1237" s="174">
        <v>45743</v>
      </c>
      <c r="B1237" s="155">
        <v>1423.9</v>
      </c>
      <c r="C1237" s="155">
        <f t="shared" si="38"/>
        <v>5.366094753936409E-3</v>
      </c>
      <c r="E1237" s="174">
        <v>45743</v>
      </c>
      <c r="F1237" s="175">
        <v>23591.94921875</v>
      </c>
      <c r="G1237" s="155">
        <f t="shared" si="39"/>
        <v>4.4748278770026483E-3</v>
      </c>
    </row>
    <row r="1238" spans="1:7" ht="12.75" customHeight="1" x14ac:dyDescent="0.3">
      <c r="A1238" s="174">
        <v>45744</v>
      </c>
      <c r="B1238" s="155">
        <v>1418.25</v>
      </c>
      <c r="C1238" s="155">
        <f t="shared" si="38"/>
        <v>-3.9679752791629266E-3</v>
      </c>
      <c r="E1238" s="174">
        <v>45744</v>
      </c>
      <c r="F1238" s="175">
        <v>23519.349609375</v>
      </c>
      <c r="G1238" s="155">
        <f t="shared" si="39"/>
        <v>-3.0773044101544836E-3</v>
      </c>
    </row>
    <row r="1239" spans="1:7" ht="12.75" customHeight="1" x14ac:dyDescent="0.3">
      <c r="A1239" s="174">
        <v>45748</v>
      </c>
      <c r="B1239" s="155">
        <v>1395.15</v>
      </c>
      <c r="C1239" s="155">
        <f t="shared" si="38"/>
        <v>-1.6287678476996234E-2</v>
      </c>
      <c r="E1239" s="174">
        <v>45748</v>
      </c>
      <c r="F1239" s="175">
        <v>23165.69921875</v>
      </c>
      <c r="G1239" s="155">
        <f t="shared" si="39"/>
        <v>-1.5036571865236959E-2</v>
      </c>
    </row>
    <row r="1240" spans="1:7" ht="12.75" customHeight="1" x14ac:dyDescent="0.3">
      <c r="A1240" s="174">
        <v>45749</v>
      </c>
      <c r="B1240" s="155">
        <v>1423.05</v>
      </c>
      <c r="C1240" s="155">
        <f t="shared" si="38"/>
        <v>1.9997849693581236E-2</v>
      </c>
      <c r="E1240" s="174">
        <v>45749</v>
      </c>
      <c r="F1240" s="175">
        <v>23332.349609375</v>
      </c>
      <c r="G1240" s="155">
        <f t="shared" si="39"/>
        <v>7.1938424586863083E-3</v>
      </c>
    </row>
    <row r="1241" spans="1:7" ht="12.75" customHeight="1" x14ac:dyDescent="0.3">
      <c r="A1241" s="174">
        <v>45750</v>
      </c>
      <c r="B1241" s="155">
        <v>1369.35</v>
      </c>
      <c r="C1241" s="155">
        <f t="shared" si="38"/>
        <v>-3.7735849056603807E-2</v>
      </c>
      <c r="E1241" s="174">
        <v>45750</v>
      </c>
      <c r="F1241" s="175">
        <v>23250.099609375</v>
      </c>
      <c r="G1241" s="155">
        <f t="shared" si="39"/>
        <v>-3.5251486188494162E-3</v>
      </c>
    </row>
    <row r="1242" spans="1:7" ht="12.75" customHeight="1" x14ac:dyDescent="0.3">
      <c r="A1242" s="174">
        <v>45751</v>
      </c>
      <c r="B1242" s="155">
        <v>1320.95</v>
      </c>
      <c r="C1242" s="155">
        <f t="shared" si="38"/>
        <v>-3.5345236791178201E-2</v>
      </c>
      <c r="E1242" s="174">
        <v>45751</v>
      </c>
      <c r="F1242" s="175">
        <v>22904.44921875</v>
      </c>
      <c r="G1242" s="155">
        <f t="shared" si="39"/>
        <v>-1.4866619775066488E-2</v>
      </c>
    </row>
    <row r="1243" spans="1:7" ht="12.75" customHeight="1" x14ac:dyDescent="0.3">
      <c r="A1243" s="174">
        <v>45754</v>
      </c>
      <c r="B1243" s="155">
        <v>1288</v>
      </c>
      <c r="C1243" s="155">
        <f t="shared" si="38"/>
        <v>-2.4944168969302429E-2</v>
      </c>
      <c r="E1243" s="174">
        <v>45754</v>
      </c>
      <c r="F1243" s="175">
        <v>22161.599609375</v>
      </c>
      <c r="G1243" s="155">
        <f t="shared" si="39"/>
        <v>-3.2432546283055336E-2</v>
      </c>
    </row>
    <row r="1244" spans="1:7" ht="12.75" customHeight="1" x14ac:dyDescent="0.3">
      <c r="A1244" s="174">
        <v>45755</v>
      </c>
      <c r="B1244" s="155">
        <v>1314.4</v>
      </c>
      <c r="C1244" s="155">
        <f t="shared" si="38"/>
        <v>2.049689440993796E-2</v>
      </c>
      <c r="E1244" s="174">
        <v>45755</v>
      </c>
      <c r="F1244" s="175">
        <v>22535.849609375</v>
      </c>
      <c r="G1244" s="155">
        <f t="shared" si="39"/>
        <v>1.688731890281428E-2</v>
      </c>
    </row>
    <row r="1245" spans="1:7" ht="12.75" customHeight="1" x14ac:dyDescent="0.3">
      <c r="A1245" s="174">
        <v>45756</v>
      </c>
      <c r="B1245" s="155">
        <v>1272.75</v>
      </c>
      <c r="C1245" s="155">
        <f t="shared" si="38"/>
        <v>-3.1687461959829646E-2</v>
      </c>
      <c r="E1245" s="174">
        <v>45756</v>
      </c>
      <c r="F1245" s="175">
        <v>22399.150390625</v>
      </c>
      <c r="G1245" s="155">
        <f t="shared" si="39"/>
        <v>-6.0658560080704745E-3</v>
      </c>
    </row>
    <row r="1246" spans="1:7" ht="12.75" customHeight="1" x14ac:dyDescent="0.3">
      <c r="A1246" s="174">
        <v>45758</v>
      </c>
      <c r="B1246" s="155">
        <v>1282.25</v>
      </c>
      <c r="C1246" s="155">
        <f t="shared" si="38"/>
        <v>7.4641524258495387E-3</v>
      </c>
      <c r="E1246" s="174">
        <v>45758</v>
      </c>
      <c r="F1246" s="175">
        <v>22828.55078125</v>
      </c>
      <c r="G1246" s="155">
        <f t="shared" si="39"/>
        <v>1.9170387409190411E-2</v>
      </c>
    </row>
    <row r="1247" spans="1:7" ht="12.75" customHeight="1" x14ac:dyDescent="0.3">
      <c r="A1247" s="174">
        <v>45762</v>
      </c>
      <c r="B1247" s="155">
        <v>1301.7</v>
      </c>
      <c r="C1247" s="155">
        <f t="shared" si="38"/>
        <v>1.5168648859426825E-2</v>
      </c>
      <c r="E1247" s="174">
        <v>45762</v>
      </c>
      <c r="F1247" s="175">
        <v>23328.55078125</v>
      </c>
      <c r="G1247" s="155">
        <f t="shared" si="39"/>
        <v>2.1902397782108445E-2</v>
      </c>
    </row>
    <row r="1248" spans="1:7" ht="12.75" customHeight="1" x14ac:dyDescent="0.3">
      <c r="A1248" s="174">
        <v>45763</v>
      </c>
      <c r="B1248" s="155">
        <v>1308.7</v>
      </c>
      <c r="C1248" s="155">
        <f t="shared" si="38"/>
        <v>5.3775831604824459E-3</v>
      </c>
      <c r="E1248" s="174">
        <v>45763</v>
      </c>
      <c r="F1248" s="175">
        <v>23437.19921875</v>
      </c>
      <c r="G1248" s="155">
        <f t="shared" si="39"/>
        <v>4.657316201027141E-3</v>
      </c>
    </row>
    <row r="1249" spans="1:7" ht="12.75" customHeight="1" x14ac:dyDescent="0.3">
      <c r="A1249" s="174">
        <v>45764</v>
      </c>
      <c r="B1249" s="155">
        <v>1306.8</v>
      </c>
      <c r="C1249" s="155">
        <f t="shared" si="38"/>
        <v>-1.45182241919469E-3</v>
      </c>
      <c r="E1249" s="174">
        <v>45764</v>
      </c>
      <c r="F1249" s="175">
        <v>23851.650390625</v>
      </c>
      <c r="G1249" s="155">
        <f t="shared" si="39"/>
        <v>1.7683476937954037E-2</v>
      </c>
    </row>
    <row r="1250" spans="1:7" ht="12.75" customHeight="1" x14ac:dyDescent="0.3">
      <c r="A1250" s="174">
        <v>45768</v>
      </c>
      <c r="B1250" s="155">
        <v>1373.5</v>
      </c>
      <c r="C1250" s="155">
        <f t="shared" si="38"/>
        <v>5.104071013161926E-2</v>
      </c>
      <c r="E1250" s="174">
        <v>45768</v>
      </c>
      <c r="F1250" s="175">
        <v>24125.55078125</v>
      </c>
      <c r="G1250" s="155">
        <f t="shared" si="39"/>
        <v>1.1483498464016469E-2</v>
      </c>
    </row>
    <row r="1251" spans="1:7" ht="12.75" customHeight="1" x14ac:dyDescent="0.3">
      <c r="A1251" s="174">
        <v>45769</v>
      </c>
      <c r="B1251" s="155">
        <v>1376.5</v>
      </c>
      <c r="C1251" s="155">
        <f t="shared" si="38"/>
        <v>2.1842009464870769E-3</v>
      </c>
      <c r="E1251" s="174">
        <v>45769</v>
      </c>
      <c r="F1251" s="175">
        <v>24167.25</v>
      </c>
      <c r="G1251" s="155">
        <f t="shared" si="39"/>
        <v>1.728425565413743E-3</v>
      </c>
    </row>
    <row r="1252" spans="1:7" ht="12.75" customHeight="1" x14ac:dyDescent="0.3">
      <c r="A1252" s="174">
        <v>45770</v>
      </c>
      <c r="B1252" s="155">
        <v>1439.6</v>
      </c>
      <c r="C1252" s="155">
        <f t="shared" si="38"/>
        <v>4.584090083545217E-2</v>
      </c>
      <c r="E1252" s="174">
        <v>45770</v>
      </c>
      <c r="F1252" s="175">
        <v>24328.94921875</v>
      </c>
      <c r="G1252" s="155">
        <f t="shared" si="39"/>
        <v>6.6908406521221904E-3</v>
      </c>
    </row>
    <row r="1253" spans="1:7" ht="12.75" customHeight="1" x14ac:dyDescent="0.3">
      <c r="A1253" s="174">
        <v>45771</v>
      </c>
      <c r="B1253" s="155">
        <v>1445.2</v>
      </c>
      <c r="C1253" s="155">
        <f t="shared" si="38"/>
        <v>3.8899694359545269E-3</v>
      </c>
      <c r="E1253" s="174">
        <v>45771</v>
      </c>
      <c r="F1253" s="175">
        <v>24246.69921875</v>
      </c>
      <c r="G1253" s="155">
        <f t="shared" si="39"/>
        <v>-3.3807460922566689E-3</v>
      </c>
    </row>
    <row r="1254" spans="1:7" ht="12.75" customHeight="1" x14ac:dyDescent="0.3">
      <c r="A1254" s="174">
        <v>45772</v>
      </c>
      <c r="B1254" s="155">
        <v>1462</v>
      </c>
      <c r="C1254" s="155">
        <f t="shared" si="38"/>
        <v>1.1624688624411815E-2</v>
      </c>
      <c r="E1254" s="174">
        <v>45772</v>
      </c>
      <c r="F1254" s="175">
        <v>24039.349609375</v>
      </c>
      <c r="G1254" s="155">
        <f t="shared" si="39"/>
        <v>-8.5516633626838701E-3</v>
      </c>
    </row>
    <row r="1255" spans="1:7" ht="12.75" customHeight="1" x14ac:dyDescent="0.3">
      <c r="A1255" s="174">
        <v>45775</v>
      </c>
      <c r="B1255" s="155">
        <v>1461.5</v>
      </c>
      <c r="C1255" s="155">
        <f t="shared" si="38"/>
        <v>-3.4199726402188782E-4</v>
      </c>
      <c r="E1255" s="174">
        <v>45775</v>
      </c>
      <c r="F1255" s="175">
        <v>24328.5</v>
      </c>
      <c r="G1255" s="155">
        <f t="shared" si="39"/>
        <v>1.2028211882747256E-2</v>
      </c>
    </row>
    <row r="1256" spans="1:7" ht="12.75" customHeight="1" x14ac:dyDescent="0.3">
      <c r="A1256" s="174">
        <v>45776</v>
      </c>
      <c r="B1256" s="155">
        <v>1495.3</v>
      </c>
      <c r="C1256" s="155">
        <f t="shared" si="38"/>
        <v>2.3126924392747147E-2</v>
      </c>
      <c r="E1256" s="174">
        <v>45776</v>
      </c>
      <c r="F1256" s="175">
        <v>24335.94921875</v>
      </c>
      <c r="G1256" s="155">
        <f t="shared" si="39"/>
        <v>3.0619309657397702E-4</v>
      </c>
    </row>
    <row r="1257" spans="1:7" ht="12.75" customHeight="1" x14ac:dyDescent="0.3">
      <c r="A1257" s="174">
        <v>45777</v>
      </c>
      <c r="B1257" s="155">
        <v>1503</v>
      </c>
      <c r="C1257" s="155">
        <f t="shared" si="38"/>
        <v>5.1494683341135866E-3</v>
      </c>
      <c r="E1257" s="174">
        <v>45777</v>
      </c>
      <c r="F1257" s="175">
        <v>24334.19921875</v>
      </c>
      <c r="G1257" s="155">
        <f t="shared" si="39"/>
        <v>-7.1910077731904783E-5</v>
      </c>
    </row>
    <row r="1258" spans="1:7" ht="12.75" customHeight="1" x14ac:dyDescent="0.3">
      <c r="A1258" s="174">
        <v>45779</v>
      </c>
      <c r="B1258" s="155">
        <v>1494.1</v>
      </c>
      <c r="C1258" s="155">
        <f t="shared" si="38"/>
        <v>-5.9214903526281374E-3</v>
      </c>
      <c r="E1258" s="174">
        <v>45779</v>
      </c>
      <c r="F1258" s="175">
        <v>24346.69921875</v>
      </c>
      <c r="G1258" s="155">
        <f t="shared" si="39"/>
        <v>5.1368035116473008E-4</v>
      </c>
    </row>
    <row r="1259" spans="1:7" ht="12.75" customHeight="1" x14ac:dyDescent="0.3">
      <c r="A1259" s="174">
        <v>45782</v>
      </c>
      <c r="B1259" s="155">
        <v>1494.6</v>
      </c>
      <c r="C1259" s="155">
        <f t="shared" si="38"/>
        <v>3.3464962184592736E-4</v>
      </c>
      <c r="E1259" s="174">
        <v>45782</v>
      </c>
      <c r="F1259" s="175">
        <v>24461.150390625</v>
      </c>
      <c r="G1259" s="155">
        <f t="shared" si="39"/>
        <v>4.700890697612853E-3</v>
      </c>
    </row>
    <row r="1260" spans="1:7" ht="12.75" customHeight="1" x14ac:dyDescent="0.3">
      <c r="A1260" s="174">
        <v>45783</v>
      </c>
      <c r="B1260" s="155">
        <v>1496.2</v>
      </c>
      <c r="C1260" s="155">
        <f t="shared" si="38"/>
        <v>1.0705205406129643E-3</v>
      </c>
      <c r="E1260" s="174">
        <v>45783</v>
      </c>
      <c r="F1260" s="175">
        <v>24379.599609375</v>
      </c>
      <c r="G1260" s="155">
        <f t="shared" si="39"/>
        <v>-3.3338898599493184E-3</v>
      </c>
    </row>
    <row r="1261" spans="1:7" ht="12.75" customHeight="1" x14ac:dyDescent="0.3">
      <c r="A1261" s="174">
        <v>45784</v>
      </c>
      <c r="B1261" s="155">
        <v>1495.2</v>
      </c>
      <c r="C1261" s="155">
        <f t="shared" si="38"/>
        <v>-6.6835984494051598E-4</v>
      </c>
      <c r="E1261" s="174">
        <v>45784</v>
      </c>
      <c r="F1261" s="175">
        <v>24414.400390625</v>
      </c>
      <c r="G1261" s="155">
        <f t="shared" si="39"/>
        <v>1.4274549954716078E-3</v>
      </c>
    </row>
    <row r="1262" spans="1:7" ht="12.75" customHeight="1" x14ac:dyDescent="0.3">
      <c r="A1262" s="174">
        <v>45785</v>
      </c>
      <c r="B1262" s="155">
        <v>1502.8</v>
      </c>
      <c r="C1262" s="155">
        <f t="shared" si="38"/>
        <v>5.0829320492241231E-3</v>
      </c>
      <c r="E1262" s="174">
        <v>45785</v>
      </c>
      <c r="F1262" s="175">
        <v>24273.80078125</v>
      </c>
      <c r="G1262" s="155">
        <f t="shared" si="39"/>
        <v>-5.7588802970966885E-3</v>
      </c>
    </row>
    <row r="1263" spans="1:7" ht="12.75" customHeight="1" x14ac:dyDescent="0.3">
      <c r="A1263" s="174">
        <v>45786</v>
      </c>
      <c r="B1263" s="155">
        <v>1493.7</v>
      </c>
      <c r="C1263" s="155">
        <f t="shared" si="38"/>
        <v>-6.0553633217992472E-3</v>
      </c>
      <c r="E1263" s="174">
        <v>45786</v>
      </c>
      <c r="F1263" s="175">
        <v>24008</v>
      </c>
      <c r="G1263" s="155">
        <f t="shared" si="39"/>
        <v>-1.0950109694206379E-2</v>
      </c>
    </row>
    <row r="1264" spans="1:7" ht="12.75" customHeight="1" x14ac:dyDescent="0.3">
      <c r="A1264" s="174">
        <v>45789</v>
      </c>
      <c r="B1264" s="155">
        <v>1573.1</v>
      </c>
      <c r="C1264" s="155">
        <f t="shared" si="38"/>
        <v>5.3156591015598754E-2</v>
      </c>
      <c r="E1264" s="174">
        <v>45789</v>
      </c>
      <c r="F1264" s="175">
        <v>24924.69921875</v>
      </c>
      <c r="G1264" s="155">
        <f t="shared" si="39"/>
        <v>3.8183073090219927E-2</v>
      </c>
    </row>
    <row r="1265" spans="1:7" ht="12.75" customHeight="1" x14ac:dyDescent="0.3">
      <c r="A1265" s="174">
        <v>45790</v>
      </c>
      <c r="B1265" s="155">
        <v>1572.5</v>
      </c>
      <c r="C1265" s="155">
        <f t="shared" si="38"/>
        <v>-3.8141249761611409E-4</v>
      </c>
      <c r="E1265" s="174">
        <v>45790</v>
      </c>
      <c r="F1265" s="175">
        <v>24578.349609375</v>
      </c>
      <c r="G1265" s="155">
        <f t="shared" si="39"/>
        <v>-1.389583907654352E-2</v>
      </c>
    </row>
    <row r="1266" spans="1:7" ht="12.75" customHeight="1" x14ac:dyDescent="0.3">
      <c r="A1266" s="174">
        <v>45791</v>
      </c>
      <c r="B1266" s="155">
        <v>1603.2</v>
      </c>
      <c r="C1266" s="155">
        <f t="shared" si="38"/>
        <v>1.9523052464228963E-2</v>
      </c>
      <c r="E1266" s="174">
        <v>45791</v>
      </c>
      <c r="F1266" s="175">
        <v>24666.900390625</v>
      </c>
      <c r="G1266" s="155">
        <f t="shared" si="39"/>
        <v>3.6027960647212775E-3</v>
      </c>
    </row>
    <row r="1267" spans="1:7" ht="12.75" customHeight="1" x14ac:dyDescent="0.3">
      <c r="A1267" s="174">
        <v>45792</v>
      </c>
      <c r="B1267" s="155">
        <v>1629.1</v>
      </c>
      <c r="C1267" s="155">
        <f t="shared" si="38"/>
        <v>1.6155189620758396E-2</v>
      </c>
      <c r="E1267" s="174">
        <v>45792</v>
      </c>
      <c r="F1267" s="175">
        <v>25062.099609375</v>
      </c>
      <c r="G1267" s="155">
        <f t="shared" si="39"/>
        <v>1.6021438141461865E-2</v>
      </c>
    </row>
    <row r="1268" spans="1:7" ht="12.75" customHeight="1" x14ac:dyDescent="0.3">
      <c r="A1268" s="174">
        <v>45793</v>
      </c>
      <c r="B1268" s="155">
        <v>1617</v>
      </c>
      <c r="C1268" s="155">
        <f t="shared" si="38"/>
        <v>-7.4274139095205386E-3</v>
      </c>
      <c r="E1268" s="174">
        <v>45793</v>
      </c>
      <c r="F1268" s="175">
        <v>25019.80078125</v>
      </c>
      <c r="G1268" s="155">
        <f t="shared" si="39"/>
        <v>-1.6877607536591724E-3</v>
      </c>
    </row>
    <row r="1269" spans="1:7" ht="12.75" customHeight="1" x14ac:dyDescent="0.3">
      <c r="A1269" s="174">
        <v>45796</v>
      </c>
      <c r="B1269" s="155">
        <v>1597.8</v>
      </c>
      <c r="C1269" s="155">
        <f t="shared" si="38"/>
        <v>-1.1873840445269046E-2</v>
      </c>
      <c r="E1269" s="174">
        <v>45796</v>
      </c>
      <c r="F1269" s="175">
        <v>24945.44921875</v>
      </c>
      <c r="G1269" s="155">
        <f t="shared" si="39"/>
        <v>-2.9717088137536066E-3</v>
      </c>
    </row>
    <row r="1270" spans="1:7" ht="12.75" customHeight="1" x14ac:dyDescent="0.3">
      <c r="A1270" s="174">
        <v>45797</v>
      </c>
      <c r="B1270" s="155">
        <v>1576</v>
      </c>
      <c r="C1270" s="155">
        <f t="shared" si="38"/>
        <v>-1.3643760170234043E-2</v>
      </c>
      <c r="E1270" s="174">
        <v>45797</v>
      </c>
      <c r="F1270" s="175">
        <v>24683.900390625</v>
      </c>
      <c r="G1270" s="155">
        <f t="shared" si="39"/>
        <v>-1.0484831354666864E-2</v>
      </c>
    </row>
    <row r="1271" spans="1:7" ht="12.75" customHeight="1" x14ac:dyDescent="0.3">
      <c r="A1271" s="174">
        <v>45798</v>
      </c>
      <c r="B1271" s="155">
        <v>1598.2</v>
      </c>
      <c r="C1271" s="155">
        <f t="shared" si="38"/>
        <v>1.4086294416243683E-2</v>
      </c>
      <c r="E1271" s="174">
        <v>45798</v>
      </c>
      <c r="F1271" s="175">
        <v>24813.44921875</v>
      </c>
      <c r="G1271" s="155">
        <f t="shared" si="39"/>
        <v>5.2483127088862724E-3</v>
      </c>
    </row>
    <row r="1272" spans="1:7" ht="12.75" customHeight="1" x14ac:dyDescent="0.3">
      <c r="A1272" s="174">
        <v>45799</v>
      </c>
      <c r="B1272" s="155">
        <v>1565.6</v>
      </c>
      <c r="C1272" s="155">
        <f t="shared" si="38"/>
        <v>-2.0397947691152631E-2</v>
      </c>
      <c r="E1272" s="174">
        <v>45799</v>
      </c>
      <c r="F1272" s="175">
        <v>24609.69921875</v>
      </c>
      <c r="G1272" s="155">
        <f t="shared" si="39"/>
        <v>-8.2112727740421762E-3</v>
      </c>
    </row>
    <row r="1273" spans="1:7" ht="12.75" customHeight="1" x14ac:dyDescent="0.3">
      <c r="A1273" s="174">
        <v>45800</v>
      </c>
      <c r="B1273" s="155">
        <v>1580.3</v>
      </c>
      <c r="C1273" s="155">
        <f t="shared" si="38"/>
        <v>9.3893714869698816E-3</v>
      </c>
      <c r="E1273" s="174">
        <v>45800</v>
      </c>
      <c r="F1273" s="175">
        <v>24853.150390625</v>
      </c>
      <c r="G1273" s="155">
        <f t="shared" si="39"/>
        <v>9.8924887180057795E-3</v>
      </c>
    </row>
    <row r="1274" spans="1:7" ht="12.75" customHeight="1" x14ac:dyDescent="0.3">
      <c r="A1274" s="174">
        <v>45803</v>
      </c>
      <c r="B1274" s="155">
        <v>1601.4</v>
      </c>
      <c r="C1274" s="155">
        <f t="shared" si="38"/>
        <v>1.3351895209770384E-2</v>
      </c>
      <c r="E1274" s="174">
        <v>45803</v>
      </c>
      <c r="F1274" s="175">
        <v>25001.150390625</v>
      </c>
      <c r="G1274" s="155">
        <f t="shared" si="39"/>
        <v>5.9549794562796321E-3</v>
      </c>
    </row>
    <row r="1275" spans="1:7" ht="12.75" customHeight="1" x14ac:dyDescent="0.3">
      <c r="A1275" s="174">
        <v>45804</v>
      </c>
      <c r="B1275" s="155">
        <v>1592.4</v>
      </c>
      <c r="C1275" s="155">
        <f t="shared" si="38"/>
        <v>-5.6200824278756084E-3</v>
      </c>
      <c r="E1275" s="174">
        <v>45804</v>
      </c>
      <c r="F1275" s="175">
        <v>24826.19921875</v>
      </c>
      <c r="G1275" s="155">
        <f t="shared" si="39"/>
        <v>-6.9977248703165145E-3</v>
      </c>
    </row>
    <row r="1276" spans="1:7" ht="12.75" customHeight="1" x14ac:dyDescent="0.3">
      <c r="A1276" s="174">
        <v>45805</v>
      </c>
      <c r="B1276" s="155">
        <v>1580.3</v>
      </c>
      <c r="C1276" s="155">
        <f t="shared" si="38"/>
        <v>-7.5985933182618282E-3</v>
      </c>
      <c r="E1276" s="174">
        <v>45805</v>
      </c>
      <c r="F1276" s="175">
        <v>24752.44921875</v>
      </c>
      <c r="G1276" s="155">
        <f t="shared" si="39"/>
        <v>-2.9706520659956788E-3</v>
      </c>
    </row>
    <row r="1277" spans="1:7" ht="12.75" customHeight="1" x14ac:dyDescent="0.3">
      <c r="A1277" s="174">
        <v>45806</v>
      </c>
      <c r="B1277" s="155">
        <v>1600</v>
      </c>
      <c r="C1277" s="155">
        <f t="shared" si="38"/>
        <v>1.2465987470733434E-2</v>
      </c>
      <c r="E1277" s="174">
        <v>45806</v>
      </c>
      <c r="F1277" s="175">
        <v>24833.599609375</v>
      </c>
      <c r="G1277" s="155">
        <f t="shared" si="39"/>
        <v>3.2784792287758142E-3</v>
      </c>
    </row>
    <row r="1278" spans="1:7" ht="12.75" customHeight="1" x14ac:dyDescent="0.3">
      <c r="A1278" s="174">
        <v>45807</v>
      </c>
      <c r="B1278" s="155">
        <v>1573.9</v>
      </c>
      <c r="C1278" s="155">
        <f t="shared" si="38"/>
        <v>-1.6312499999999942E-2</v>
      </c>
      <c r="E1278" s="174">
        <v>45807</v>
      </c>
      <c r="F1278" s="175">
        <v>24750.69921875</v>
      </c>
      <c r="G1278" s="155">
        <f t="shared" si="39"/>
        <v>-3.3382349691143463E-3</v>
      </c>
    </row>
    <row r="1279" spans="1:7" ht="12.75" customHeight="1" x14ac:dyDescent="0.3">
      <c r="A1279" s="174">
        <v>45810</v>
      </c>
      <c r="B1279" s="155">
        <v>1549.1</v>
      </c>
      <c r="C1279" s="155">
        <f t="shared" si="38"/>
        <v>-1.5757036660524925E-2</v>
      </c>
      <c r="E1279" s="174">
        <v>45810</v>
      </c>
      <c r="F1279" s="175">
        <v>24716.599609375</v>
      </c>
      <c r="G1279" s="155">
        <f t="shared" si="39"/>
        <v>-1.3777230725331466E-3</v>
      </c>
    </row>
    <row r="1280" spans="1:7" ht="12.75" customHeight="1" x14ac:dyDescent="0.3">
      <c r="A1280" s="174">
        <v>45811</v>
      </c>
      <c r="B1280" s="155">
        <v>1543.8</v>
      </c>
      <c r="C1280" s="155">
        <f t="shared" si="38"/>
        <v>-3.4213414240526468E-3</v>
      </c>
      <c r="E1280" s="174">
        <v>45811</v>
      </c>
      <c r="F1280" s="175">
        <v>24542.5</v>
      </c>
      <c r="G1280" s="155">
        <f t="shared" si="39"/>
        <v>-7.0438333802585072E-3</v>
      </c>
    </row>
    <row r="1281" spans="1:7" ht="12.75" customHeight="1" x14ac:dyDescent="0.3">
      <c r="A1281" s="174">
        <v>45812</v>
      </c>
      <c r="B1281" s="155">
        <v>1556.7</v>
      </c>
      <c r="C1281" s="155">
        <f t="shared" si="38"/>
        <v>8.3560046638166165E-3</v>
      </c>
      <c r="E1281" s="174">
        <v>45812</v>
      </c>
      <c r="F1281" s="175">
        <v>24620.19921875</v>
      </c>
      <c r="G1281" s="155">
        <f t="shared" si="39"/>
        <v>3.1659048079861465E-3</v>
      </c>
    </row>
    <row r="1282" spans="1:7" ht="12.75" customHeight="1" x14ac:dyDescent="0.3">
      <c r="A1282" s="174">
        <v>45813</v>
      </c>
      <c r="B1282" s="155">
        <v>1562.8</v>
      </c>
      <c r="C1282" s="155">
        <f t="shared" si="38"/>
        <v>3.9185456414208963E-3</v>
      </c>
      <c r="E1282" s="174">
        <v>45813</v>
      </c>
      <c r="F1282" s="175">
        <v>24750.900390625</v>
      </c>
      <c r="G1282" s="155">
        <f t="shared" si="39"/>
        <v>5.3086967621066988E-3</v>
      </c>
    </row>
    <row r="1283" spans="1:7" ht="12.75" customHeight="1" x14ac:dyDescent="0.3">
      <c r="A1283" s="174">
        <v>45814</v>
      </c>
      <c r="B1283" s="155">
        <v>1571.1</v>
      </c>
      <c r="C1283" s="155">
        <f t="shared" si="38"/>
        <v>5.3109802917839484E-3</v>
      </c>
      <c r="E1283" s="174">
        <v>45814</v>
      </c>
      <c r="F1283" s="175">
        <v>25003.05078125</v>
      </c>
      <c r="G1283" s="155">
        <f t="shared" si="39"/>
        <v>1.0187523954502602E-2</v>
      </c>
    </row>
    <row r="1284" spans="1:7" ht="12.75" customHeight="1" x14ac:dyDescent="0.3">
      <c r="A1284" s="174">
        <v>45817</v>
      </c>
      <c r="B1284" s="155">
        <v>1579.1</v>
      </c>
      <c r="C1284" s="155">
        <f t="shared" ref="C1284:C1347" si="40">(B1284-B1283)/B1283</f>
        <v>5.0919737763350523E-3</v>
      </c>
      <c r="E1284" s="174">
        <v>45817</v>
      </c>
      <c r="F1284" s="175">
        <v>25103.19921875</v>
      </c>
      <c r="G1284" s="155">
        <f t="shared" ref="G1284:G1347" si="41">(F1284-F1283)/F1283</f>
        <v>4.0054487100870968E-3</v>
      </c>
    </row>
    <row r="1285" spans="1:7" ht="12.75" customHeight="1" x14ac:dyDescent="0.3">
      <c r="A1285" s="174">
        <v>45818</v>
      </c>
      <c r="B1285" s="155">
        <v>1610.9</v>
      </c>
      <c r="C1285" s="155">
        <f t="shared" si="40"/>
        <v>2.0138053321512372E-2</v>
      </c>
      <c r="E1285" s="174">
        <v>45818</v>
      </c>
      <c r="F1285" s="175">
        <v>25104.25</v>
      </c>
      <c r="G1285" s="155">
        <f t="shared" si="41"/>
        <v>4.185845958690213E-5</v>
      </c>
    </row>
    <row r="1286" spans="1:7" ht="12.75" customHeight="1" x14ac:dyDescent="0.3">
      <c r="A1286" s="174">
        <v>45819</v>
      </c>
      <c r="B1286" s="155">
        <v>1637.5</v>
      </c>
      <c r="C1286" s="155">
        <f t="shared" si="40"/>
        <v>1.6512508535601159E-2</v>
      </c>
      <c r="E1286" s="174">
        <v>45819</v>
      </c>
      <c r="F1286" s="175">
        <v>25141.400390625</v>
      </c>
      <c r="G1286" s="155">
        <f t="shared" si="41"/>
        <v>1.4798446727147794E-3</v>
      </c>
    </row>
    <row r="1287" spans="1:7" ht="12.75" customHeight="1" x14ac:dyDescent="0.3">
      <c r="A1287" s="174">
        <v>45820</v>
      </c>
      <c r="B1287" s="155">
        <v>1644.4</v>
      </c>
      <c r="C1287" s="155">
        <f t="shared" si="40"/>
        <v>4.2137404580153224E-3</v>
      </c>
      <c r="E1287" s="174">
        <v>45820</v>
      </c>
      <c r="F1287" s="175">
        <v>24888.19921875</v>
      </c>
      <c r="G1287" s="155">
        <f t="shared" si="41"/>
        <v>-1.0071084662786582E-2</v>
      </c>
    </row>
    <row r="1288" spans="1:7" ht="12.75" customHeight="1" x14ac:dyDescent="0.3">
      <c r="A1288" s="174">
        <v>45821</v>
      </c>
      <c r="B1288" s="155">
        <v>1659</v>
      </c>
      <c r="C1288" s="155">
        <f t="shared" si="40"/>
        <v>8.8786183410361885E-3</v>
      </c>
      <c r="E1288" s="174">
        <v>45821</v>
      </c>
      <c r="F1288" s="175">
        <v>24718.599609375</v>
      </c>
      <c r="G1288" s="155">
        <f t="shared" si="41"/>
        <v>-6.814458847919736E-3</v>
      </c>
    </row>
    <row r="1289" spans="1:7" ht="12.75" customHeight="1" x14ac:dyDescent="0.3">
      <c r="A1289" s="174">
        <v>45824</v>
      </c>
      <c r="B1289" s="155">
        <v>1693.9</v>
      </c>
      <c r="C1289" s="155">
        <f t="shared" si="40"/>
        <v>2.1036769138035014E-2</v>
      </c>
      <c r="E1289" s="174">
        <v>45824</v>
      </c>
      <c r="F1289" s="175">
        <v>24946.5</v>
      </c>
      <c r="G1289" s="155">
        <f t="shared" si="41"/>
        <v>9.2197937677086055E-3</v>
      </c>
    </row>
    <row r="1290" spans="1:7" ht="12.75" customHeight="1" x14ac:dyDescent="0.3">
      <c r="A1290" s="174">
        <v>45825</v>
      </c>
      <c r="B1290" s="155">
        <v>1718.6</v>
      </c>
      <c r="C1290" s="155">
        <f t="shared" si="40"/>
        <v>1.4581734458940798E-2</v>
      </c>
      <c r="E1290" s="174">
        <v>45825</v>
      </c>
      <c r="F1290" s="175">
        <v>24853.400390625</v>
      </c>
      <c r="G1290" s="155">
        <f t="shared" si="41"/>
        <v>-3.7319707924959415E-3</v>
      </c>
    </row>
    <row r="1291" spans="1:7" ht="12.75" customHeight="1" x14ac:dyDescent="0.3">
      <c r="A1291" s="174">
        <v>45826</v>
      </c>
      <c r="B1291" s="155">
        <v>1710.7</v>
      </c>
      <c r="C1291" s="155">
        <f t="shared" si="40"/>
        <v>-4.5967648085650323E-3</v>
      </c>
      <c r="E1291" s="174">
        <v>45826</v>
      </c>
      <c r="F1291" s="175">
        <v>24812.05078125</v>
      </c>
      <c r="G1291" s="155">
        <f t="shared" si="41"/>
        <v>-1.6637405234334682E-3</v>
      </c>
    </row>
    <row r="1292" spans="1:7" ht="12.75" customHeight="1" x14ac:dyDescent="0.3">
      <c r="A1292" s="174">
        <v>45827</v>
      </c>
      <c r="B1292" s="155">
        <v>1684</v>
      </c>
      <c r="C1292" s="155">
        <f t="shared" si="40"/>
        <v>-1.5607645992868442E-2</v>
      </c>
      <c r="E1292" s="174">
        <v>45827</v>
      </c>
      <c r="F1292" s="175">
        <v>24793.25</v>
      </c>
      <c r="G1292" s="155">
        <f t="shared" si="41"/>
        <v>-7.5772782410260889E-4</v>
      </c>
    </row>
    <row r="1293" spans="1:7" ht="12.75" customHeight="1" x14ac:dyDescent="0.3">
      <c r="A1293" s="174">
        <v>45828</v>
      </c>
      <c r="B1293" s="155">
        <v>1696.1</v>
      </c>
      <c r="C1293" s="155">
        <f t="shared" si="40"/>
        <v>7.1852731591448395E-3</v>
      </c>
      <c r="E1293" s="174">
        <v>45828</v>
      </c>
      <c r="F1293" s="175">
        <v>25112.400390625</v>
      </c>
      <c r="G1293" s="155">
        <f t="shared" si="41"/>
        <v>1.2872470959837859E-2</v>
      </c>
    </row>
    <row r="1294" spans="1:7" ht="12.75" customHeight="1" x14ac:dyDescent="0.3">
      <c r="A1294" s="174">
        <v>45831</v>
      </c>
      <c r="B1294" s="155">
        <v>1681.8</v>
      </c>
      <c r="C1294" s="155">
        <f t="shared" si="40"/>
        <v>-8.4311066564471179E-3</v>
      </c>
      <c r="E1294" s="174">
        <v>45831</v>
      </c>
      <c r="F1294" s="175">
        <v>24971.900390625</v>
      </c>
      <c r="G1294" s="155">
        <f t="shared" si="41"/>
        <v>-5.5948454872697742E-3</v>
      </c>
    </row>
    <row r="1295" spans="1:7" ht="12.75" customHeight="1" x14ac:dyDescent="0.3">
      <c r="A1295" s="174">
        <v>45832</v>
      </c>
      <c r="B1295" s="155">
        <v>1677.1</v>
      </c>
      <c r="C1295" s="155">
        <f t="shared" si="40"/>
        <v>-2.7946248067546946E-3</v>
      </c>
      <c r="E1295" s="174">
        <v>45832</v>
      </c>
      <c r="F1295" s="175">
        <v>25044.349609375</v>
      </c>
      <c r="G1295" s="155">
        <f t="shared" si="41"/>
        <v>2.9012296868362901E-3</v>
      </c>
    </row>
    <row r="1296" spans="1:7" ht="12.75" customHeight="1" x14ac:dyDescent="0.3">
      <c r="A1296" s="174">
        <v>45833</v>
      </c>
      <c r="B1296" s="155">
        <v>1705</v>
      </c>
      <c r="C1296" s="155">
        <f t="shared" si="40"/>
        <v>1.6635859519408557E-2</v>
      </c>
      <c r="E1296" s="174">
        <v>45833</v>
      </c>
      <c r="F1296" s="175">
        <v>25244.75</v>
      </c>
      <c r="G1296" s="155">
        <f t="shared" si="41"/>
        <v>8.0018205204252114E-3</v>
      </c>
    </row>
    <row r="1297" spans="1:7" ht="12.75" customHeight="1" x14ac:dyDescent="0.3">
      <c r="A1297" s="174">
        <v>45834</v>
      </c>
      <c r="B1297" s="155">
        <v>1690.2</v>
      </c>
      <c r="C1297" s="155">
        <f t="shared" si="40"/>
        <v>-8.6803519061583317E-3</v>
      </c>
      <c r="E1297" s="174">
        <v>45834</v>
      </c>
      <c r="F1297" s="175">
        <v>25549</v>
      </c>
      <c r="G1297" s="155">
        <f t="shared" si="41"/>
        <v>1.205201081412967E-2</v>
      </c>
    </row>
    <row r="1298" spans="1:7" ht="12.75" customHeight="1" x14ac:dyDescent="0.3">
      <c r="A1298" s="174">
        <v>45835</v>
      </c>
      <c r="B1298" s="155">
        <v>1674.4</v>
      </c>
      <c r="C1298" s="155">
        <f t="shared" si="40"/>
        <v>-9.3480061531179479E-3</v>
      </c>
      <c r="E1298" s="174">
        <v>45835</v>
      </c>
      <c r="F1298" s="175">
        <v>25637.80078125</v>
      </c>
      <c r="G1298" s="155">
        <f t="shared" si="41"/>
        <v>3.4757047731809464E-3</v>
      </c>
    </row>
    <row r="1299" spans="1:7" ht="12.75" customHeight="1" x14ac:dyDescent="0.3">
      <c r="A1299" s="174">
        <v>45838</v>
      </c>
      <c r="B1299" s="155">
        <v>1687</v>
      </c>
      <c r="C1299" s="155">
        <f t="shared" si="40"/>
        <v>7.5250836120400793E-3</v>
      </c>
      <c r="E1299" s="174">
        <v>45838</v>
      </c>
      <c r="F1299" s="175">
        <v>25517.05078125</v>
      </c>
      <c r="G1299" s="155">
        <f t="shared" si="41"/>
        <v>-4.7098423546652075E-3</v>
      </c>
    </row>
    <row r="1300" spans="1:7" ht="12.75" customHeight="1" x14ac:dyDescent="0.3">
      <c r="A1300" s="174">
        <v>45839</v>
      </c>
      <c r="B1300" s="155">
        <v>1671.2</v>
      </c>
      <c r="C1300" s="155">
        <f t="shared" si="40"/>
        <v>-9.3657379964433643E-3</v>
      </c>
      <c r="E1300" s="174">
        <v>45839</v>
      </c>
      <c r="F1300" s="175">
        <v>25541.80078125</v>
      </c>
      <c r="G1300" s="155">
        <f t="shared" si="41"/>
        <v>9.6993967728380148E-4</v>
      </c>
    </row>
    <row r="1301" spans="1:7" ht="12.75" customHeight="1" x14ac:dyDescent="0.3">
      <c r="A1301" s="174">
        <v>45840</v>
      </c>
      <c r="B1301" s="155">
        <v>1677.1</v>
      </c>
      <c r="C1301" s="155">
        <f t="shared" si="40"/>
        <v>3.5303973192914455E-3</v>
      </c>
      <c r="E1301" s="174">
        <v>45840</v>
      </c>
      <c r="F1301" s="175">
        <v>25453.400390625</v>
      </c>
      <c r="G1301" s="155">
        <f t="shared" si="41"/>
        <v>-3.4610085397695964E-3</v>
      </c>
    </row>
    <row r="1302" spans="1:7" ht="12.75" customHeight="1" x14ac:dyDescent="0.3">
      <c r="A1302" s="174">
        <v>45841</v>
      </c>
      <c r="B1302" s="155">
        <v>1671.9</v>
      </c>
      <c r="C1302" s="155">
        <f t="shared" si="40"/>
        <v>-3.1005903046925159E-3</v>
      </c>
      <c r="E1302" s="174">
        <v>45841</v>
      </c>
      <c r="F1302" s="175">
        <v>25405.30078125</v>
      </c>
      <c r="G1302" s="155">
        <f t="shared" si="41"/>
        <v>-1.8897125192245848E-3</v>
      </c>
    </row>
    <row r="1303" spans="1:7" ht="12.75" customHeight="1" x14ac:dyDescent="0.3">
      <c r="A1303" s="174">
        <v>45842</v>
      </c>
      <c r="B1303" s="155">
        <v>1655.2</v>
      </c>
      <c r="C1303" s="155">
        <f t="shared" si="40"/>
        <v>-9.9886356839524165E-3</v>
      </c>
      <c r="E1303" s="174">
        <v>45842</v>
      </c>
      <c r="F1303" s="175">
        <v>25461</v>
      </c>
      <c r="G1303" s="155">
        <f t="shared" si="41"/>
        <v>2.1924250859926041E-3</v>
      </c>
    </row>
    <row r="1304" spans="1:7" ht="12.75" customHeight="1" x14ac:dyDescent="0.3">
      <c r="A1304" s="174">
        <v>45845</v>
      </c>
      <c r="B1304" s="155">
        <v>1623.9</v>
      </c>
      <c r="C1304" s="155">
        <f t="shared" si="40"/>
        <v>-1.8910101498308334E-2</v>
      </c>
      <c r="E1304" s="174">
        <v>45845</v>
      </c>
      <c r="F1304" s="175">
        <v>25461.30078125</v>
      </c>
      <c r="G1304" s="155">
        <f t="shared" si="41"/>
        <v>1.1813410706570834E-5</v>
      </c>
    </row>
    <row r="1305" spans="1:7" ht="12.75" customHeight="1" x14ac:dyDescent="0.3">
      <c r="A1305" s="174">
        <v>45846</v>
      </c>
      <c r="B1305" s="155">
        <v>1635.4</v>
      </c>
      <c r="C1305" s="155">
        <f t="shared" si="40"/>
        <v>7.081716854486113E-3</v>
      </c>
      <c r="E1305" s="174">
        <v>45846</v>
      </c>
      <c r="F1305" s="175">
        <v>25522.5</v>
      </c>
      <c r="G1305" s="155">
        <f t="shared" si="41"/>
        <v>2.4036171315751404E-3</v>
      </c>
    </row>
    <row r="1306" spans="1:7" ht="12.75" customHeight="1" x14ac:dyDescent="0.3">
      <c r="A1306" s="174">
        <v>45847</v>
      </c>
      <c r="B1306" s="155">
        <v>1614.8</v>
      </c>
      <c r="C1306" s="155">
        <f t="shared" si="40"/>
        <v>-1.2596306713953856E-2</v>
      </c>
      <c r="E1306" s="174">
        <v>45847</v>
      </c>
      <c r="F1306" s="175">
        <v>25476.099609375</v>
      </c>
      <c r="G1306" s="155">
        <f t="shared" si="41"/>
        <v>-1.8180190273288275E-3</v>
      </c>
    </row>
    <row r="1307" spans="1:7" ht="12.75" customHeight="1" x14ac:dyDescent="0.3">
      <c r="A1307" s="174">
        <v>45848</v>
      </c>
      <c r="B1307" s="155">
        <v>1600.1</v>
      </c>
      <c r="C1307" s="155">
        <f t="shared" si="40"/>
        <v>-9.1032945256378783E-3</v>
      </c>
      <c r="E1307" s="174">
        <v>45848</v>
      </c>
      <c r="F1307" s="175">
        <v>25355.25</v>
      </c>
      <c r="G1307" s="155">
        <f t="shared" si="41"/>
        <v>-4.7436464461980792E-3</v>
      </c>
    </row>
    <row r="1308" spans="1:7" ht="12.75" customHeight="1" x14ac:dyDescent="0.3">
      <c r="A1308" s="174">
        <v>45849</v>
      </c>
      <c r="B1308" s="155">
        <v>1602.5</v>
      </c>
      <c r="C1308" s="155">
        <f t="shared" si="40"/>
        <v>1.4999062558590658E-3</v>
      </c>
      <c r="E1308" s="174">
        <v>45849</v>
      </c>
      <c r="F1308" s="175">
        <v>25149.849609375</v>
      </c>
      <c r="G1308" s="155">
        <f t="shared" si="41"/>
        <v>-8.1009018102759789E-3</v>
      </c>
    </row>
    <row r="1309" spans="1:7" ht="12.75" customHeight="1" x14ac:dyDescent="0.3">
      <c r="A1309" s="174">
        <v>45852</v>
      </c>
      <c r="B1309" s="155">
        <v>1576.7</v>
      </c>
      <c r="C1309" s="155">
        <f t="shared" si="40"/>
        <v>-1.6099843993759723E-2</v>
      </c>
      <c r="E1309" s="174">
        <v>45852</v>
      </c>
      <c r="F1309" s="175">
        <v>25082.30078125</v>
      </c>
      <c r="G1309" s="155">
        <f t="shared" si="41"/>
        <v>-2.685854157148523E-3</v>
      </c>
    </row>
    <row r="1310" spans="1:7" ht="12.75" customHeight="1" x14ac:dyDescent="0.3">
      <c r="A1310" s="174">
        <v>45853</v>
      </c>
      <c r="B1310" s="155">
        <v>1579</v>
      </c>
      <c r="C1310" s="155">
        <f t="shared" si="40"/>
        <v>1.458742944123774E-3</v>
      </c>
      <c r="E1310" s="174">
        <v>45853</v>
      </c>
      <c r="F1310" s="175">
        <v>25195.80078125</v>
      </c>
      <c r="G1310" s="155">
        <f t="shared" si="41"/>
        <v>4.5251032187942535E-3</v>
      </c>
    </row>
    <row r="1311" spans="1:7" ht="12.75" customHeight="1" x14ac:dyDescent="0.3">
      <c r="A1311" s="174">
        <v>45854</v>
      </c>
      <c r="B1311" s="155">
        <v>1607.9</v>
      </c>
      <c r="C1311" s="155">
        <f t="shared" si="40"/>
        <v>1.830272324255864E-2</v>
      </c>
      <c r="E1311" s="174">
        <v>45854</v>
      </c>
      <c r="F1311" s="175">
        <v>25212.05078125</v>
      </c>
      <c r="G1311" s="155">
        <f t="shared" si="41"/>
        <v>6.4494874130346306E-4</v>
      </c>
    </row>
    <row r="1312" spans="1:7" ht="12.75" customHeight="1" x14ac:dyDescent="0.3">
      <c r="A1312" s="174">
        <v>45855</v>
      </c>
      <c r="B1312" s="155">
        <v>1563.7</v>
      </c>
      <c r="C1312" s="155">
        <f t="shared" si="40"/>
        <v>-2.748927172087819E-2</v>
      </c>
      <c r="E1312" s="174">
        <v>45855</v>
      </c>
      <c r="F1312" s="175">
        <v>25111.44921875</v>
      </c>
      <c r="G1312" s="155">
        <f t="shared" si="41"/>
        <v>-3.9902173517283477E-3</v>
      </c>
    </row>
    <row r="1313" spans="1:7" ht="12.75" customHeight="1" x14ac:dyDescent="0.3">
      <c r="A1313" s="174">
        <v>45856</v>
      </c>
      <c r="B1313" s="155">
        <v>1548.9</v>
      </c>
      <c r="C1313" s="155">
        <f t="shared" si="40"/>
        <v>-9.4647310865255182E-3</v>
      </c>
      <c r="E1313" s="174">
        <v>45856</v>
      </c>
      <c r="F1313" s="175">
        <v>24968.400390625</v>
      </c>
      <c r="G1313" s="155">
        <f t="shared" si="41"/>
        <v>-5.6965580472428303E-3</v>
      </c>
    </row>
    <row r="1314" spans="1:7" ht="12.75" customHeight="1" x14ac:dyDescent="0.3">
      <c r="A1314" s="174">
        <v>45859</v>
      </c>
      <c r="B1314" s="155">
        <v>1543.8</v>
      </c>
      <c r="C1314" s="155">
        <f t="shared" si="40"/>
        <v>-3.2926593066047753E-3</v>
      </c>
      <c r="E1314" s="174">
        <v>45859</v>
      </c>
      <c r="F1314" s="175">
        <v>25090.69921875</v>
      </c>
      <c r="G1314" s="155">
        <f t="shared" si="41"/>
        <v>4.8981443028653171E-3</v>
      </c>
    </row>
    <row r="1315" spans="1:7" ht="12.75" customHeight="1" x14ac:dyDescent="0.3">
      <c r="A1315" s="174">
        <v>45860</v>
      </c>
      <c r="B1315" s="155">
        <v>1547.2</v>
      </c>
      <c r="C1315" s="155">
        <f t="shared" si="40"/>
        <v>2.2023578183703141E-3</v>
      </c>
      <c r="E1315" s="174">
        <v>45860</v>
      </c>
      <c r="F1315" s="175">
        <v>25060.900390625</v>
      </c>
      <c r="G1315" s="155">
        <f t="shared" si="41"/>
        <v>-1.1876443882732318E-3</v>
      </c>
    </row>
    <row r="1316" spans="1:7" ht="12.75" customHeight="1" x14ac:dyDescent="0.3">
      <c r="A1316" s="174">
        <v>45861</v>
      </c>
      <c r="B1316" s="155">
        <v>1546.6</v>
      </c>
      <c r="C1316" s="155">
        <f t="shared" si="40"/>
        <v>-3.8779731127206336E-4</v>
      </c>
      <c r="E1316" s="174">
        <v>45861</v>
      </c>
      <c r="F1316" s="175">
        <v>25219.900390625</v>
      </c>
      <c r="G1316" s="155">
        <f t="shared" si="41"/>
        <v>6.3445445902446549E-3</v>
      </c>
    </row>
    <row r="1317" spans="1:7" ht="12.75" customHeight="1" x14ac:dyDescent="0.3">
      <c r="A1317" s="174">
        <v>45862</v>
      </c>
      <c r="B1317" s="155">
        <v>1498.6</v>
      </c>
      <c r="C1317" s="155">
        <f t="shared" si="40"/>
        <v>-3.1035820509504722E-2</v>
      </c>
      <c r="E1317" s="174">
        <v>45862</v>
      </c>
      <c r="F1317" s="175">
        <v>25062.099609375</v>
      </c>
      <c r="G1317" s="155">
        <f t="shared" si="41"/>
        <v>-6.2569946274910479E-3</v>
      </c>
    </row>
    <row r="1318" spans="1:7" ht="12.75" customHeight="1" x14ac:dyDescent="0.3">
      <c r="A1318" s="174">
        <v>45863</v>
      </c>
      <c r="B1318" s="155">
        <v>1461.9</v>
      </c>
      <c r="C1318" s="155">
        <f t="shared" si="40"/>
        <v>-2.4489523555318176E-2</v>
      </c>
      <c r="E1318" s="174">
        <v>45863</v>
      </c>
      <c r="F1318" s="175">
        <v>24837</v>
      </c>
      <c r="G1318" s="155">
        <f t="shared" si="41"/>
        <v>-8.9816740370306722E-3</v>
      </c>
    </row>
    <row r="1319" spans="1:7" ht="12.75" customHeight="1" x14ac:dyDescent="0.3">
      <c r="A1319" s="174">
        <v>45866</v>
      </c>
      <c r="B1319" s="155">
        <v>1450.6</v>
      </c>
      <c r="C1319" s="155">
        <f t="shared" si="40"/>
        <v>-7.7296668718791857E-3</v>
      </c>
      <c r="E1319" s="174">
        <v>45866</v>
      </c>
      <c r="F1319" s="175">
        <v>24680.900390625</v>
      </c>
      <c r="G1319" s="155">
        <f t="shared" si="41"/>
        <v>-6.2849623293876073E-3</v>
      </c>
    </row>
    <row r="1320" spans="1:7" ht="12.75" customHeight="1" x14ac:dyDescent="0.3">
      <c r="A1320" s="174">
        <v>45867</v>
      </c>
      <c r="B1320" s="155">
        <v>1453.8</v>
      </c>
      <c r="C1320" s="155">
        <f t="shared" si="40"/>
        <v>2.2059837308700163E-3</v>
      </c>
      <c r="E1320" s="174">
        <v>45867</v>
      </c>
      <c r="F1320" s="175">
        <v>24821.099609375</v>
      </c>
      <c r="G1320" s="155">
        <f t="shared" si="41"/>
        <v>5.6804742343700898E-3</v>
      </c>
    </row>
    <row r="1321" spans="1:7" ht="12.75" customHeight="1" x14ac:dyDescent="0.3">
      <c r="A1321" s="174">
        <v>45868</v>
      </c>
      <c r="B1321" s="155">
        <v>1463.2</v>
      </c>
      <c r="C1321" s="155">
        <f t="shared" si="40"/>
        <v>6.4658137295364503E-3</v>
      </c>
      <c r="E1321" s="174">
        <v>45868</v>
      </c>
      <c r="F1321" s="175">
        <v>24855.05078125</v>
      </c>
      <c r="G1321" s="155">
        <f t="shared" si="41"/>
        <v>1.3678351245235141E-3</v>
      </c>
    </row>
    <row r="1322" spans="1:7" ht="12.75" customHeight="1" x14ac:dyDescent="0.3">
      <c r="A1322" s="174">
        <v>45869</v>
      </c>
      <c r="B1322" s="155">
        <v>1463.7</v>
      </c>
      <c r="C1322" s="155">
        <f t="shared" si="40"/>
        <v>3.4171678512848549E-4</v>
      </c>
      <c r="E1322" s="174">
        <v>45869</v>
      </c>
      <c r="F1322" s="175">
        <v>24768.349609375</v>
      </c>
      <c r="G1322" s="155">
        <f t="shared" si="41"/>
        <v>-3.4882717656889721E-3</v>
      </c>
    </row>
    <row r="1323" spans="1:7" ht="12.75" customHeight="1" x14ac:dyDescent="0.3">
      <c r="A1323" s="174">
        <v>45870</v>
      </c>
      <c r="B1323" s="155">
        <v>1438.8</v>
      </c>
      <c r="C1323" s="155">
        <f t="shared" si="40"/>
        <v>-1.7011682721869297E-2</v>
      </c>
      <c r="E1323" s="174">
        <v>45870</v>
      </c>
      <c r="F1323" s="175">
        <v>24565.349609375</v>
      </c>
      <c r="G1323" s="155">
        <f t="shared" si="41"/>
        <v>-8.1959437427822409E-3</v>
      </c>
    </row>
    <row r="1324" spans="1:7" ht="12.75" customHeight="1" x14ac:dyDescent="0.3">
      <c r="A1324" s="174">
        <v>45873</v>
      </c>
      <c r="B1324" s="155">
        <v>1475</v>
      </c>
      <c r="C1324" s="155">
        <f t="shared" si="40"/>
        <v>2.5159855435084824E-2</v>
      </c>
      <c r="E1324" s="174">
        <v>45873</v>
      </c>
      <c r="F1324" s="175">
        <v>24722.75</v>
      </c>
      <c r="G1324" s="155">
        <f t="shared" si="41"/>
        <v>6.4074150430544043E-3</v>
      </c>
    </row>
    <row r="1325" spans="1:7" ht="12.75" customHeight="1" x14ac:dyDescent="0.3">
      <c r="A1325" s="174">
        <v>45874</v>
      </c>
      <c r="B1325" s="155">
        <v>1485.4</v>
      </c>
      <c r="C1325" s="155">
        <f t="shared" si="40"/>
        <v>7.0508474576271799E-3</v>
      </c>
      <c r="E1325" s="174">
        <v>45874</v>
      </c>
      <c r="F1325" s="175">
        <v>24649.55078125</v>
      </c>
      <c r="G1325" s="155">
        <f t="shared" si="41"/>
        <v>-2.9608040671041855E-3</v>
      </c>
    </row>
    <row r="1326" spans="1:7" ht="12.75" customHeight="1" x14ac:dyDescent="0.3">
      <c r="A1326" s="174">
        <v>45875</v>
      </c>
      <c r="B1326" s="155">
        <v>1459</v>
      </c>
      <c r="C1326" s="155">
        <f t="shared" si="40"/>
        <v>-1.7772990440285505E-2</v>
      </c>
      <c r="E1326" s="174">
        <v>45875</v>
      </c>
      <c r="F1326" s="175">
        <v>24574.19921875</v>
      </c>
      <c r="G1326" s="155">
        <f t="shared" si="41"/>
        <v>-3.0569142281212337E-3</v>
      </c>
    </row>
    <row r="1327" spans="1:7" ht="12.75" customHeight="1" x14ac:dyDescent="0.3">
      <c r="A1327" s="174">
        <v>45876</v>
      </c>
      <c r="B1327" s="155">
        <v>1482</v>
      </c>
      <c r="C1327" s="155">
        <f t="shared" si="40"/>
        <v>1.5764222069910898E-2</v>
      </c>
      <c r="E1327" s="174">
        <v>45876</v>
      </c>
      <c r="F1327" s="175">
        <v>24596.150390625</v>
      </c>
      <c r="G1327" s="155">
        <f t="shared" si="41"/>
        <v>8.9326092295415906E-4</v>
      </c>
    </row>
    <row r="1328" spans="1:7" ht="12.75" customHeight="1" x14ac:dyDescent="0.3">
      <c r="A1328" s="174">
        <v>45877</v>
      </c>
      <c r="B1328" s="155">
        <v>1480.4</v>
      </c>
      <c r="C1328" s="155">
        <f t="shared" si="40"/>
        <v>-1.0796221322536498E-3</v>
      </c>
      <c r="E1328" s="174">
        <v>45877</v>
      </c>
      <c r="F1328" s="175">
        <v>24363.30078125</v>
      </c>
      <c r="G1328" s="155">
        <f t="shared" si="41"/>
        <v>-9.4669127354072569E-3</v>
      </c>
    </row>
    <row r="1329" spans="1:7" ht="12.75" customHeight="1" x14ac:dyDescent="0.3">
      <c r="A1329" s="174">
        <v>45880</v>
      </c>
      <c r="B1329" s="155">
        <v>1481.1</v>
      </c>
      <c r="C1329" s="155">
        <f t="shared" si="40"/>
        <v>4.7284517697907192E-4</v>
      </c>
      <c r="E1329" s="174">
        <v>45880</v>
      </c>
      <c r="F1329" s="175">
        <v>24585.05078125</v>
      </c>
      <c r="G1329" s="155">
        <f t="shared" si="41"/>
        <v>9.1018044718578876E-3</v>
      </c>
    </row>
    <row r="1330" spans="1:7" ht="12.75" customHeight="1" x14ac:dyDescent="0.3">
      <c r="A1330" s="174">
        <v>45881</v>
      </c>
      <c r="B1330" s="155">
        <v>1509.3</v>
      </c>
      <c r="C1330" s="155">
        <f t="shared" si="40"/>
        <v>1.9039902774964586E-2</v>
      </c>
      <c r="E1330" s="174">
        <v>45881</v>
      </c>
      <c r="F1330" s="175">
        <v>24487.400390625</v>
      </c>
      <c r="G1330" s="155">
        <f t="shared" si="41"/>
        <v>-3.9719417907191756E-3</v>
      </c>
    </row>
    <row r="1331" spans="1:7" ht="12.75" customHeight="1" x14ac:dyDescent="0.3">
      <c r="A1331" s="174">
        <v>45882</v>
      </c>
      <c r="B1331" s="155">
        <v>1506.3</v>
      </c>
      <c r="C1331" s="155">
        <f t="shared" si="40"/>
        <v>-1.9876764062810577E-3</v>
      </c>
      <c r="E1331" s="174">
        <v>45882</v>
      </c>
      <c r="F1331" s="175">
        <v>24619.349609375</v>
      </c>
      <c r="G1331" s="155">
        <f t="shared" si="41"/>
        <v>5.3884535167120782E-3</v>
      </c>
    </row>
    <row r="1332" spans="1:7" ht="12.75" customHeight="1" x14ac:dyDescent="0.3">
      <c r="A1332" s="174">
        <v>45883</v>
      </c>
      <c r="B1332" s="155">
        <v>1486.7</v>
      </c>
      <c r="C1332" s="155">
        <f t="shared" si="40"/>
        <v>-1.3012016198632351E-2</v>
      </c>
      <c r="E1332" s="174">
        <v>45883</v>
      </c>
      <c r="F1332" s="175">
        <v>24631.30078125</v>
      </c>
      <c r="G1332" s="155">
        <f t="shared" si="41"/>
        <v>4.8543816407111817E-4</v>
      </c>
    </row>
    <row r="1333" spans="1:7" ht="12.75" customHeight="1" x14ac:dyDescent="0.3">
      <c r="A1333" s="174">
        <v>45887</v>
      </c>
      <c r="B1333" s="155">
        <v>1471.2</v>
      </c>
      <c r="C1333" s="155">
        <f t="shared" si="40"/>
        <v>-1.0425775206833927E-2</v>
      </c>
      <c r="E1333" s="174">
        <v>45887</v>
      </c>
      <c r="F1333" s="175">
        <v>24876.94921875</v>
      </c>
      <c r="G1333" s="155">
        <f t="shared" si="41"/>
        <v>9.9730192766349594E-3</v>
      </c>
    </row>
    <row r="1334" spans="1:7" ht="12.75" customHeight="1" x14ac:dyDescent="0.3">
      <c r="A1334" s="174">
        <v>45888</v>
      </c>
      <c r="B1334" s="155">
        <v>1496.7</v>
      </c>
      <c r="C1334" s="155">
        <f t="shared" si="40"/>
        <v>1.7332789559543229E-2</v>
      </c>
      <c r="E1334" s="174">
        <v>45888</v>
      </c>
      <c r="F1334" s="175">
        <v>24980.650390625</v>
      </c>
      <c r="G1334" s="155">
        <f t="shared" si="41"/>
        <v>4.1685646806256856E-3</v>
      </c>
    </row>
    <row r="1335" spans="1:7" ht="12.75" customHeight="1" x14ac:dyDescent="0.3">
      <c r="A1335" s="174">
        <v>45889</v>
      </c>
      <c r="B1335" s="155">
        <v>1524.1</v>
      </c>
      <c r="C1335" s="155">
        <f t="shared" si="40"/>
        <v>1.8306941938932227E-2</v>
      </c>
      <c r="E1335" s="174">
        <v>45889</v>
      </c>
      <c r="F1335" s="175">
        <v>25050.55078125</v>
      </c>
      <c r="G1335" s="155">
        <f t="shared" si="41"/>
        <v>2.7981813736616301E-3</v>
      </c>
    </row>
    <row r="1336" spans="1:7" ht="12.75" customHeight="1" x14ac:dyDescent="0.3">
      <c r="A1336" s="174">
        <v>45890</v>
      </c>
      <c r="B1336" s="155">
        <v>1521.3</v>
      </c>
      <c r="C1336" s="155">
        <f t="shared" si="40"/>
        <v>-1.8371497933206186E-3</v>
      </c>
      <c r="E1336" s="174">
        <v>45890</v>
      </c>
      <c r="F1336" s="175">
        <v>25083.75</v>
      </c>
      <c r="G1336" s="155">
        <f t="shared" si="41"/>
        <v>1.325288974278728E-3</v>
      </c>
    </row>
    <row r="1337" spans="1:7" ht="12.75" customHeight="1" x14ac:dyDescent="0.3">
      <c r="A1337" s="174">
        <v>45891</v>
      </c>
      <c r="B1337" s="155">
        <v>1505</v>
      </c>
      <c r="C1337" s="155">
        <f t="shared" si="40"/>
        <v>-1.0714520475908733E-2</v>
      </c>
      <c r="E1337" s="174">
        <v>45891</v>
      </c>
      <c r="F1337" s="175">
        <v>24870.099609375</v>
      </c>
      <c r="G1337" s="155">
        <f t="shared" si="41"/>
        <v>-8.5174820600986689E-3</v>
      </c>
    </row>
    <row r="1338" spans="1:7" ht="12.75" customHeight="1" x14ac:dyDescent="0.3">
      <c r="A1338" s="174">
        <v>45894</v>
      </c>
      <c r="B1338" s="155">
        <v>1527.1</v>
      </c>
      <c r="C1338" s="155">
        <f t="shared" si="40"/>
        <v>1.4684385382059741E-2</v>
      </c>
      <c r="E1338" s="174">
        <v>45894</v>
      </c>
      <c r="F1338" s="175">
        <v>24967.75</v>
      </c>
      <c r="G1338" s="155">
        <f t="shared" si="41"/>
        <v>3.9264173509055761E-3</v>
      </c>
    </row>
    <row r="1339" spans="1:7" ht="12.75" customHeight="1" x14ac:dyDescent="0.3">
      <c r="A1339" s="174">
        <v>45895</v>
      </c>
      <c r="B1339" s="155">
        <v>1502.2</v>
      </c>
      <c r="C1339" s="155">
        <f t="shared" si="40"/>
        <v>-1.6305415493418809E-2</v>
      </c>
      <c r="E1339" s="174">
        <v>45895</v>
      </c>
      <c r="F1339" s="175">
        <v>24712.05078125</v>
      </c>
      <c r="G1339" s="155">
        <f t="shared" si="41"/>
        <v>-1.0241179872034925E-2</v>
      </c>
    </row>
    <row r="1340" spans="1:7" ht="12.75" customHeight="1" x14ac:dyDescent="0.3">
      <c r="A1340" s="174">
        <v>45897</v>
      </c>
      <c r="B1340" s="155">
        <v>1495.6</v>
      </c>
      <c r="C1340" s="155">
        <f t="shared" si="40"/>
        <v>-4.393556117694139E-3</v>
      </c>
      <c r="E1340" s="174">
        <v>45897</v>
      </c>
      <c r="F1340" s="175">
        <v>24500.900390625</v>
      </c>
      <c r="G1340" s="155">
        <f t="shared" si="41"/>
        <v>-8.5444301039235507E-3</v>
      </c>
    </row>
    <row r="1341" spans="1:7" ht="12.75" customHeight="1" x14ac:dyDescent="0.3">
      <c r="A1341" s="174">
        <v>45898</v>
      </c>
      <c r="B1341" s="155">
        <v>1481.4</v>
      </c>
      <c r="C1341" s="155">
        <f t="shared" si="40"/>
        <v>-9.4945172506016445E-3</v>
      </c>
      <c r="E1341" s="174">
        <v>45898</v>
      </c>
      <c r="F1341" s="175">
        <v>24426.849609375</v>
      </c>
      <c r="G1341" s="155">
        <f t="shared" si="41"/>
        <v>-3.0223697933295024E-3</v>
      </c>
    </row>
    <row r="1342" spans="1:7" ht="12.75" customHeight="1" x14ac:dyDescent="0.3">
      <c r="A1342" s="174">
        <v>45901</v>
      </c>
      <c r="B1342" s="155">
        <v>1505.5</v>
      </c>
      <c r="C1342" s="155">
        <f t="shared" si="40"/>
        <v>1.6268394761711831E-2</v>
      </c>
      <c r="E1342" s="174">
        <v>45901</v>
      </c>
      <c r="F1342" s="175">
        <v>24625.05078125</v>
      </c>
      <c r="G1342" s="155">
        <f t="shared" si="41"/>
        <v>8.1140701746053485E-3</v>
      </c>
    </row>
    <row r="1343" spans="1:7" ht="12.75" customHeight="1" x14ac:dyDescent="0.3">
      <c r="A1343" s="174">
        <v>45902</v>
      </c>
      <c r="B1343" s="155">
        <v>1512.8</v>
      </c>
      <c r="C1343" s="155">
        <f t="shared" si="40"/>
        <v>4.8488874128196314E-3</v>
      </c>
      <c r="E1343" s="174">
        <v>45902</v>
      </c>
      <c r="F1343" s="175">
        <v>24579.599609375</v>
      </c>
      <c r="G1343" s="155">
        <f t="shared" si="41"/>
        <v>-1.8457290617896885E-3</v>
      </c>
    </row>
    <row r="1344" spans="1:7" ht="12.75" customHeight="1" x14ac:dyDescent="0.3">
      <c r="A1344" s="174">
        <v>45903</v>
      </c>
      <c r="B1344" s="155">
        <v>1508.2</v>
      </c>
      <c r="C1344" s="155">
        <f t="shared" si="40"/>
        <v>-3.0407191961924307E-3</v>
      </c>
      <c r="E1344" s="174">
        <v>45903</v>
      </c>
      <c r="F1344" s="175">
        <v>24715.05078125</v>
      </c>
      <c r="G1344" s="155">
        <f t="shared" si="41"/>
        <v>5.5107151470171652E-3</v>
      </c>
    </row>
    <row r="1345" spans="1:7" ht="12.75" customHeight="1" x14ac:dyDescent="0.3">
      <c r="A1345" s="174">
        <v>45904</v>
      </c>
      <c r="B1345" s="155">
        <v>1500.4</v>
      </c>
      <c r="C1345" s="155">
        <f t="shared" si="40"/>
        <v>-5.1717278875480404E-3</v>
      </c>
      <c r="E1345" s="174">
        <v>45904</v>
      </c>
      <c r="F1345" s="175">
        <v>24734.30078125</v>
      </c>
      <c r="G1345" s="155">
        <f t="shared" si="41"/>
        <v>7.7887762280480347E-4</v>
      </c>
    </row>
    <row r="1346" spans="1:7" ht="12.75" customHeight="1" x14ac:dyDescent="0.3">
      <c r="A1346" s="174">
        <v>45905</v>
      </c>
      <c r="B1346" s="155">
        <v>1477.9</v>
      </c>
      <c r="C1346" s="155">
        <f t="shared" si="40"/>
        <v>-1.4996001066382297E-2</v>
      </c>
      <c r="E1346" s="174">
        <v>45905</v>
      </c>
      <c r="F1346" s="175">
        <v>24741</v>
      </c>
      <c r="G1346" s="155">
        <f t="shared" si="41"/>
        <v>2.708473067117542E-4</v>
      </c>
    </row>
    <row r="1347" spans="1:7" ht="12.75" customHeight="1" x14ac:dyDescent="0.3">
      <c r="A1347" s="174">
        <v>45908</v>
      </c>
      <c r="B1347" s="155">
        <v>1460.7</v>
      </c>
      <c r="C1347" s="155">
        <f t="shared" si="40"/>
        <v>-1.1638135191826269E-2</v>
      </c>
      <c r="E1347" s="174">
        <v>45908</v>
      </c>
      <c r="F1347" s="175">
        <v>24773.150390625</v>
      </c>
      <c r="G1347" s="155">
        <f t="shared" si="41"/>
        <v>1.2994782193524919E-3</v>
      </c>
    </row>
    <row r="1348" spans="1:7" ht="12.75" customHeight="1" x14ac:dyDescent="0.3">
      <c r="A1348" s="174">
        <v>45909</v>
      </c>
      <c r="B1348" s="155">
        <v>1498.2</v>
      </c>
      <c r="C1348" s="155">
        <f t="shared" ref="C1348:C1411" si="42">(B1348-B1347)/B1347</f>
        <v>2.5672622715136578E-2</v>
      </c>
      <c r="E1348" s="174">
        <v>45909</v>
      </c>
      <c r="F1348" s="175">
        <v>24868.599609375</v>
      </c>
      <c r="G1348" s="155">
        <f t="shared" ref="G1348:G1411" si="43">(F1348-F1347)/F1347</f>
        <v>3.852930178235273E-3</v>
      </c>
    </row>
    <row r="1349" spans="1:7" ht="12.75" customHeight="1" x14ac:dyDescent="0.3">
      <c r="A1349" s="174">
        <v>45910</v>
      </c>
      <c r="B1349" s="155">
        <v>1526</v>
      </c>
      <c r="C1349" s="155">
        <f t="shared" si="42"/>
        <v>1.8555600053397379E-2</v>
      </c>
      <c r="E1349" s="174">
        <v>45910</v>
      </c>
      <c r="F1349" s="175">
        <v>24973.099609375</v>
      </c>
      <c r="G1349" s="155">
        <f t="shared" si="43"/>
        <v>4.20208623088714E-3</v>
      </c>
    </row>
    <row r="1350" spans="1:7" ht="12.75" customHeight="1" x14ac:dyDescent="0.3">
      <c r="A1350" s="174">
        <v>45911</v>
      </c>
      <c r="B1350" s="155">
        <v>1521.2</v>
      </c>
      <c r="C1350" s="155">
        <f t="shared" si="42"/>
        <v>-3.1454783748361432E-3</v>
      </c>
      <c r="E1350" s="174">
        <v>45911</v>
      </c>
      <c r="F1350" s="175">
        <v>25005.5</v>
      </c>
      <c r="G1350" s="155">
        <f t="shared" si="43"/>
        <v>1.2974116602184522E-3</v>
      </c>
    </row>
    <row r="1351" spans="1:7" ht="12.75" customHeight="1" x14ac:dyDescent="0.3">
      <c r="A1351" s="174">
        <v>45912</v>
      </c>
      <c r="B1351" s="155">
        <v>1525.5</v>
      </c>
      <c r="C1351" s="155">
        <f t="shared" si="42"/>
        <v>2.8267157507230836E-3</v>
      </c>
      <c r="E1351" s="174">
        <v>45912</v>
      </c>
      <c r="F1351" s="175">
        <v>25114</v>
      </c>
      <c r="G1351" s="155">
        <f t="shared" si="43"/>
        <v>4.3390454100097975E-3</v>
      </c>
    </row>
    <row r="1352" spans="1:7" ht="12.75" customHeight="1" x14ac:dyDescent="0.3">
      <c r="A1352" s="174">
        <v>45915</v>
      </c>
      <c r="B1352" s="155">
        <v>1519.8</v>
      </c>
      <c r="C1352" s="155">
        <f t="shared" si="42"/>
        <v>-3.736479842674563E-3</v>
      </c>
      <c r="E1352" s="174">
        <v>45915</v>
      </c>
      <c r="F1352" s="175">
        <v>25069.19921875</v>
      </c>
      <c r="G1352" s="155">
        <f t="shared" si="43"/>
        <v>-1.7838966811340288E-3</v>
      </c>
    </row>
    <row r="1353" spans="1:7" ht="12.75" customHeight="1" x14ac:dyDescent="0.3">
      <c r="A1353" s="174">
        <v>45916</v>
      </c>
      <c r="B1353" s="155">
        <v>1531.5</v>
      </c>
      <c r="C1353" s="155">
        <f t="shared" si="42"/>
        <v>7.6983813659692365E-3</v>
      </c>
      <c r="E1353" s="174">
        <v>45916</v>
      </c>
      <c r="F1353" s="175">
        <v>25239.099609375</v>
      </c>
      <c r="G1353" s="155">
        <f t="shared" si="43"/>
        <v>6.7772563910987009E-3</v>
      </c>
    </row>
    <row r="1354" spans="1:7" ht="12.75" customHeight="1" x14ac:dyDescent="0.3">
      <c r="A1354" s="174">
        <v>45917</v>
      </c>
      <c r="B1354" s="155">
        <v>1547.2</v>
      </c>
      <c r="C1354" s="155">
        <f t="shared" si="42"/>
        <v>1.0251387528566793E-2</v>
      </c>
      <c r="E1354" s="174">
        <v>45917</v>
      </c>
      <c r="F1354" s="175">
        <v>25330.25</v>
      </c>
      <c r="G1354" s="155">
        <f t="shared" si="43"/>
        <v>3.6114755294654973E-3</v>
      </c>
    </row>
    <row r="1355" spans="1:7" ht="12.75" customHeight="1" x14ac:dyDescent="0.3">
      <c r="A1355" s="174">
        <v>45918</v>
      </c>
      <c r="B1355" s="155">
        <v>1550.7</v>
      </c>
      <c r="C1355" s="155">
        <f t="shared" si="42"/>
        <v>2.2621509824198552E-3</v>
      </c>
      <c r="E1355" s="174">
        <v>45918</v>
      </c>
      <c r="F1355" s="175">
        <v>25423.599609375</v>
      </c>
      <c r="G1355" s="155">
        <f t="shared" si="43"/>
        <v>3.6853015416350018E-3</v>
      </c>
    </row>
    <row r="1356" spans="1:7" ht="12.75" customHeight="1" x14ac:dyDescent="0.3">
      <c r="A1356" s="174">
        <v>45919</v>
      </c>
      <c r="B1356" s="155">
        <v>1553.8</v>
      </c>
      <c r="C1356" s="155">
        <f t="shared" si="42"/>
        <v>1.9990971819177847E-3</v>
      </c>
      <c r="E1356" s="174">
        <v>45919</v>
      </c>
      <c r="F1356" s="175">
        <v>25327.05078125</v>
      </c>
      <c r="G1356" s="155">
        <f t="shared" si="43"/>
        <v>-3.7976065391384403E-3</v>
      </c>
    </row>
    <row r="1357" spans="1:7" ht="12.75" customHeight="1" x14ac:dyDescent="0.3">
      <c r="A1357" s="174">
        <v>45922</v>
      </c>
      <c r="B1357" s="155">
        <v>1505.4</v>
      </c>
      <c r="C1357" s="155">
        <f t="shared" si="42"/>
        <v>-3.1149440082378597E-2</v>
      </c>
      <c r="E1357" s="174">
        <v>45922</v>
      </c>
      <c r="F1357" s="175">
        <v>25202.349609375</v>
      </c>
      <c r="G1357" s="155">
        <f t="shared" si="43"/>
        <v>-4.9236357186648108E-3</v>
      </c>
    </row>
    <row r="1358" spans="1:7" ht="12.75" customHeight="1" x14ac:dyDescent="0.3">
      <c r="A1358" s="174">
        <v>45923</v>
      </c>
      <c r="B1358" s="155">
        <v>1471.9</v>
      </c>
      <c r="C1358" s="155">
        <f t="shared" si="42"/>
        <v>-2.2253221735087019E-2</v>
      </c>
      <c r="E1358" s="174">
        <v>45923</v>
      </c>
      <c r="F1358" s="175">
        <v>25169.5</v>
      </c>
      <c r="G1358" s="155">
        <f t="shared" si="43"/>
        <v>-1.3034343973539794E-3</v>
      </c>
    </row>
    <row r="1359" spans="1:7" ht="12.75" customHeight="1" x14ac:dyDescent="0.3">
      <c r="A1359" s="174">
        <v>45924</v>
      </c>
      <c r="B1359" s="155">
        <v>1452.4</v>
      </c>
      <c r="C1359" s="155">
        <f t="shared" si="42"/>
        <v>-1.3248182621101976E-2</v>
      </c>
      <c r="E1359" s="174">
        <v>45924</v>
      </c>
      <c r="F1359" s="175">
        <v>25056.900390625</v>
      </c>
      <c r="G1359" s="155">
        <f t="shared" si="43"/>
        <v>-4.4736530076084149E-3</v>
      </c>
    </row>
    <row r="1360" spans="1:7" ht="12.75" customHeight="1" x14ac:dyDescent="0.3">
      <c r="A1360" s="174">
        <v>45925</v>
      </c>
      <c r="B1360" s="155">
        <v>1444.3</v>
      </c>
      <c r="C1360" s="155">
        <f t="shared" si="42"/>
        <v>-5.5769760396585898E-3</v>
      </c>
      <c r="E1360" s="174">
        <v>45925</v>
      </c>
      <c r="F1360" s="175">
        <v>24890.849609375</v>
      </c>
      <c r="G1360" s="155">
        <f t="shared" si="43"/>
        <v>-6.6269482123226878E-3</v>
      </c>
    </row>
    <row r="1361" spans="1:7" ht="12.75" customHeight="1" x14ac:dyDescent="0.3">
      <c r="A1361" s="174">
        <v>45926</v>
      </c>
      <c r="B1361" s="155">
        <v>1407.7</v>
      </c>
      <c r="C1361" s="155">
        <f t="shared" si="42"/>
        <v>-2.534099563802528E-2</v>
      </c>
      <c r="E1361" s="174">
        <v>45926</v>
      </c>
      <c r="F1361" s="175">
        <v>24654.69921875</v>
      </c>
      <c r="G1361" s="155">
        <f t="shared" si="43"/>
        <v>-9.4874379272315099E-3</v>
      </c>
    </row>
    <row r="1362" spans="1:7" ht="12.75" customHeight="1" x14ac:dyDescent="0.3">
      <c r="A1362" s="174">
        <v>45929</v>
      </c>
      <c r="B1362" s="155">
        <v>1410.7</v>
      </c>
      <c r="C1362" s="155">
        <f t="shared" si="42"/>
        <v>2.1311358954322654E-3</v>
      </c>
      <c r="E1362" s="174">
        <v>45929</v>
      </c>
      <c r="F1362" s="175">
        <v>24634.900390625</v>
      </c>
      <c r="G1362" s="155">
        <f t="shared" si="43"/>
        <v>-8.030448049409952E-4</v>
      </c>
    </row>
    <row r="1363" spans="1:7" ht="12.75" customHeight="1" x14ac:dyDescent="0.3">
      <c r="A1363" s="174">
        <v>45930</v>
      </c>
      <c r="B1363" s="155">
        <v>1400.3</v>
      </c>
      <c r="C1363" s="155">
        <f t="shared" si="42"/>
        <v>-7.3722265541930178E-3</v>
      </c>
      <c r="E1363" s="174">
        <v>45930</v>
      </c>
      <c r="F1363" s="175">
        <v>24611.099609375</v>
      </c>
      <c r="G1363" s="155">
        <f t="shared" si="43"/>
        <v>-9.6614075448251335E-4</v>
      </c>
    </row>
    <row r="1364" spans="1:7" ht="12.75" customHeight="1" x14ac:dyDescent="0.3">
      <c r="A1364" s="174">
        <v>45931</v>
      </c>
      <c r="B1364" s="155">
        <v>1416</v>
      </c>
      <c r="C1364" s="155">
        <f t="shared" si="42"/>
        <v>1.1211883167892627E-2</v>
      </c>
      <c r="E1364" s="174">
        <v>45931</v>
      </c>
      <c r="F1364" s="175">
        <v>24836.30078125</v>
      </c>
      <c r="G1364" s="155">
        <f t="shared" si="43"/>
        <v>9.1503904924758045E-3</v>
      </c>
    </row>
    <row r="1365" spans="1:7" ht="12.75" customHeight="1" x14ac:dyDescent="0.3">
      <c r="A1365" s="174">
        <v>45933</v>
      </c>
      <c r="B1365" s="155">
        <v>1400.6</v>
      </c>
      <c r="C1365" s="155">
        <f t="shared" si="42"/>
        <v>-1.0875706214689329E-2</v>
      </c>
      <c r="E1365" s="174">
        <v>45933</v>
      </c>
      <c r="F1365" s="175">
        <v>24894.25</v>
      </c>
      <c r="G1365" s="155">
        <f t="shared" si="43"/>
        <v>2.3332467769817144E-3</v>
      </c>
    </row>
    <row r="1366" spans="1:7" ht="12.75" customHeight="1" x14ac:dyDescent="0.3">
      <c r="A1366" s="174">
        <v>45936</v>
      </c>
      <c r="B1366" s="155">
        <v>1439.3</v>
      </c>
      <c r="C1366" s="155">
        <f t="shared" si="42"/>
        <v>2.7631015279166105E-2</v>
      </c>
      <c r="E1366" s="174">
        <v>45936</v>
      </c>
      <c r="F1366" s="175">
        <v>25077.650390625</v>
      </c>
      <c r="G1366" s="155">
        <f t="shared" si="43"/>
        <v>7.3671787912871446E-3</v>
      </c>
    </row>
    <row r="1367" spans="1:7" ht="12.75" customHeight="1" x14ac:dyDescent="0.3">
      <c r="A1367" s="174">
        <v>45937</v>
      </c>
      <c r="B1367" s="155">
        <v>1438.9</v>
      </c>
      <c r="C1367" s="155">
        <f t="shared" si="42"/>
        <v>-2.7791287431380783E-4</v>
      </c>
      <c r="E1367" s="174">
        <v>45937</v>
      </c>
      <c r="F1367" s="175">
        <v>25108.30078125</v>
      </c>
      <c r="G1367" s="155">
        <f t="shared" si="43"/>
        <v>1.2222193924698109E-3</v>
      </c>
    </row>
    <row r="1368" spans="1:7" ht="12.75" customHeight="1" x14ac:dyDescent="0.3">
      <c r="A1368" s="174">
        <v>45938</v>
      </c>
      <c r="B1368" s="155">
        <v>1458.2</v>
      </c>
      <c r="C1368" s="155">
        <f t="shared" si="42"/>
        <v>1.3413023837653731E-2</v>
      </c>
      <c r="E1368" s="174">
        <v>45938</v>
      </c>
      <c r="F1368" s="175">
        <v>25046.150390625</v>
      </c>
      <c r="G1368" s="155">
        <f t="shared" si="43"/>
        <v>-2.4752925801897249E-3</v>
      </c>
    </row>
    <row r="1369" spans="1:7" ht="12.75" customHeight="1" x14ac:dyDescent="0.3">
      <c r="A1369" s="174">
        <v>45939</v>
      </c>
      <c r="B1369" s="155">
        <v>1466.6</v>
      </c>
      <c r="C1369" s="155">
        <f t="shared" si="42"/>
        <v>5.7605266767246357E-3</v>
      </c>
      <c r="E1369" s="174">
        <v>45939</v>
      </c>
      <c r="F1369" s="175">
        <v>25181.80078125</v>
      </c>
      <c r="G1369" s="155">
        <f t="shared" si="43"/>
        <v>5.4160175719369296E-3</v>
      </c>
    </row>
    <row r="1370" spans="1:7" ht="12.75" customHeight="1" x14ac:dyDescent="0.3">
      <c r="A1370" s="174">
        <v>45940</v>
      </c>
      <c r="B1370" s="155">
        <v>1457.2</v>
      </c>
      <c r="C1370" s="155">
        <f t="shared" si="42"/>
        <v>-6.4093822446473917E-3</v>
      </c>
      <c r="E1370" s="174">
        <v>45940</v>
      </c>
      <c r="F1370" s="175">
        <v>25285.349609375</v>
      </c>
      <c r="G1370" s="155">
        <f t="shared" si="43"/>
        <v>4.1120501676790702E-3</v>
      </c>
    </row>
    <row r="1371" spans="1:7" ht="12.75" customHeight="1" x14ac:dyDescent="0.3">
      <c r="A1371" s="174">
        <v>45943</v>
      </c>
      <c r="B1371" s="155">
        <v>1450.9</v>
      </c>
      <c r="C1371" s="155">
        <f t="shared" si="42"/>
        <v>-4.3233598682404298E-3</v>
      </c>
      <c r="E1371" s="174">
        <v>45943</v>
      </c>
      <c r="F1371" s="175">
        <v>25227.349609375</v>
      </c>
      <c r="G1371" s="155">
        <f t="shared" si="43"/>
        <v>-2.2938183927065595E-3</v>
      </c>
    </row>
    <row r="1372" spans="1:7" ht="12.75" customHeight="1" x14ac:dyDescent="0.3">
      <c r="A1372" s="174">
        <v>45944</v>
      </c>
      <c r="B1372" s="155">
        <v>1468</v>
      </c>
      <c r="C1372" s="155">
        <f t="shared" si="42"/>
        <v>1.1785788131504519E-2</v>
      </c>
      <c r="E1372" s="174">
        <v>45944</v>
      </c>
      <c r="F1372" s="175">
        <v>25145.5</v>
      </c>
      <c r="G1372" s="155">
        <f t="shared" si="43"/>
        <v>-3.2444791324643557E-3</v>
      </c>
    </row>
    <row r="1373" spans="1:7" ht="12.75" customHeight="1" x14ac:dyDescent="0.3">
      <c r="A1373" s="174">
        <v>45945</v>
      </c>
      <c r="B1373" s="155">
        <v>1459</v>
      </c>
      <c r="C1373" s="155">
        <f t="shared" si="42"/>
        <v>-6.1307901907356951E-3</v>
      </c>
      <c r="E1373" s="174">
        <v>45945</v>
      </c>
      <c r="F1373" s="175">
        <v>25323.55078125</v>
      </c>
      <c r="G1373" s="155">
        <f t="shared" si="43"/>
        <v>7.0808208725219226E-3</v>
      </c>
    </row>
    <row r="1374" spans="1:7" ht="12.75" customHeight="1" x14ac:dyDescent="0.3">
      <c r="A1374" s="174">
        <v>45946</v>
      </c>
      <c r="B1374" s="155">
        <v>1463.8</v>
      </c>
      <c r="C1374" s="155">
        <f t="shared" si="42"/>
        <v>3.2899246058944172E-3</v>
      </c>
      <c r="E1374" s="174">
        <v>45946</v>
      </c>
      <c r="F1374" s="175">
        <v>25585.30078125</v>
      </c>
      <c r="G1374" s="155">
        <f t="shared" si="43"/>
        <v>1.0336228211479895E-2</v>
      </c>
    </row>
    <row r="1375" spans="1:7" ht="12.75" customHeight="1" x14ac:dyDescent="0.3">
      <c r="A1375" s="174">
        <v>45947</v>
      </c>
      <c r="B1375" s="155">
        <v>1447.6</v>
      </c>
      <c r="C1375" s="155">
        <f t="shared" si="42"/>
        <v>-1.1067085667440938E-2</v>
      </c>
      <c r="E1375" s="174">
        <v>45947</v>
      </c>
      <c r="F1375" s="175">
        <v>25709.849609375</v>
      </c>
      <c r="G1375" s="155">
        <f t="shared" si="43"/>
        <v>4.8679837376105692E-3</v>
      </c>
    </row>
    <row r="1376" spans="1:7" ht="12.75" customHeight="1" x14ac:dyDescent="0.3">
      <c r="A1376" s="174">
        <v>45950</v>
      </c>
      <c r="B1376" s="155">
        <v>1444.4</v>
      </c>
      <c r="C1376" s="155">
        <f t="shared" si="42"/>
        <v>-2.2105554020446384E-3</v>
      </c>
      <c r="E1376" s="174">
        <v>45950</v>
      </c>
      <c r="F1376" s="175">
        <v>25843.150390625</v>
      </c>
      <c r="G1376" s="155">
        <f t="shared" si="43"/>
        <v>5.1848137299641134E-3</v>
      </c>
    </row>
    <row r="1377" spans="1:7" ht="12.75" customHeight="1" x14ac:dyDescent="0.3">
      <c r="A1377" s="174">
        <v>45951</v>
      </c>
      <c r="B1377" s="155">
        <v>1448.7</v>
      </c>
      <c r="C1377" s="155">
        <f t="shared" si="42"/>
        <v>2.9770146773746568E-3</v>
      </c>
      <c r="E1377" s="174">
        <v>45951</v>
      </c>
      <c r="F1377" s="175">
        <v>25868.599609375</v>
      </c>
      <c r="G1377" s="155">
        <f t="shared" si="43"/>
        <v>9.8475682590277742E-4</v>
      </c>
    </row>
    <row r="1378" spans="1:7" ht="12.75" customHeight="1" x14ac:dyDescent="0.3">
      <c r="A1378" s="174">
        <v>45953</v>
      </c>
      <c r="B1378" s="155">
        <v>1463.4</v>
      </c>
      <c r="C1378" s="155">
        <f t="shared" si="42"/>
        <v>1.0147028370263026E-2</v>
      </c>
      <c r="E1378" s="174">
        <v>45953</v>
      </c>
      <c r="F1378" s="175">
        <v>25891.400390625</v>
      </c>
      <c r="G1378" s="155">
        <f t="shared" si="43"/>
        <v>8.8140763683770514E-4</v>
      </c>
    </row>
    <row r="1379" spans="1:7" ht="12.75" customHeight="1" x14ac:dyDescent="0.3">
      <c r="A1379" s="174">
        <v>45954</v>
      </c>
      <c r="B1379" s="155">
        <v>1453.7</v>
      </c>
      <c r="C1379" s="155">
        <f t="shared" si="42"/>
        <v>-6.6283996173295374E-3</v>
      </c>
      <c r="E1379" s="174">
        <v>45954</v>
      </c>
      <c r="F1379" s="175">
        <v>25795.150390625</v>
      </c>
      <c r="G1379" s="155">
        <f t="shared" si="43"/>
        <v>-3.7174505259611641E-3</v>
      </c>
    </row>
    <row r="1380" spans="1:7" ht="12.75" customHeight="1" x14ac:dyDescent="0.3">
      <c r="A1380" s="174">
        <v>45957</v>
      </c>
      <c r="B1380" s="155">
        <v>1462.8</v>
      </c>
      <c r="C1380" s="155">
        <f t="shared" si="42"/>
        <v>6.2598885602255681E-3</v>
      </c>
      <c r="E1380" s="174">
        <v>45957</v>
      </c>
      <c r="F1380" s="175">
        <v>25966.05078125</v>
      </c>
      <c r="G1380" s="155">
        <f t="shared" si="43"/>
        <v>6.6252915000298701E-3</v>
      </c>
    </row>
    <row r="1381" spans="1:7" ht="12.75" customHeight="1" x14ac:dyDescent="0.3">
      <c r="A1381" s="174">
        <v>45958</v>
      </c>
      <c r="B1381" s="155">
        <v>1447.4</v>
      </c>
      <c r="C1381" s="155">
        <f t="shared" si="42"/>
        <v>-1.0527754990429222E-2</v>
      </c>
      <c r="E1381" s="174">
        <v>45958</v>
      </c>
      <c r="F1381" s="175">
        <v>25936.19921875</v>
      </c>
      <c r="G1381" s="155">
        <f t="shared" si="43"/>
        <v>-1.1496381468049702E-3</v>
      </c>
    </row>
    <row r="1382" spans="1:7" ht="12.75" customHeight="1" x14ac:dyDescent="0.3">
      <c r="A1382" s="174">
        <v>45959</v>
      </c>
      <c r="B1382" s="155">
        <v>1452.2</v>
      </c>
      <c r="C1382" s="155">
        <f t="shared" si="42"/>
        <v>3.3162912809174758E-3</v>
      </c>
      <c r="E1382" s="174">
        <v>45959</v>
      </c>
      <c r="F1382" s="175">
        <v>26053.900390625</v>
      </c>
      <c r="G1382" s="155">
        <f t="shared" si="43"/>
        <v>4.5381040946782421E-3</v>
      </c>
    </row>
    <row r="1383" spans="1:7" ht="12.75" customHeight="1" x14ac:dyDescent="0.3">
      <c r="A1383" s="174">
        <v>45960</v>
      </c>
      <c r="B1383" s="155">
        <v>1433.8</v>
      </c>
      <c r="C1383" s="155">
        <f t="shared" si="42"/>
        <v>-1.26704310701006E-2</v>
      </c>
      <c r="E1383" s="174">
        <v>45960</v>
      </c>
      <c r="F1383" s="175">
        <v>25877.849609375</v>
      </c>
      <c r="G1383" s="155">
        <f t="shared" si="43"/>
        <v>-6.7571756478100502E-3</v>
      </c>
    </row>
    <row r="1384" spans="1:7" ht="12.75" customHeight="1" x14ac:dyDescent="0.3">
      <c r="A1384" s="174">
        <v>45961</v>
      </c>
      <c r="B1384" s="155">
        <v>1424.4</v>
      </c>
      <c r="C1384" s="155">
        <f t="shared" si="42"/>
        <v>-6.556005021620773E-3</v>
      </c>
      <c r="E1384" s="174">
        <v>45961</v>
      </c>
      <c r="F1384" s="175">
        <v>25722.099609375</v>
      </c>
      <c r="G1384" s="155">
        <f t="shared" si="43"/>
        <v>-6.0186608373972101E-3</v>
      </c>
    </row>
    <row r="1385" spans="1:7" ht="12.75" customHeight="1" x14ac:dyDescent="0.3">
      <c r="A1385" s="174">
        <v>45964</v>
      </c>
      <c r="B1385" s="155">
        <v>1419.8</v>
      </c>
      <c r="C1385" s="155">
        <f t="shared" si="42"/>
        <v>-3.2294299354114968E-3</v>
      </c>
      <c r="E1385" s="174">
        <v>45964</v>
      </c>
      <c r="F1385" s="175">
        <v>25763.349609375</v>
      </c>
      <c r="G1385" s="155">
        <f t="shared" si="43"/>
        <v>1.6036793506920993E-3</v>
      </c>
    </row>
    <row r="1386" spans="1:7" ht="12.75" customHeight="1" x14ac:dyDescent="0.3">
      <c r="A1386" s="174">
        <v>45965</v>
      </c>
      <c r="B1386" s="155">
        <v>1409.2</v>
      </c>
      <c r="C1386" s="155">
        <f t="shared" si="42"/>
        <v>-7.465840259191372E-3</v>
      </c>
      <c r="E1386" s="174">
        <v>45965</v>
      </c>
      <c r="F1386" s="175">
        <v>25597.650390625</v>
      </c>
      <c r="G1386" s="155">
        <f t="shared" si="43"/>
        <v>-6.4315867797603409E-3</v>
      </c>
    </row>
    <row r="1387" spans="1:7" ht="12.75" customHeight="1" x14ac:dyDescent="0.3">
      <c r="A1387" s="174">
        <v>45967</v>
      </c>
      <c r="B1387" s="155">
        <v>1413.6</v>
      </c>
      <c r="C1387" s="155">
        <f t="shared" si="42"/>
        <v>3.1223389156967525E-3</v>
      </c>
      <c r="E1387" s="174">
        <v>45967</v>
      </c>
      <c r="F1387" s="175">
        <v>25509.69921875</v>
      </c>
      <c r="G1387" s="155">
        <f t="shared" si="43"/>
        <v>-3.4359080045569977E-3</v>
      </c>
    </row>
    <row r="1388" spans="1:7" ht="12.75" customHeight="1" x14ac:dyDescent="0.3">
      <c r="A1388" s="174">
        <v>45968</v>
      </c>
      <c r="B1388" s="155">
        <v>1386.7</v>
      </c>
      <c r="C1388" s="155">
        <f t="shared" si="42"/>
        <v>-1.9029428409733918E-2</v>
      </c>
      <c r="E1388" s="174">
        <v>45968</v>
      </c>
      <c r="F1388" s="175">
        <v>25492.30078125</v>
      </c>
      <c r="G1388" s="155">
        <f t="shared" si="43"/>
        <v>-6.8203224784445498E-4</v>
      </c>
    </row>
    <row r="1389" spans="1:7" ht="12.75" customHeight="1" x14ac:dyDescent="0.3">
      <c r="A1389" s="174">
        <v>45971</v>
      </c>
      <c r="B1389" s="155">
        <v>1397.8</v>
      </c>
      <c r="C1389" s="155">
        <f t="shared" si="42"/>
        <v>8.0046152736712398E-3</v>
      </c>
      <c r="E1389" s="174">
        <v>45971</v>
      </c>
      <c r="F1389" s="175">
        <v>25574.349609375</v>
      </c>
      <c r="G1389" s="155">
        <f t="shared" si="43"/>
        <v>3.2185728871263058E-3</v>
      </c>
    </row>
    <row r="1390" spans="1:7" ht="12.75" customHeight="1" x14ac:dyDescent="0.3">
      <c r="A1390" s="174">
        <v>45972</v>
      </c>
      <c r="B1390" s="155">
        <v>1408</v>
      </c>
      <c r="C1390" s="155">
        <f t="shared" si="42"/>
        <v>7.2971812848762665E-3</v>
      </c>
      <c r="E1390" s="174">
        <v>45972</v>
      </c>
      <c r="F1390" s="175">
        <v>25694.94921875</v>
      </c>
      <c r="G1390" s="155">
        <f t="shared" si="43"/>
        <v>4.7156471705849679E-3</v>
      </c>
    </row>
    <row r="1391" spans="1:7" ht="12.75" customHeight="1" x14ac:dyDescent="0.3">
      <c r="A1391" s="174">
        <v>45973</v>
      </c>
      <c r="B1391" s="155">
        <v>1456.1</v>
      </c>
      <c r="C1391" s="155">
        <f t="shared" si="42"/>
        <v>3.4161931818181751E-2</v>
      </c>
      <c r="E1391" s="174">
        <v>45973</v>
      </c>
      <c r="F1391" s="175">
        <v>25875.80078125</v>
      </c>
      <c r="G1391" s="155">
        <f t="shared" si="43"/>
        <v>7.0384090258497119E-3</v>
      </c>
    </row>
    <row r="1392" spans="1:7" ht="12.75" customHeight="1" x14ac:dyDescent="0.3">
      <c r="A1392" s="174">
        <v>45974</v>
      </c>
      <c r="B1392" s="155">
        <v>1451.4</v>
      </c>
      <c r="C1392" s="155">
        <f t="shared" si="42"/>
        <v>-3.2278002884416034E-3</v>
      </c>
      <c r="E1392" s="174">
        <v>45974</v>
      </c>
      <c r="F1392" s="175">
        <v>25879.150390625</v>
      </c>
      <c r="G1392" s="155">
        <f t="shared" si="43"/>
        <v>1.2944949620369539E-4</v>
      </c>
    </row>
    <row r="1393" spans="1:7" ht="12.75" customHeight="1" x14ac:dyDescent="0.3">
      <c r="A1393" s="174">
        <v>45975</v>
      </c>
      <c r="B1393" s="155">
        <v>1439.2</v>
      </c>
      <c r="C1393" s="155">
        <f t="shared" si="42"/>
        <v>-8.4056772771117852E-3</v>
      </c>
      <c r="E1393" s="174">
        <v>45975</v>
      </c>
      <c r="F1393" s="175">
        <v>25910.05078125</v>
      </c>
      <c r="G1393" s="155">
        <f t="shared" si="43"/>
        <v>1.1940264714483827E-3</v>
      </c>
    </row>
    <row r="1394" spans="1:7" ht="12.75" customHeight="1" x14ac:dyDescent="0.3">
      <c r="A1394" s="174">
        <v>45978</v>
      </c>
      <c r="B1394" s="155">
        <v>1452.8</v>
      </c>
      <c r="C1394" s="155">
        <f t="shared" si="42"/>
        <v>9.4496942745969353E-3</v>
      </c>
      <c r="E1394" s="174">
        <v>45978</v>
      </c>
      <c r="F1394" s="175">
        <v>26013.44921875</v>
      </c>
      <c r="G1394" s="155">
        <f t="shared" si="43"/>
        <v>3.9906690408659891E-3</v>
      </c>
    </row>
    <row r="1395" spans="1:7" ht="12.75" customHeight="1" x14ac:dyDescent="0.3">
      <c r="A1395" s="174">
        <v>45979</v>
      </c>
      <c r="B1395" s="155">
        <v>1422</v>
      </c>
      <c r="C1395" s="155">
        <f t="shared" si="42"/>
        <v>-2.1200440528634332E-2</v>
      </c>
      <c r="E1395" s="174">
        <v>45979</v>
      </c>
      <c r="F1395" s="175">
        <v>25910.05078125</v>
      </c>
      <c r="G1395" s="155">
        <f t="shared" si="43"/>
        <v>-3.974806902018682E-3</v>
      </c>
    </row>
    <row r="1396" spans="1:7" ht="12.75" customHeight="1" x14ac:dyDescent="0.3">
      <c r="A1396" s="174">
        <v>45980</v>
      </c>
      <c r="B1396" s="155">
        <v>1433.9</v>
      </c>
      <c r="C1396" s="155">
        <f t="shared" si="42"/>
        <v>8.3684950773559013E-3</v>
      </c>
      <c r="E1396" s="174">
        <v>45980</v>
      </c>
      <c r="F1396" s="175">
        <v>26052.650390625</v>
      </c>
      <c r="G1396" s="155">
        <f t="shared" si="43"/>
        <v>5.503640675154263E-3</v>
      </c>
    </row>
    <row r="1397" spans="1:7" ht="12.75" customHeight="1" x14ac:dyDescent="0.3">
      <c r="A1397" s="174">
        <v>45981</v>
      </c>
      <c r="B1397" s="155">
        <v>1456</v>
      </c>
      <c r="C1397" s="155">
        <f t="shared" si="42"/>
        <v>1.5412511332728857E-2</v>
      </c>
      <c r="E1397" s="174">
        <v>45981</v>
      </c>
      <c r="F1397" s="175">
        <v>26192.150390625</v>
      </c>
      <c r="G1397" s="155">
        <f t="shared" si="43"/>
        <v>5.3545415882216276E-3</v>
      </c>
    </row>
    <row r="1398" spans="1:7" ht="12.75" customHeight="1" x14ac:dyDescent="0.3">
      <c r="A1398" s="174">
        <v>45982</v>
      </c>
      <c r="B1398" s="155">
        <v>1461.5</v>
      </c>
      <c r="C1398" s="155">
        <f t="shared" si="42"/>
        <v>3.7774725274725275E-3</v>
      </c>
      <c r="E1398" s="174">
        <v>45982</v>
      </c>
      <c r="F1398" s="175">
        <v>26068.150390625</v>
      </c>
      <c r="G1398" s="155">
        <f t="shared" si="43"/>
        <v>-4.7342428227803521E-3</v>
      </c>
    </row>
    <row r="1399" spans="1:7" ht="12.75" customHeight="1" x14ac:dyDescent="0.3">
      <c r="A1399" s="174">
        <v>45985</v>
      </c>
      <c r="B1399" s="155">
        <v>1494.7</v>
      </c>
      <c r="C1399" s="155">
        <f t="shared" si="42"/>
        <v>2.271638727334933E-2</v>
      </c>
      <c r="E1399" s="174">
        <v>45985</v>
      </c>
      <c r="F1399" s="175">
        <v>25959.5</v>
      </c>
      <c r="G1399" s="155">
        <f t="shared" si="43"/>
        <v>-4.167936312968119E-3</v>
      </c>
    </row>
    <row r="1400" spans="1:7" ht="12.75" customHeight="1" x14ac:dyDescent="0.3">
      <c r="A1400" s="174">
        <v>45986</v>
      </c>
      <c r="B1400" s="155">
        <v>1494.7</v>
      </c>
      <c r="C1400" s="155">
        <f t="shared" si="42"/>
        <v>0</v>
      </c>
      <c r="E1400" s="174">
        <v>45986</v>
      </c>
      <c r="F1400" s="175">
        <v>25884.80078125</v>
      </c>
      <c r="G1400" s="155">
        <f t="shared" si="43"/>
        <v>-2.8775291800689534E-3</v>
      </c>
    </row>
    <row r="1401" spans="1:7" ht="12.75" customHeight="1" x14ac:dyDescent="0.3">
      <c r="A1401" s="174">
        <v>45987</v>
      </c>
      <c r="B1401" s="155">
        <v>1520.4</v>
      </c>
      <c r="C1401" s="155">
        <f t="shared" si="42"/>
        <v>1.7194085769719706E-2</v>
      </c>
      <c r="E1401" s="174">
        <v>45987</v>
      </c>
      <c r="F1401" s="175">
        <v>26205.30078125</v>
      </c>
      <c r="G1401" s="155">
        <f t="shared" si="43"/>
        <v>1.2381783530362669E-2</v>
      </c>
    </row>
    <row r="1402" spans="1:7" ht="12.75" customHeight="1" x14ac:dyDescent="0.3">
      <c r="A1402" s="174">
        <v>45988</v>
      </c>
      <c r="B1402" s="155">
        <v>1509.8</v>
      </c>
      <c r="C1402" s="155">
        <f t="shared" si="42"/>
        <v>-6.9718495132860669E-3</v>
      </c>
      <c r="E1402" s="174">
        <v>45988</v>
      </c>
      <c r="F1402" s="175">
        <v>26215.55078125</v>
      </c>
      <c r="G1402" s="155">
        <f t="shared" si="43"/>
        <v>3.9114223818922608E-4</v>
      </c>
    </row>
    <row r="1403" spans="1:7" ht="12.75" customHeight="1" x14ac:dyDescent="0.3">
      <c r="A1403" s="174">
        <v>45989</v>
      </c>
      <c r="B1403" s="155">
        <v>1517.3</v>
      </c>
      <c r="C1403" s="155">
        <f t="shared" si="42"/>
        <v>4.9675453702477147E-3</v>
      </c>
      <c r="E1403" s="174">
        <v>45989</v>
      </c>
      <c r="F1403" s="175">
        <v>26202.94921875</v>
      </c>
      <c r="G1403" s="155">
        <f t="shared" si="43"/>
        <v>-4.8069035837358583E-4</v>
      </c>
    </row>
    <row r="1404" spans="1:7" ht="12.75" customHeight="1" x14ac:dyDescent="0.3">
      <c r="A1404" s="174">
        <v>45992</v>
      </c>
      <c r="B1404" s="155">
        <v>1529.5</v>
      </c>
      <c r="C1404" s="155">
        <f t="shared" si="42"/>
        <v>8.0405984314242708E-3</v>
      </c>
      <c r="E1404" s="174">
        <v>45992</v>
      </c>
      <c r="F1404" s="175">
        <v>26175.75</v>
      </c>
      <c r="G1404" s="155">
        <f t="shared" si="43"/>
        <v>-1.0380212747402153E-3</v>
      </c>
    </row>
    <row r="1405" spans="1:7" ht="12.75" customHeight="1" x14ac:dyDescent="0.3">
      <c r="A1405" s="174">
        <v>45993</v>
      </c>
      <c r="B1405" s="155">
        <v>1536.7</v>
      </c>
      <c r="C1405" s="155">
        <f t="shared" si="42"/>
        <v>4.7074207257273917E-3</v>
      </c>
      <c r="E1405" s="174">
        <v>45993</v>
      </c>
      <c r="F1405" s="175">
        <v>26032.19921875</v>
      </c>
      <c r="G1405" s="155">
        <f t="shared" si="43"/>
        <v>-5.4841133969418263E-3</v>
      </c>
    </row>
    <row r="1406" spans="1:7" ht="12.75" customHeight="1" x14ac:dyDescent="0.3">
      <c r="A1406" s="174">
        <v>45994</v>
      </c>
      <c r="B1406" s="155">
        <v>1541.7</v>
      </c>
      <c r="C1406" s="155">
        <f t="shared" si="42"/>
        <v>3.253725515715494E-3</v>
      </c>
      <c r="E1406" s="174">
        <v>45994</v>
      </c>
      <c r="F1406" s="175">
        <v>25986</v>
      </c>
      <c r="G1406" s="155">
        <f t="shared" si="43"/>
        <v>-1.7746951904364832E-3</v>
      </c>
    </row>
    <row r="1407" spans="1:7" ht="12.75" customHeight="1" x14ac:dyDescent="0.3">
      <c r="A1407" s="174">
        <v>45995</v>
      </c>
      <c r="B1407" s="155">
        <v>1562.3</v>
      </c>
      <c r="C1407" s="155">
        <f t="shared" si="42"/>
        <v>1.3361873256794388E-2</v>
      </c>
      <c r="E1407" s="174">
        <v>45995</v>
      </c>
      <c r="F1407" s="175">
        <v>26033.75</v>
      </c>
      <c r="G1407" s="155">
        <f t="shared" si="43"/>
        <v>1.8375278996382667E-3</v>
      </c>
    </row>
    <row r="1408" spans="1:7" ht="12.75" customHeight="1" x14ac:dyDescent="0.3">
      <c r="A1408" s="174">
        <v>45996</v>
      </c>
      <c r="B1408" s="155">
        <v>1570.8</v>
      </c>
      <c r="C1408" s="155">
        <f t="shared" si="42"/>
        <v>5.4406964091403701E-3</v>
      </c>
      <c r="E1408" s="174">
        <v>45996</v>
      </c>
      <c r="F1408" s="175">
        <v>26186.44921875</v>
      </c>
      <c r="G1408" s="155">
        <f t="shared" si="43"/>
        <v>5.8654330916598644E-3</v>
      </c>
    </row>
    <row r="1409" spans="1:7" ht="12.75" customHeight="1" x14ac:dyDescent="0.3">
      <c r="A1409" s="174">
        <v>45999</v>
      </c>
      <c r="B1409" s="155">
        <v>1591.8</v>
      </c>
      <c r="C1409" s="155">
        <f t="shared" si="42"/>
        <v>1.3368983957219251E-2</v>
      </c>
      <c r="E1409" s="174">
        <v>45999</v>
      </c>
      <c r="F1409" s="175">
        <v>25960.55078125</v>
      </c>
      <c r="G1409" s="155">
        <f t="shared" si="43"/>
        <v>-8.6265394598918129E-3</v>
      </c>
    </row>
    <row r="1410" spans="1:7" ht="12.75" customHeight="1" x14ac:dyDescent="0.3">
      <c r="A1410" s="174">
        <v>46000</v>
      </c>
      <c r="B1410" s="155">
        <v>1561.6</v>
      </c>
      <c r="C1410" s="155">
        <f t="shared" si="42"/>
        <v>-1.8972232692549343E-2</v>
      </c>
      <c r="E1410" s="174">
        <v>46000</v>
      </c>
      <c r="F1410" s="175">
        <v>25839.650390625</v>
      </c>
      <c r="G1410" s="155">
        <f t="shared" si="43"/>
        <v>-4.6570811090926572E-3</v>
      </c>
    </row>
    <row r="1411" spans="1:7" ht="12.75" customHeight="1" x14ac:dyDescent="0.3">
      <c r="A1411" s="174">
        <v>46001</v>
      </c>
      <c r="B1411" s="155">
        <v>1550.8</v>
      </c>
      <c r="C1411" s="155">
        <f t="shared" si="42"/>
        <v>-6.9159836065573483E-3</v>
      </c>
      <c r="E1411" s="174">
        <v>46001</v>
      </c>
      <c r="F1411" s="175">
        <v>25758</v>
      </c>
      <c r="G1411" s="155">
        <f t="shared" si="43"/>
        <v>-3.159887590995579E-3</v>
      </c>
    </row>
    <row r="1412" spans="1:7" ht="12.75" customHeight="1" x14ac:dyDescent="0.3">
      <c r="A1412" s="174">
        <v>46002</v>
      </c>
      <c r="B1412" s="155">
        <v>1568.2</v>
      </c>
      <c r="C1412" s="155">
        <f t="shared" ref="C1412:C1475" si="44">(B1412-B1411)/B1411</f>
        <v>1.1220015475883475E-2</v>
      </c>
      <c r="E1412" s="174">
        <v>46002</v>
      </c>
      <c r="F1412" s="175">
        <v>25898.55078125</v>
      </c>
      <c r="G1412" s="155">
        <f t="shared" ref="G1412:G1475" si="45">(F1412-F1411)/F1411</f>
        <v>5.4565875164997281E-3</v>
      </c>
    </row>
    <row r="1413" spans="1:7" ht="12.75" customHeight="1" x14ac:dyDescent="0.3">
      <c r="A1413" s="174">
        <v>46003</v>
      </c>
      <c r="B1413" s="155">
        <v>1578.4</v>
      </c>
      <c r="C1413" s="155">
        <f t="shared" si="44"/>
        <v>6.5042724142329077E-3</v>
      </c>
      <c r="E1413" s="174">
        <v>46003</v>
      </c>
      <c r="F1413" s="175">
        <v>26046.94921875</v>
      </c>
      <c r="G1413" s="155">
        <f t="shared" si="45"/>
        <v>5.7299900196514974E-3</v>
      </c>
    </row>
    <row r="1414" spans="1:7" ht="12.75" customHeight="1" x14ac:dyDescent="0.3">
      <c r="A1414" s="174">
        <v>46006</v>
      </c>
      <c r="B1414" s="155">
        <v>1575.4</v>
      </c>
      <c r="C1414" s="155">
        <f t="shared" si="44"/>
        <v>-1.9006588950836289E-3</v>
      </c>
      <c r="E1414" s="174">
        <v>46006</v>
      </c>
      <c r="F1414" s="175">
        <v>26027.30078125</v>
      </c>
      <c r="G1414" s="155">
        <f t="shared" si="45"/>
        <v>-7.5434698071496196E-4</v>
      </c>
    </row>
    <row r="1415" spans="1:7" ht="12.75" customHeight="1" x14ac:dyDescent="0.3">
      <c r="A1415" s="174">
        <v>46007</v>
      </c>
      <c r="B1415" s="155">
        <v>1578.2</v>
      </c>
      <c r="C1415" s="155">
        <f t="shared" si="44"/>
        <v>1.7773263932969114E-3</v>
      </c>
      <c r="E1415" s="174">
        <v>46007</v>
      </c>
      <c r="F1415" s="175">
        <v>25860.099609375</v>
      </c>
      <c r="G1415" s="155">
        <f t="shared" si="45"/>
        <v>-6.4240688375742476E-3</v>
      </c>
    </row>
    <row r="1416" spans="1:7" ht="12.75" customHeight="1" x14ac:dyDescent="0.3">
      <c r="A1416" s="174">
        <v>46008</v>
      </c>
      <c r="B1416" s="155">
        <v>1579.4</v>
      </c>
      <c r="C1416" s="155">
        <f t="shared" si="44"/>
        <v>7.603599036877743E-4</v>
      </c>
      <c r="E1416" s="174">
        <v>46008</v>
      </c>
      <c r="F1416" s="175">
        <v>25818.55078125</v>
      </c>
      <c r="G1416" s="155">
        <f t="shared" si="45"/>
        <v>-1.6066770334456639E-3</v>
      </c>
    </row>
    <row r="1417" spans="1:7" ht="12.75" customHeight="1" x14ac:dyDescent="0.3">
      <c r="A1417" s="174">
        <v>46009</v>
      </c>
      <c r="B1417" s="155">
        <v>1605.6</v>
      </c>
      <c r="C1417" s="155">
        <f t="shared" si="44"/>
        <v>1.6588577940990133E-2</v>
      </c>
      <c r="E1417" s="174">
        <v>46009</v>
      </c>
      <c r="F1417" s="175">
        <v>25815.55078125</v>
      </c>
      <c r="G1417" s="155">
        <f t="shared" si="45"/>
        <v>-1.1619552256893776E-4</v>
      </c>
    </row>
    <row r="1418" spans="1:7" ht="12.75" customHeight="1" x14ac:dyDescent="0.3">
      <c r="A1418" s="174">
        <v>46010</v>
      </c>
      <c r="B1418" s="155">
        <v>1612.5</v>
      </c>
      <c r="C1418" s="155">
        <f t="shared" si="44"/>
        <v>4.2974588938715069E-3</v>
      </c>
      <c r="E1418" s="174">
        <v>46010</v>
      </c>
      <c r="F1418" s="175">
        <v>25966.400390625</v>
      </c>
      <c r="G1418" s="155">
        <f t="shared" si="45"/>
        <v>5.8433620360547577E-3</v>
      </c>
    </row>
    <row r="1419" spans="1:7" ht="12.75" customHeight="1" x14ac:dyDescent="0.3">
      <c r="A1419" s="174">
        <v>46013</v>
      </c>
      <c r="B1419" s="155">
        <v>1646.7</v>
      </c>
      <c r="C1419" s="155">
        <f t="shared" si="44"/>
        <v>2.1209302325581422E-2</v>
      </c>
      <c r="E1419" s="174">
        <v>46013</v>
      </c>
      <c r="F1419" s="175">
        <v>26172.400390625</v>
      </c>
      <c r="G1419" s="155">
        <f t="shared" si="45"/>
        <v>7.9333291061157232E-3</v>
      </c>
    </row>
    <row r="1420" spans="1:7" ht="12.75" customHeight="1" x14ac:dyDescent="0.3">
      <c r="A1420" s="174">
        <v>46014</v>
      </c>
      <c r="B1420" s="155">
        <v>1633</v>
      </c>
      <c r="C1420" s="155">
        <f t="shared" si="44"/>
        <v>-8.3196696423149599E-3</v>
      </c>
      <c r="E1420" s="174">
        <v>46014</v>
      </c>
      <c r="F1420" s="175">
        <v>26177.150390625</v>
      </c>
      <c r="G1420" s="155">
        <f t="shared" si="45"/>
        <v>1.814888939916057E-4</v>
      </c>
    </row>
    <row r="1421" spans="1:7" ht="12.75" customHeight="1" x14ac:dyDescent="0.3">
      <c r="A1421" s="174">
        <v>46015</v>
      </c>
      <c r="B1421" s="155">
        <v>1631.5</v>
      </c>
      <c r="C1421" s="155">
        <f t="shared" si="44"/>
        <v>-9.1855480710349051E-4</v>
      </c>
      <c r="E1421" s="174">
        <v>46015</v>
      </c>
      <c r="F1421" s="175">
        <v>26142.099609375</v>
      </c>
      <c r="G1421" s="155">
        <f t="shared" si="45"/>
        <v>-1.3389838361685454E-3</v>
      </c>
    </row>
    <row r="1422" spans="1:7" ht="12.75" customHeight="1" x14ac:dyDescent="0.3">
      <c r="A1422" s="174">
        <v>46017</v>
      </c>
      <c r="B1422" s="155">
        <v>1612.3</v>
      </c>
      <c r="C1422" s="155">
        <f t="shared" si="44"/>
        <v>-1.1768311369905023E-2</v>
      </c>
      <c r="E1422" s="174">
        <v>46017</v>
      </c>
      <c r="F1422" s="175">
        <v>26042.30078125</v>
      </c>
      <c r="G1422" s="155">
        <f t="shared" si="45"/>
        <v>-3.8175521330050493E-3</v>
      </c>
    </row>
    <row r="1423" spans="1:7" ht="12.75" customHeight="1" x14ac:dyDescent="0.3">
      <c r="A1423" s="174">
        <v>46020</v>
      </c>
      <c r="B1423" s="155">
        <v>1612.4</v>
      </c>
      <c r="C1423" s="155">
        <f t="shared" si="44"/>
        <v>6.202319667564128E-5</v>
      </c>
      <c r="E1423" s="174">
        <v>46020</v>
      </c>
      <c r="F1423" s="175">
        <v>25942.099609375</v>
      </c>
      <c r="G1423" s="155">
        <f t="shared" si="45"/>
        <v>-3.8476313101775974E-3</v>
      </c>
    </row>
    <row r="1424" spans="1:7" ht="12.75" customHeight="1" x14ac:dyDescent="0.3">
      <c r="A1424" s="174">
        <v>46021</v>
      </c>
      <c r="B1424" s="155">
        <v>1604.6</v>
      </c>
      <c r="C1424" s="155">
        <f t="shared" si="44"/>
        <v>-4.8375093029026182E-3</v>
      </c>
      <c r="E1424" s="174">
        <v>46021</v>
      </c>
      <c r="F1424" s="175">
        <v>25938.849609375</v>
      </c>
      <c r="G1424" s="155">
        <f t="shared" si="45"/>
        <v>-1.2527898855285829E-4</v>
      </c>
    </row>
    <row r="1425" spans="1:7" ht="12.75" customHeight="1" x14ac:dyDescent="0.3">
      <c r="A1425" s="174">
        <v>46022</v>
      </c>
      <c r="B1425" s="155">
        <v>1590.9</v>
      </c>
      <c r="C1425" s="155">
        <f t="shared" si="44"/>
        <v>-8.5379533840208265E-3</v>
      </c>
      <c r="E1425" s="174">
        <v>46022</v>
      </c>
      <c r="F1425" s="175">
        <v>26129.599609375</v>
      </c>
      <c r="G1425" s="155">
        <f t="shared" si="45"/>
        <v>7.353834224439075E-3</v>
      </c>
    </row>
    <row r="1426" spans="1:7" ht="12.75" customHeight="1" x14ac:dyDescent="0.3">
      <c r="A1426" s="174">
        <v>46023</v>
      </c>
      <c r="B1426" s="155">
        <v>1607.7</v>
      </c>
      <c r="C1426" s="155">
        <f t="shared" si="44"/>
        <v>1.0560060343201932E-2</v>
      </c>
      <c r="E1426" s="174">
        <v>46023</v>
      </c>
      <c r="F1426" s="175">
        <v>26146.55078125</v>
      </c>
      <c r="G1426" s="155">
        <f t="shared" si="45"/>
        <v>6.4873446698043217E-4</v>
      </c>
    </row>
    <row r="1427" spans="1:7" ht="12.75" customHeight="1" x14ac:dyDescent="0.3">
      <c r="A1427" s="174">
        <v>46024</v>
      </c>
      <c r="B1427" s="155">
        <v>1612</v>
      </c>
      <c r="C1427" s="155">
        <f t="shared" si="44"/>
        <v>2.6746283510604928E-3</v>
      </c>
      <c r="E1427" s="174">
        <v>46024</v>
      </c>
      <c r="F1427" s="175">
        <v>26328.55078125</v>
      </c>
      <c r="G1427" s="155">
        <f t="shared" si="45"/>
        <v>6.9607651702386052E-3</v>
      </c>
    </row>
    <row r="1428" spans="1:7" ht="12.75" customHeight="1" x14ac:dyDescent="0.3">
      <c r="A1428" s="174">
        <v>46027</v>
      </c>
      <c r="B1428" s="155">
        <v>1596.9</v>
      </c>
      <c r="C1428" s="155">
        <f t="shared" si="44"/>
        <v>-9.3672456575681819E-3</v>
      </c>
      <c r="E1428" s="174">
        <v>46027</v>
      </c>
      <c r="F1428" s="175">
        <v>26250.30078125</v>
      </c>
      <c r="G1428" s="155">
        <f t="shared" si="45"/>
        <v>-2.9720587604740519E-3</v>
      </c>
    </row>
    <row r="1429" spans="1:7" ht="12.75" customHeight="1" x14ac:dyDescent="0.3">
      <c r="A1429" s="174">
        <v>46028</v>
      </c>
      <c r="B1429" s="155">
        <v>1601.8</v>
      </c>
      <c r="C1429" s="155">
        <f t="shared" si="44"/>
        <v>3.0684451124051997E-3</v>
      </c>
      <c r="E1429" s="174">
        <v>46028</v>
      </c>
      <c r="F1429" s="175">
        <v>26178.69921875</v>
      </c>
      <c r="G1429" s="155">
        <f t="shared" si="45"/>
        <v>-2.7276473171363958E-3</v>
      </c>
    </row>
    <row r="1430" spans="1:7" ht="12.75" customHeight="1" x14ac:dyDescent="0.3">
      <c r="A1430" s="174">
        <v>46029</v>
      </c>
      <c r="B1430" s="155">
        <v>1625.2</v>
      </c>
      <c r="C1430" s="155">
        <f t="shared" si="44"/>
        <v>1.4608565363965596E-2</v>
      </c>
      <c r="E1430" s="174">
        <v>46029</v>
      </c>
      <c r="F1430" s="175">
        <v>26140.75</v>
      </c>
      <c r="G1430" s="155">
        <f t="shared" si="45"/>
        <v>-1.4496220164682432E-3</v>
      </c>
    </row>
    <row r="1431" spans="1:7" ht="12.75" customHeight="1" x14ac:dyDescent="0.3">
      <c r="A1431" s="174">
        <v>46030</v>
      </c>
      <c r="B1431" s="155">
        <v>1577.9</v>
      </c>
      <c r="C1431" s="155">
        <f t="shared" si="44"/>
        <v>-2.9104110263352172E-2</v>
      </c>
      <c r="E1431" s="174">
        <v>46030</v>
      </c>
      <c r="F1431" s="175">
        <v>25876.849609375</v>
      </c>
      <c r="G1431" s="155">
        <f t="shared" si="45"/>
        <v>-1.0095364158449929E-2</v>
      </c>
    </row>
    <row r="1432" spans="1:7" ht="12.75" customHeight="1" x14ac:dyDescent="0.3">
      <c r="A1432" s="174">
        <v>46031</v>
      </c>
      <c r="B1432" s="155">
        <v>1582.2</v>
      </c>
      <c r="C1432" s="155">
        <f t="shared" si="44"/>
        <v>2.7251410102034058E-3</v>
      </c>
      <c r="E1432" s="174">
        <v>46031</v>
      </c>
      <c r="F1432" s="175">
        <v>25683.30078125</v>
      </c>
      <c r="G1432" s="155">
        <f t="shared" si="45"/>
        <v>-7.4796132854935563E-3</v>
      </c>
    </row>
    <row r="1433" spans="1:7" ht="12.75" customHeight="1" x14ac:dyDescent="0.3">
      <c r="A1433" s="174">
        <v>46034</v>
      </c>
      <c r="B1433" s="155">
        <v>1586.1</v>
      </c>
      <c r="C1433" s="155">
        <f t="shared" si="44"/>
        <v>2.464922260144017E-3</v>
      </c>
      <c r="E1433" s="174">
        <v>46034</v>
      </c>
      <c r="F1433" s="175">
        <v>25790.25</v>
      </c>
      <c r="G1433" s="155">
        <f t="shared" si="45"/>
        <v>4.1641539637334267E-3</v>
      </c>
    </row>
    <row r="1434" spans="1:7" ht="12.75" customHeight="1" x14ac:dyDescent="0.3">
      <c r="A1434" s="174">
        <v>46035</v>
      </c>
      <c r="B1434" s="155">
        <v>1614.8</v>
      </c>
      <c r="C1434" s="155">
        <f t="shared" si="44"/>
        <v>1.8094697686148443E-2</v>
      </c>
      <c r="E1434" s="174">
        <v>46035</v>
      </c>
      <c r="F1434" s="175">
        <v>25732.30078125</v>
      </c>
      <c r="G1434" s="155">
        <f t="shared" si="45"/>
        <v>-2.2469428853927357E-3</v>
      </c>
    </row>
    <row r="1435" spans="1:7" ht="12.75" customHeight="1" x14ac:dyDescent="0.3">
      <c r="A1435" s="174">
        <v>46036</v>
      </c>
      <c r="B1435" s="155">
        <v>1588.5</v>
      </c>
      <c r="C1435" s="155">
        <f t="shared" si="44"/>
        <v>-1.628684666831803E-2</v>
      </c>
      <c r="E1435" s="174">
        <v>46036</v>
      </c>
      <c r="F1435" s="175">
        <v>25665.599609375</v>
      </c>
      <c r="G1435" s="155">
        <f t="shared" si="45"/>
        <v>-2.5921184600641006E-3</v>
      </c>
    </row>
    <row r="1436" spans="1:7" ht="12.75" customHeight="1" x14ac:dyDescent="0.3">
      <c r="A1436" s="174">
        <v>46038</v>
      </c>
      <c r="B1436" s="155">
        <v>1670.5</v>
      </c>
      <c r="C1436" s="155">
        <f t="shared" si="44"/>
        <v>5.1621026125275415E-2</v>
      </c>
      <c r="E1436" s="174">
        <v>46038</v>
      </c>
      <c r="F1436" s="175">
        <v>25694.349609375</v>
      </c>
      <c r="G1436" s="155">
        <f t="shared" si="45"/>
        <v>1.1201764399651254E-3</v>
      </c>
    </row>
    <row r="1437" spans="1:7" ht="12.75" customHeight="1" x14ac:dyDescent="0.3">
      <c r="A1437" s="174">
        <v>46041</v>
      </c>
      <c r="B1437" s="155">
        <v>1718.3</v>
      </c>
      <c r="C1437" s="155">
        <f t="shared" si="44"/>
        <v>2.8614187369051153E-2</v>
      </c>
      <c r="E1437" s="174">
        <v>46041</v>
      </c>
      <c r="F1437" s="175">
        <v>25585.5</v>
      </c>
      <c r="G1437" s="155">
        <f t="shared" si="45"/>
        <v>-4.2363247573810724E-3</v>
      </c>
    </row>
    <row r="1438" spans="1:7" ht="12.75" customHeight="1" x14ac:dyDescent="0.3">
      <c r="A1438" s="174">
        <v>46042</v>
      </c>
      <c r="B1438" s="155">
        <v>1678.5</v>
      </c>
      <c r="C1438" s="155">
        <f t="shared" si="44"/>
        <v>-2.3162427981144127E-2</v>
      </c>
      <c r="E1438" s="174">
        <v>46042</v>
      </c>
      <c r="F1438" s="175">
        <v>25232.5</v>
      </c>
      <c r="G1438" s="155">
        <f t="shared" si="45"/>
        <v>-1.3796877137441129E-2</v>
      </c>
    </row>
    <row r="1439" spans="1:7" ht="12.75" customHeight="1" x14ac:dyDescent="0.3">
      <c r="A1439" s="174">
        <v>46043</v>
      </c>
      <c r="B1439" s="155">
        <v>1686.7</v>
      </c>
      <c r="C1439" s="155">
        <f t="shared" si="44"/>
        <v>4.8853142686923123E-3</v>
      </c>
      <c r="E1439" s="174">
        <v>46043</v>
      </c>
      <c r="F1439" s="175">
        <v>25157.5</v>
      </c>
      <c r="G1439" s="155">
        <f t="shared" si="45"/>
        <v>-2.9723570791637768E-3</v>
      </c>
    </row>
    <row r="1440" spans="1:7" ht="12.75" customHeight="1" x14ac:dyDescent="0.3">
      <c r="A1440" s="174">
        <v>46044</v>
      </c>
      <c r="B1440" s="155">
        <v>1687.4</v>
      </c>
      <c r="C1440" s="155">
        <f t="shared" si="44"/>
        <v>4.150115610363701E-4</v>
      </c>
      <c r="E1440" s="174">
        <v>46044</v>
      </c>
      <c r="F1440" s="175">
        <v>25289.900390625</v>
      </c>
      <c r="G1440" s="155">
        <f t="shared" si="45"/>
        <v>5.2628596094603996E-3</v>
      </c>
    </row>
    <row r="1441" spans="1:7" ht="12.75" customHeight="1" x14ac:dyDescent="0.3">
      <c r="A1441" s="174">
        <v>46045</v>
      </c>
      <c r="B1441" s="155">
        <v>1701.1</v>
      </c>
      <c r="C1441" s="155">
        <f t="shared" si="44"/>
        <v>8.1189996444232648E-3</v>
      </c>
      <c r="E1441" s="174">
        <v>46045</v>
      </c>
      <c r="F1441" s="175">
        <v>25048.650390625</v>
      </c>
      <c r="G1441" s="155">
        <f t="shared" si="45"/>
        <v>-9.5393811867061241E-3</v>
      </c>
    </row>
    <row r="1442" spans="1:7" ht="12.75" customHeight="1" x14ac:dyDescent="0.3">
      <c r="A1442" s="174">
        <v>46049</v>
      </c>
      <c r="B1442" s="155">
        <v>1745.1</v>
      </c>
      <c r="C1442" s="155">
        <f t="shared" si="44"/>
        <v>2.5865616365880903E-2</v>
      </c>
      <c r="E1442" s="174">
        <v>46049</v>
      </c>
      <c r="F1442" s="175">
        <v>25175.400390625</v>
      </c>
      <c r="G1442" s="155">
        <f t="shared" si="45"/>
        <v>5.0601528634628126E-3</v>
      </c>
    </row>
    <row r="1443" spans="1:7" ht="12.75" customHeight="1" x14ac:dyDescent="0.3">
      <c r="A1443" s="174">
        <v>46050</v>
      </c>
      <c r="B1443" s="155">
        <v>1762.9</v>
      </c>
      <c r="C1443" s="155">
        <f t="shared" si="44"/>
        <v>1.0199988539338825E-2</v>
      </c>
      <c r="E1443" s="174">
        <v>46050</v>
      </c>
      <c r="F1443" s="175">
        <v>25342.75</v>
      </c>
      <c r="G1443" s="155">
        <f t="shared" si="45"/>
        <v>6.6473464881741809E-3</v>
      </c>
    </row>
    <row r="1444" spans="1:7" ht="12.75" customHeight="1" x14ac:dyDescent="0.3">
      <c r="A1444" s="174">
        <v>46051</v>
      </c>
      <c r="B1444" s="155">
        <v>1768.4</v>
      </c>
      <c r="C1444" s="155">
        <f t="shared" si="44"/>
        <v>3.1198593227069033E-3</v>
      </c>
      <c r="E1444" s="174">
        <v>46051</v>
      </c>
      <c r="F1444" s="175">
        <v>25418.900390625</v>
      </c>
      <c r="G1444" s="155">
        <f t="shared" si="45"/>
        <v>3.004819548983437E-3</v>
      </c>
    </row>
    <row r="1445" spans="1:7" ht="12.75" customHeight="1" x14ac:dyDescent="0.3">
      <c r="A1445" s="174">
        <v>46052</v>
      </c>
      <c r="B1445" s="155">
        <v>1743.1</v>
      </c>
      <c r="C1445" s="155">
        <f t="shared" si="44"/>
        <v>-1.43067179371184E-2</v>
      </c>
      <c r="E1445" s="174">
        <v>46052</v>
      </c>
      <c r="F1445" s="175">
        <v>25320.650390625</v>
      </c>
      <c r="G1445" s="155">
        <f t="shared" si="45"/>
        <v>-3.8652340774047241E-3</v>
      </c>
    </row>
    <row r="1446" spans="1:7" ht="12.75" customHeight="1" x14ac:dyDescent="0.3">
      <c r="A1446" s="174">
        <v>46055</v>
      </c>
      <c r="B1446" s="155">
        <v>1724</v>
      </c>
      <c r="C1446" s="155">
        <f t="shared" si="44"/>
        <v>-1.0957489530147387E-2</v>
      </c>
      <c r="E1446" s="174">
        <v>46055</v>
      </c>
      <c r="F1446" s="175">
        <v>25088.400390625</v>
      </c>
      <c r="G1446" s="155">
        <f t="shared" si="45"/>
        <v>-9.1723552285209401E-3</v>
      </c>
    </row>
    <row r="1447" spans="1:7" ht="12.75" customHeight="1" x14ac:dyDescent="0.3">
      <c r="A1447" s="174">
        <v>46056</v>
      </c>
      <c r="B1447" s="155">
        <v>1716.5</v>
      </c>
      <c r="C1447" s="155">
        <f t="shared" si="44"/>
        <v>-4.3503480278422272E-3</v>
      </c>
      <c r="E1447" s="174">
        <v>46056</v>
      </c>
      <c r="F1447" s="175">
        <v>25727.55078125</v>
      </c>
      <c r="G1447" s="155">
        <f t="shared" si="45"/>
        <v>2.5475932330218904E-2</v>
      </c>
    </row>
    <row r="1448" spans="1:7" ht="12.75" customHeight="1" x14ac:dyDescent="0.3">
      <c r="A1448" s="174">
        <v>46057</v>
      </c>
      <c r="B1448" s="155">
        <v>1645.3</v>
      </c>
      <c r="C1448" s="155">
        <f t="shared" si="44"/>
        <v>-4.1479755316050131E-2</v>
      </c>
      <c r="E1448" s="174">
        <v>46057</v>
      </c>
      <c r="F1448" s="175">
        <v>25776</v>
      </c>
      <c r="G1448" s="155">
        <f t="shared" si="45"/>
        <v>1.8831648283174059E-3</v>
      </c>
    </row>
    <row r="1449" spans="1:7" ht="12.75" customHeight="1" x14ac:dyDescent="0.3">
      <c r="A1449" s="174">
        <v>46058</v>
      </c>
      <c r="B1449" s="155">
        <v>1646.2</v>
      </c>
      <c r="C1449" s="155">
        <f t="shared" si="44"/>
        <v>5.4701270285059927E-4</v>
      </c>
      <c r="E1449" s="174">
        <v>46058</v>
      </c>
      <c r="F1449" s="175">
        <v>25642.80078125</v>
      </c>
      <c r="G1449" s="155">
        <f t="shared" si="45"/>
        <v>-5.1675674561607694E-3</v>
      </c>
    </row>
    <row r="1450" spans="1:7" ht="12.75" customHeight="1" x14ac:dyDescent="0.3">
      <c r="A1450" s="174">
        <v>46059</v>
      </c>
      <c r="B1450" s="155">
        <v>1619.9</v>
      </c>
      <c r="C1450" s="155">
        <f t="shared" si="44"/>
        <v>-1.5976187583525668E-2</v>
      </c>
      <c r="E1450" s="174">
        <v>46059</v>
      </c>
      <c r="F1450" s="175">
        <v>25693.69921875</v>
      </c>
      <c r="G1450" s="155">
        <f t="shared" si="45"/>
        <v>1.9849016468285676E-3</v>
      </c>
    </row>
    <row r="1451" spans="1:7" ht="12.75" customHeight="1" x14ac:dyDescent="0.3">
      <c r="A1451" s="174">
        <v>46062</v>
      </c>
      <c r="B1451" s="155">
        <v>1621.7</v>
      </c>
      <c r="C1451" s="155">
        <f t="shared" si="44"/>
        <v>1.1111797024507405E-3</v>
      </c>
      <c r="E1451" s="174">
        <v>46062</v>
      </c>
      <c r="F1451" s="175">
        <v>25867.30078125</v>
      </c>
      <c r="G1451" s="155">
        <f t="shared" si="45"/>
        <v>6.7565810988132885E-3</v>
      </c>
    </row>
    <row r="1452" spans="1:7" ht="12.75" customHeight="1" x14ac:dyDescent="0.3">
      <c r="A1452" s="174">
        <v>46063</v>
      </c>
      <c r="B1452" s="155">
        <v>1644.6</v>
      </c>
      <c r="C1452" s="155">
        <f t="shared" si="44"/>
        <v>1.4120984152432547E-2</v>
      </c>
      <c r="E1452" s="174">
        <v>46063</v>
      </c>
      <c r="F1452" s="175">
        <v>25935.150390625</v>
      </c>
      <c r="G1452" s="155">
        <f t="shared" si="45"/>
        <v>2.6229876069706129E-3</v>
      </c>
    </row>
    <row r="1453" spans="1:7" ht="12.75" customHeight="1" x14ac:dyDescent="0.3">
      <c r="A1453" s="174">
        <v>46064</v>
      </c>
      <c r="B1453" s="155">
        <v>1634.4</v>
      </c>
      <c r="C1453" s="155">
        <f t="shared" si="44"/>
        <v>-6.2021160160524256E-3</v>
      </c>
      <c r="E1453" s="174">
        <v>46064</v>
      </c>
      <c r="F1453" s="175">
        <v>25953.849609375</v>
      </c>
      <c r="G1453" s="155">
        <f t="shared" si="45"/>
        <v>7.2099904833246569E-4</v>
      </c>
    </row>
    <row r="1454" spans="1:7" ht="12.75" customHeight="1" x14ac:dyDescent="0.3">
      <c r="A1454" s="174">
        <v>46065</v>
      </c>
      <c r="B1454" s="155">
        <v>1536.6</v>
      </c>
      <c r="C1454" s="155">
        <f t="shared" si="44"/>
        <v>-5.9838472834067659E-2</v>
      </c>
      <c r="E1454" s="174">
        <v>46065</v>
      </c>
      <c r="F1454" s="175">
        <v>25807.19921875</v>
      </c>
      <c r="G1454" s="155">
        <f t="shared" si="45"/>
        <v>-5.6504292362096155E-3</v>
      </c>
    </row>
    <row r="1455" spans="1:7" ht="12.75" customHeight="1" x14ac:dyDescent="0.3">
      <c r="A1455" s="174">
        <v>46066</v>
      </c>
      <c r="B1455" s="155">
        <v>1534.4</v>
      </c>
      <c r="C1455" s="155">
        <f t="shared" si="44"/>
        <v>-1.431732396199283E-3</v>
      </c>
      <c r="E1455" s="174">
        <v>46066</v>
      </c>
      <c r="F1455" s="175">
        <v>25471.099609375</v>
      </c>
      <c r="G1455" s="155">
        <f t="shared" si="45"/>
        <v>-1.3023482576552116E-2</v>
      </c>
    </row>
    <row r="1456" spans="1:7" ht="12.75" customHeight="1" x14ac:dyDescent="0.3">
      <c r="A1456" s="174">
        <v>46069</v>
      </c>
      <c r="B1456" s="155">
        <v>1512.7</v>
      </c>
      <c r="C1456" s="155">
        <f t="shared" si="44"/>
        <v>-1.4142335766423387E-2</v>
      </c>
      <c r="E1456" s="174">
        <v>46069</v>
      </c>
      <c r="F1456" s="175">
        <v>25682.75</v>
      </c>
      <c r="G1456" s="155">
        <f t="shared" si="45"/>
        <v>8.3094328030933959E-3</v>
      </c>
    </row>
    <row r="1457" spans="1:7" ht="12.75" customHeight="1" x14ac:dyDescent="0.3">
      <c r="A1457" s="174">
        <v>46070</v>
      </c>
      <c r="B1457" s="155">
        <v>1523.8</v>
      </c>
      <c r="C1457" s="155">
        <f t="shared" si="44"/>
        <v>7.3378726779929323E-3</v>
      </c>
      <c r="E1457" s="174">
        <v>46070</v>
      </c>
      <c r="F1457" s="175">
        <v>25725.400390625</v>
      </c>
      <c r="G1457" s="155">
        <f t="shared" si="45"/>
        <v>1.6606629206373927E-3</v>
      </c>
    </row>
    <row r="1458" spans="1:7" ht="12.75" customHeight="1" x14ac:dyDescent="0.3">
      <c r="A1458" s="174">
        <v>46071</v>
      </c>
      <c r="B1458" s="155">
        <v>1504.8</v>
      </c>
      <c r="C1458" s="155">
        <f t="shared" si="44"/>
        <v>-1.2468827930174564E-2</v>
      </c>
      <c r="E1458" s="174">
        <v>46071</v>
      </c>
      <c r="F1458" s="175">
        <v>25819.349609375</v>
      </c>
      <c r="G1458" s="155">
        <f t="shared" si="45"/>
        <v>3.6520021971839754E-3</v>
      </c>
    </row>
    <row r="1459" spans="1:7" ht="12.75" customHeight="1" x14ac:dyDescent="0.3">
      <c r="A1459" s="174">
        <v>46072</v>
      </c>
      <c r="B1459" s="155">
        <v>1479.3</v>
      </c>
      <c r="C1459" s="155">
        <f t="shared" si="44"/>
        <v>-1.6945773524720893E-2</v>
      </c>
      <c r="E1459" s="174">
        <v>46072</v>
      </c>
      <c r="F1459" s="175">
        <v>25454.349609375</v>
      </c>
      <c r="G1459" s="155">
        <f t="shared" si="45"/>
        <v>-1.4136684522350191E-2</v>
      </c>
    </row>
    <row r="1460" spans="1:7" ht="12.75" customHeight="1" x14ac:dyDescent="0.3">
      <c r="A1460" s="174">
        <v>46073</v>
      </c>
      <c r="B1460" s="155">
        <v>1456.9</v>
      </c>
      <c r="C1460" s="155">
        <f t="shared" si="44"/>
        <v>-1.5142297032380087E-2</v>
      </c>
      <c r="E1460" s="174">
        <v>46073</v>
      </c>
      <c r="F1460" s="175">
        <v>25571.25</v>
      </c>
      <c r="G1460" s="155">
        <f t="shared" si="45"/>
        <v>4.5925506806877847E-3</v>
      </c>
    </row>
    <row r="1461" spans="1:7" ht="12.75" customHeight="1" x14ac:dyDescent="0.3">
      <c r="A1461" s="174">
        <v>46076</v>
      </c>
      <c r="B1461" s="155">
        <v>1440.9</v>
      </c>
      <c r="C1461" s="155">
        <f t="shared" si="44"/>
        <v>-1.0982222527283958E-2</v>
      </c>
      <c r="E1461" s="174">
        <v>46076</v>
      </c>
      <c r="F1461" s="175">
        <v>25713</v>
      </c>
      <c r="G1461" s="155">
        <f t="shared" si="45"/>
        <v>5.5433347998240208E-3</v>
      </c>
    </row>
    <row r="1462" spans="1:7" ht="12.75" customHeight="1" x14ac:dyDescent="0.3">
      <c r="A1462" s="174">
        <v>46077</v>
      </c>
      <c r="B1462" s="155">
        <v>1345.4</v>
      </c>
      <c r="C1462" s="155">
        <f t="shared" si="44"/>
        <v>-6.6278020681518487E-2</v>
      </c>
      <c r="E1462" s="174">
        <v>46077</v>
      </c>
      <c r="F1462" s="175">
        <v>25424.650390625</v>
      </c>
      <c r="G1462" s="155">
        <f t="shared" si="45"/>
        <v>-1.1214156627970288E-2</v>
      </c>
    </row>
    <row r="1463" spans="1:7" ht="12.75" customHeight="1" x14ac:dyDescent="0.3">
      <c r="A1463" s="174">
        <v>46078</v>
      </c>
      <c r="B1463" s="155">
        <v>1361.8</v>
      </c>
      <c r="C1463" s="155">
        <f t="shared" si="44"/>
        <v>1.2189683365541744E-2</v>
      </c>
      <c r="E1463" s="174">
        <v>46078</v>
      </c>
      <c r="F1463" s="175">
        <v>25482.5</v>
      </c>
      <c r="G1463" s="155">
        <f t="shared" si="45"/>
        <v>2.2753354908011348E-3</v>
      </c>
    </row>
    <row r="1464" spans="1:7" ht="12.75" customHeight="1" x14ac:dyDescent="0.3">
      <c r="A1464" s="174">
        <v>46079</v>
      </c>
      <c r="B1464" s="155">
        <v>1361.8</v>
      </c>
      <c r="C1464" s="155">
        <f t="shared" si="44"/>
        <v>0</v>
      </c>
      <c r="E1464" s="174">
        <v>46079</v>
      </c>
      <c r="F1464" s="175">
        <v>25496.55078125</v>
      </c>
      <c r="G1464" s="155">
        <f t="shared" si="45"/>
        <v>5.5138943392524285E-4</v>
      </c>
    </row>
    <row r="1465" spans="1:7" ht="12.75" customHeight="1" x14ac:dyDescent="0.3">
      <c r="A1465" s="174">
        <v>46080</v>
      </c>
      <c r="B1465" s="155">
        <v>1357.8</v>
      </c>
      <c r="C1465" s="155">
        <f t="shared" si="44"/>
        <v>-2.9372888823615802E-3</v>
      </c>
      <c r="E1465" s="174">
        <v>46080</v>
      </c>
      <c r="F1465" s="175">
        <v>25178.650390625</v>
      </c>
      <c r="G1465" s="155">
        <f t="shared" si="45"/>
        <v>-1.2468368500212268E-2</v>
      </c>
    </row>
    <row r="1466" spans="1:7" ht="12.75" customHeight="1" x14ac:dyDescent="0.3">
      <c r="A1466" s="174">
        <v>46083</v>
      </c>
      <c r="B1466" s="155">
        <v>1345.4</v>
      </c>
      <c r="C1466" s="155">
        <f t="shared" si="44"/>
        <v>-9.1324200913241015E-3</v>
      </c>
      <c r="E1466" s="174">
        <v>46083</v>
      </c>
      <c r="F1466" s="175">
        <v>24865.69921875</v>
      </c>
      <c r="G1466" s="155">
        <f t="shared" si="45"/>
        <v>-1.2429227421638295E-2</v>
      </c>
    </row>
    <row r="1467" spans="1:7" ht="12.75" customHeight="1" x14ac:dyDescent="0.3">
      <c r="A1467" s="174">
        <v>46085</v>
      </c>
      <c r="B1467" s="155">
        <v>1351.2</v>
      </c>
      <c r="C1467" s="155">
        <f t="shared" si="44"/>
        <v>4.3109855804964728E-3</v>
      </c>
      <c r="E1467" s="174">
        <v>46085</v>
      </c>
      <c r="F1467" s="175">
        <v>24480.5</v>
      </c>
      <c r="G1467" s="155">
        <f t="shared" si="45"/>
        <v>-1.5491187895474108E-2</v>
      </c>
    </row>
    <row r="1468" spans="1:7" ht="12.75" customHeight="1" x14ac:dyDescent="0.3">
      <c r="A1468" s="174">
        <v>46086</v>
      </c>
      <c r="B1468" s="155">
        <v>1333.3</v>
      </c>
      <c r="C1468" s="155">
        <f t="shared" si="44"/>
        <v>-1.3247483718176502E-2</v>
      </c>
      <c r="E1468" s="174">
        <v>46086</v>
      </c>
      <c r="F1468" s="175">
        <v>24765.900390625</v>
      </c>
      <c r="G1468" s="155">
        <f t="shared" si="45"/>
        <v>1.165827457057658E-2</v>
      </c>
    </row>
    <row r="1469" spans="1:7" ht="12.75" customHeight="1" x14ac:dyDescent="0.3">
      <c r="A1469" s="174">
        <v>46087</v>
      </c>
      <c r="B1469" s="155">
        <v>1331.7</v>
      </c>
      <c r="C1469" s="155">
        <f t="shared" si="44"/>
        <v>-1.2000300007499506E-3</v>
      </c>
      <c r="E1469" s="174">
        <v>46087</v>
      </c>
      <c r="F1469" s="175">
        <v>24450.44921875</v>
      </c>
      <c r="G1469" s="155">
        <f t="shared" si="45"/>
        <v>-1.273731893044407E-2</v>
      </c>
    </row>
    <row r="1470" spans="1:7" ht="12.75" customHeight="1" x14ac:dyDescent="0.3">
      <c r="A1470" s="174">
        <v>46090</v>
      </c>
      <c r="B1470" s="155">
        <v>1336.3</v>
      </c>
      <c r="C1470" s="155">
        <f t="shared" si="44"/>
        <v>3.4542314335059767E-3</v>
      </c>
      <c r="E1470" s="174">
        <v>46090</v>
      </c>
      <c r="F1470" s="175">
        <v>24028.05078125</v>
      </c>
      <c r="G1470" s="155">
        <f t="shared" si="45"/>
        <v>-1.7275692308183883E-2</v>
      </c>
    </row>
    <row r="1471" spans="1:7" ht="12.75" customHeight="1" x14ac:dyDescent="0.3">
      <c r="A1471" s="174">
        <v>46091</v>
      </c>
      <c r="B1471" s="155">
        <v>1336.6</v>
      </c>
      <c r="C1471" s="155">
        <f t="shared" si="44"/>
        <v>2.2450048641768655E-4</v>
      </c>
      <c r="E1471" s="174">
        <v>46091</v>
      </c>
      <c r="F1471" s="175">
        <v>24261.599609375</v>
      </c>
      <c r="G1471" s="155">
        <f t="shared" si="45"/>
        <v>9.7198407915488096E-3</v>
      </c>
    </row>
    <row r="1472" spans="1:7" ht="12.75" customHeight="1" x14ac:dyDescent="0.3">
      <c r="A1472" s="174">
        <v>46092</v>
      </c>
      <c r="B1472" s="155">
        <v>1334.4</v>
      </c>
      <c r="C1472" s="155">
        <f t="shared" si="44"/>
        <v>-1.6459673799190621E-3</v>
      </c>
      <c r="E1472" s="174">
        <v>46092</v>
      </c>
      <c r="F1472" s="175">
        <v>23866.849609375</v>
      </c>
      <c r="G1472" s="155">
        <f t="shared" si="45"/>
        <v>-1.6270567743087452E-2</v>
      </c>
    </row>
    <row r="1473" spans="1:7" ht="12.75" customHeight="1" x14ac:dyDescent="0.3">
      <c r="A1473" s="174">
        <v>46093</v>
      </c>
      <c r="B1473" s="155">
        <v>1349.8</v>
      </c>
      <c r="C1473" s="155">
        <f t="shared" si="44"/>
        <v>1.1540767386091024E-2</v>
      </c>
      <c r="E1473" s="174">
        <v>46093</v>
      </c>
      <c r="F1473" s="175">
        <v>23639.150390625</v>
      </c>
      <c r="G1473" s="155">
        <f t="shared" si="45"/>
        <v>-9.5403969303329752E-3</v>
      </c>
    </row>
    <row r="1474" spans="1:7" ht="12.75" customHeight="1" x14ac:dyDescent="0.3">
      <c r="A1474" s="174">
        <v>46094</v>
      </c>
      <c r="B1474" s="155">
        <v>1332.8</v>
      </c>
      <c r="C1474" s="155">
        <f t="shared" si="44"/>
        <v>-1.2594458438287154E-2</v>
      </c>
      <c r="E1474" s="174">
        <v>46094</v>
      </c>
      <c r="F1474" s="175">
        <v>23151.099609375</v>
      </c>
      <c r="G1474" s="155">
        <f t="shared" si="45"/>
        <v>-2.0645868112229408E-2</v>
      </c>
    </row>
    <row r="1475" spans="1:7" ht="12.75" customHeight="1" x14ac:dyDescent="0.3">
      <c r="A1475" s="174">
        <v>46097</v>
      </c>
      <c r="B1475" s="155">
        <v>1339.5</v>
      </c>
      <c r="C1475" s="155">
        <f t="shared" si="44"/>
        <v>5.027010804321763E-3</v>
      </c>
      <c r="E1475" s="174">
        <v>46097</v>
      </c>
      <c r="F1475" s="175">
        <v>23408.80078125</v>
      </c>
      <c r="G1475" s="155">
        <f t="shared" si="45"/>
        <v>1.1131271353117254E-2</v>
      </c>
    </row>
    <row r="1476" spans="1:7" ht="12.75" customHeight="1" x14ac:dyDescent="0.3">
      <c r="A1476" s="174">
        <v>46098</v>
      </c>
      <c r="B1476" s="155">
        <v>1341.8</v>
      </c>
      <c r="C1476" s="155">
        <f t="shared" ref="C1476:C1484" si="46">(B1476-B1475)/B1475</f>
        <v>1.7170586039566664E-3</v>
      </c>
      <c r="E1476" s="174">
        <v>46098</v>
      </c>
      <c r="F1476" s="175">
        <v>23581.150390625</v>
      </c>
      <c r="G1476" s="155">
        <f t="shared" ref="G1476:G1484" si="47">(F1476-F1475)/F1475</f>
        <v>7.3625988356075351E-3</v>
      </c>
    </row>
    <row r="1477" spans="1:7" ht="12.75" customHeight="1" x14ac:dyDescent="0.3">
      <c r="A1477" s="174">
        <v>46099</v>
      </c>
      <c r="B1477" s="155">
        <v>1385.2</v>
      </c>
      <c r="C1477" s="155">
        <f t="shared" si="46"/>
        <v>3.2344611715605973E-2</v>
      </c>
      <c r="E1477" s="174">
        <v>46099</v>
      </c>
      <c r="F1477" s="175">
        <v>23777.80078125</v>
      </c>
      <c r="G1477" s="155">
        <f t="shared" si="47"/>
        <v>8.339304375208979E-3</v>
      </c>
    </row>
    <row r="1478" spans="1:7" ht="12.75" customHeight="1" x14ac:dyDescent="0.3">
      <c r="A1478" s="174">
        <v>46100</v>
      </c>
      <c r="B1478" s="155">
        <v>1340.6</v>
      </c>
      <c r="C1478" s="155">
        <f t="shared" si="46"/>
        <v>-3.2197516604100591E-2</v>
      </c>
      <c r="E1478" s="174">
        <v>46100</v>
      </c>
      <c r="F1478" s="175">
        <v>23002.150390625</v>
      </c>
      <c r="G1478" s="155">
        <f t="shared" si="47"/>
        <v>-3.2620779262169594E-2</v>
      </c>
    </row>
    <row r="1479" spans="1:7" ht="12.75" customHeight="1" x14ac:dyDescent="0.3">
      <c r="A1479" s="174">
        <v>46101</v>
      </c>
      <c r="B1479" s="155">
        <v>1384.8</v>
      </c>
      <c r="C1479" s="155">
        <f t="shared" si="46"/>
        <v>3.2970311800686297E-2</v>
      </c>
      <c r="E1479" s="174">
        <v>46101</v>
      </c>
      <c r="F1479" s="175">
        <v>23114.5</v>
      </c>
      <c r="G1479" s="155">
        <f t="shared" si="47"/>
        <v>4.8843089653387538E-3</v>
      </c>
    </row>
    <row r="1480" spans="1:7" ht="12.75" customHeight="1" x14ac:dyDescent="0.3">
      <c r="A1480" s="174">
        <v>46104</v>
      </c>
      <c r="B1480" s="155">
        <v>1384</v>
      </c>
      <c r="C1480" s="155">
        <f t="shared" si="46"/>
        <v>-5.7770075101094354E-4</v>
      </c>
      <c r="E1480" s="174">
        <v>46104</v>
      </c>
      <c r="F1480" s="175">
        <v>22512.650390625</v>
      </c>
      <c r="G1480" s="155">
        <f t="shared" si="47"/>
        <v>-2.6037751600726817E-2</v>
      </c>
    </row>
    <row r="1481" spans="1:7" ht="12.75" customHeight="1" x14ac:dyDescent="0.3">
      <c r="A1481" s="174">
        <v>46105</v>
      </c>
      <c r="B1481" s="155">
        <v>1432.7</v>
      </c>
      <c r="C1481" s="155">
        <f t="shared" si="46"/>
        <v>3.5187861271676335E-2</v>
      </c>
      <c r="E1481" s="174">
        <v>46105</v>
      </c>
      <c r="F1481" s="175">
        <v>22912.400390625</v>
      </c>
      <c r="G1481" s="155">
        <f t="shared" si="47"/>
        <v>1.7756683156527359E-2</v>
      </c>
    </row>
    <row r="1482" spans="1:7" ht="12.75" customHeight="1" x14ac:dyDescent="0.3">
      <c r="A1482" s="174">
        <v>46106</v>
      </c>
      <c r="B1482" s="155">
        <v>1408.5</v>
      </c>
      <c r="C1482" s="155">
        <f t="shared" si="46"/>
        <v>-1.6891184476861901E-2</v>
      </c>
      <c r="E1482" s="174">
        <v>46106</v>
      </c>
      <c r="F1482" s="175">
        <v>23306.44921875</v>
      </c>
      <c r="G1482" s="155">
        <f t="shared" si="47"/>
        <v>1.719805962740734E-2</v>
      </c>
    </row>
    <row r="1483" spans="1:7" ht="12.75" customHeight="1" x14ac:dyDescent="0.3">
      <c r="A1483" s="174">
        <v>46108</v>
      </c>
      <c r="B1483" s="155">
        <v>1391.6</v>
      </c>
      <c r="C1483" s="155">
        <f t="shared" si="46"/>
        <v>-1.1998580049698325E-2</v>
      </c>
      <c r="E1483" s="174">
        <v>46108</v>
      </c>
      <c r="F1483" s="175">
        <v>22819.599609375</v>
      </c>
      <c r="G1483" s="155">
        <f t="shared" si="47"/>
        <v>-2.0889051129389984E-2</v>
      </c>
    </row>
    <row r="1484" spans="1:7" ht="12.75" customHeight="1" x14ac:dyDescent="0.3">
      <c r="A1484" s="174">
        <v>46111</v>
      </c>
      <c r="B1484" s="155">
        <v>1384</v>
      </c>
      <c r="C1484" s="155">
        <f t="shared" si="46"/>
        <v>-5.4613394653635454E-3</v>
      </c>
      <c r="E1484" s="174">
        <v>46111</v>
      </c>
      <c r="F1484" s="175">
        <v>22331.400390625</v>
      </c>
      <c r="G1484" s="155">
        <f t="shared" si="47"/>
        <v>-2.1393855593742871E-2</v>
      </c>
    </row>
  </sheetData>
  <mergeCells count="9">
    <mergeCell ref="L6:O6"/>
    <mergeCell ref="J8:K8"/>
    <mergeCell ref="J9:K9"/>
    <mergeCell ref="J16:O16"/>
    <mergeCell ref="A1:C1"/>
    <mergeCell ref="E1:G1"/>
    <mergeCell ref="I1:O1"/>
    <mergeCell ref="L3:O3"/>
    <mergeCell ref="L4:O4"/>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30"/>
  <sheetViews>
    <sheetView zoomScale="90" zoomScaleNormal="100" workbookViewId="0">
      <selection activeCell="D12" sqref="D12"/>
    </sheetView>
  </sheetViews>
  <sheetFormatPr defaultColWidth="8.54296875" defaultRowHeight="14" x14ac:dyDescent="0.3"/>
  <cols>
    <col min="1" max="1" width="8.54296875" style="96" customWidth="1"/>
    <col min="2" max="2" width="39.6328125" style="96" customWidth="1"/>
    <col min="3" max="3" width="20" style="96" customWidth="1"/>
    <col min="4" max="4" width="21.7265625" style="96" customWidth="1"/>
    <col min="5" max="5" width="31.453125" style="96" customWidth="1"/>
    <col min="6" max="16384" width="8.54296875" style="96"/>
  </cols>
  <sheetData>
    <row r="1" spans="2:5" ht="27.75" customHeight="1" x14ac:dyDescent="0.3">
      <c r="B1" s="219" t="s">
        <v>137</v>
      </c>
      <c r="C1" s="220"/>
      <c r="D1" s="220"/>
      <c r="E1" s="220"/>
    </row>
    <row r="2" spans="2:5" ht="14.5" thickBot="1" x14ac:dyDescent="0.35"/>
    <row r="3" spans="2:5" ht="18" customHeight="1" x14ac:dyDescent="0.3">
      <c r="B3" s="227" t="s">
        <v>338</v>
      </c>
      <c r="C3" s="228"/>
      <c r="D3" s="228"/>
      <c r="E3" s="229"/>
    </row>
    <row r="4" spans="2:5" ht="15.75" customHeight="1" x14ac:dyDescent="0.3">
      <c r="B4" s="104" t="s">
        <v>11</v>
      </c>
      <c r="C4" s="100" t="s">
        <v>138</v>
      </c>
      <c r="D4" s="100" t="s">
        <v>139</v>
      </c>
      <c r="E4" s="105" t="s">
        <v>140</v>
      </c>
    </row>
    <row r="5" spans="2:5" ht="15" customHeight="1" x14ac:dyDescent="0.3">
      <c r="B5" s="106" t="s">
        <v>141</v>
      </c>
      <c r="C5" s="97">
        <f>Assumptions!G34</f>
        <v>27361</v>
      </c>
      <c r="D5" s="97">
        <v>140076</v>
      </c>
      <c r="E5" s="107">
        <f>D5/(D5+D6)</f>
        <v>0.98574957248717465</v>
      </c>
    </row>
    <row r="6" spans="2:5" ht="15" customHeight="1" x14ac:dyDescent="0.3">
      <c r="B6" s="106" t="s">
        <v>142</v>
      </c>
      <c r="C6" s="97">
        <f>Assumptions!G35</f>
        <v>2025</v>
      </c>
      <c r="D6" s="97">
        <v>2025</v>
      </c>
      <c r="E6" s="107">
        <f>D6/(D5+D6)</f>
        <v>1.4250427512825384E-2</v>
      </c>
    </row>
    <row r="7" spans="2:5" ht="15" customHeight="1" thickBot="1" x14ac:dyDescent="0.35">
      <c r="B7" s="108" t="s">
        <v>143</v>
      </c>
      <c r="C7" s="109">
        <f>C5+C6</f>
        <v>29386</v>
      </c>
      <c r="D7" s="109">
        <f>D5+D6</f>
        <v>142101</v>
      </c>
      <c r="E7" s="110">
        <f>E5+E6</f>
        <v>1</v>
      </c>
    </row>
    <row r="8" spans="2:5" ht="14.5" thickBot="1" x14ac:dyDescent="0.35"/>
    <row r="9" spans="2:5" ht="18" customHeight="1" x14ac:dyDescent="0.35">
      <c r="B9" s="222" t="s">
        <v>337</v>
      </c>
      <c r="C9" s="223"/>
      <c r="D9"/>
      <c r="E9"/>
    </row>
    <row r="10" spans="2:5" ht="15.75" customHeight="1" x14ac:dyDescent="0.35">
      <c r="B10" s="104" t="s">
        <v>11</v>
      </c>
      <c r="C10" s="105" t="s">
        <v>108</v>
      </c>
      <c r="D10"/>
      <c r="E10"/>
    </row>
    <row r="11" spans="2:5" ht="15.75" customHeight="1" x14ac:dyDescent="0.35">
      <c r="B11" s="111" t="s">
        <v>144</v>
      </c>
      <c r="C11" s="112">
        <v>6.7000000000000004E-2</v>
      </c>
      <c r="D11"/>
      <c r="E11"/>
    </row>
    <row r="12" spans="2:5" ht="15.75" customHeight="1" x14ac:dyDescent="0.35">
      <c r="B12" s="111" t="s">
        <v>145</v>
      </c>
      <c r="C12" s="112">
        <v>7.4399999999999994E-2</v>
      </c>
      <c r="D12"/>
      <c r="E12"/>
    </row>
    <row r="13" spans="2:5" ht="15.75" customHeight="1" x14ac:dyDescent="0.35">
      <c r="B13" s="111" t="s">
        <v>349</v>
      </c>
      <c r="C13" s="113">
        <f>Beta!K4</f>
        <v>0.88898841473358059</v>
      </c>
      <c r="D13"/>
      <c r="E13"/>
    </row>
    <row r="14" spans="2:5" ht="15.75" customHeight="1" x14ac:dyDescent="0.35">
      <c r="B14" s="111" t="s">
        <v>333</v>
      </c>
      <c r="C14" s="112">
        <f>D6/D5</f>
        <v>1.4456437933693137E-2</v>
      </c>
      <c r="D14"/>
      <c r="E14"/>
    </row>
    <row r="15" spans="2:5" ht="15.75" customHeight="1" x14ac:dyDescent="0.35">
      <c r="B15" s="111" t="s">
        <v>334</v>
      </c>
      <c r="C15" s="112">
        <f>C13*C12</f>
        <v>6.6140738056178386E-2</v>
      </c>
      <c r="D15"/>
      <c r="E15"/>
    </row>
    <row r="16" spans="2:5" ht="15.75" customHeight="1" thickBot="1" x14ac:dyDescent="0.4">
      <c r="B16" s="114" t="s">
        <v>146</v>
      </c>
      <c r="C16" s="115">
        <f>C11+C13*C12</f>
        <v>0.13314073805617838</v>
      </c>
      <c r="D16"/>
      <c r="E16"/>
    </row>
    <row r="18" spans="2:5" ht="18" customHeight="1" x14ac:dyDescent="0.35">
      <c r="B18" s="224" t="s">
        <v>336</v>
      </c>
      <c r="C18" s="225"/>
      <c r="D18"/>
      <c r="E18"/>
    </row>
    <row r="19" spans="2:5" ht="15.75" customHeight="1" x14ac:dyDescent="0.35">
      <c r="B19" s="100" t="s">
        <v>11</v>
      </c>
      <c r="C19" s="100" t="s">
        <v>108</v>
      </c>
      <c r="D19"/>
      <c r="E19"/>
    </row>
    <row r="20" spans="2:5" ht="15.75" customHeight="1" x14ac:dyDescent="0.35">
      <c r="B20" s="101" t="s">
        <v>147</v>
      </c>
      <c r="C20" s="97">
        <f>'Consolidated FS'!H16</f>
        <v>322</v>
      </c>
      <c r="D20"/>
      <c r="E20"/>
    </row>
    <row r="21" spans="2:5" ht="15.75" customHeight="1" x14ac:dyDescent="0.35">
      <c r="B21" s="101" t="s">
        <v>148</v>
      </c>
      <c r="C21" s="97">
        <f>('Consolidated FS'!U7+'Consolidated FS'!V7)/2</f>
        <v>2281</v>
      </c>
      <c r="D21"/>
      <c r="E21"/>
    </row>
    <row r="22" spans="2:5" ht="15.75" customHeight="1" x14ac:dyDescent="0.35">
      <c r="B22" s="101" t="s">
        <v>149</v>
      </c>
      <c r="C22" s="102">
        <f>C20/C21</f>
        <v>0.14116615519508988</v>
      </c>
      <c r="D22"/>
      <c r="E22"/>
    </row>
    <row r="23" spans="2:5" ht="15.75" customHeight="1" x14ac:dyDescent="0.35">
      <c r="B23" s="101" t="s">
        <v>150</v>
      </c>
      <c r="C23" s="102">
        <v>0.25</v>
      </c>
      <c r="D23"/>
      <c r="E23"/>
    </row>
    <row r="24" spans="2:5" ht="15.75" customHeight="1" x14ac:dyDescent="0.35">
      <c r="B24" s="98" t="s">
        <v>151</v>
      </c>
      <c r="C24" s="99">
        <f>C22*(1-C23)</f>
        <v>0.1058746163963174</v>
      </c>
      <c r="D24"/>
      <c r="E24"/>
    </row>
    <row r="26" spans="2:5" ht="18" customHeight="1" x14ac:dyDescent="0.3">
      <c r="B26" s="224" t="s">
        <v>335</v>
      </c>
      <c r="C26" s="226"/>
      <c r="D26" s="226"/>
      <c r="E26" s="226"/>
    </row>
    <row r="27" spans="2:5" ht="15.75" customHeight="1" x14ac:dyDescent="0.3">
      <c r="B27" s="100" t="s">
        <v>152</v>
      </c>
      <c r="C27" s="100" t="s">
        <v>153</v>
      </c>
      <c r="D27" s="100" t="s">
        <v>154</v>
      </c>
      <c r="E27" s="100" t="s">
        <v>155</v>
      </c>
    </row>
    <row r="28" spans="2:5" ht="15.75" customHeight="1" x14ac:dyDescent="0.3">
      <c r="B28" s="101" t="s">
        <v>156</v>
      </c>
      <c r="C28" s="102">
        <f>C16</f>
        <v>0.13314073805617838</v>
      </c>
      <c r="D28" s="102">
        <f>E5</f>
        <v>0.98574957248717465</v>
      </c>
      <c r="E28" s="102">
        <f>C28*D28</f>
        <v>0.13124342561950475</v>
      </c>
    </row>
    <row r="29" spans="2:5" ht="15.75" customHeight="1" x14ac:dyDescent="0.3">
      <c r="B29" s="101" t="s">
        <v>157</v>
      </c>
      <c r="C29" s="102">
        <f>C24</f>
        <v>0.1058746163963174</v>
      </c>
      <c r="D29" s="102">
        <f>E6</f>
        <v>1.4250427512825384E-2</v>
      </c>
      <c r="E29" s="102">
        <f>C29*D29</f>
        <v>1.508758546403915E-3</v>
      </c>
    </row>
    <row r="30" spans="2:5" ht="21.75" customHeight="1" x14ac:dyDescent="0.3">
      <c r="B30" s="221" t="s">
        <v>158</v>
      </c>
      <c r="C30" s="221"/>
      <c r="D30" s="221"/>
      <c r="E30" s="103">
        <f>E28+E29</f>
        <v>0.13275218416590867</v>
      </c>
    </row>
  </sheetData>
  <mergeCells count="6">
    <mergeCell ref="B1:E1"/>
    <mergeCell ref="B30:D30"/>
    <mergeCell ref="B9:C9"/>
    <mergeCell ref="B18:C18"/>
    <mergeCell ref="B26:E26"/>
    <mergeCell ref="B3:E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49"/>
  <sheetViews>
    <sheetView zoomScale="89" zoomScaleNormal="100" workbookViewId="0">
      <selection activeCell="J3" sqref="J3:K5"/>
    </sheetView>
  </sheetViews>
  <sheetFormatPr defaultColWidth="8.54296875" defaultRowHeight="14.5" x14ac:dyDescent="0.35"/>
  <cols>
    <col min="1" max="1" width="6.453125" customWidth="1"/>
    <col min="2" max="2" width="37.7265625" customWidth="1"/>
    <col min="3" max="4" width="8.81640625" customWidth="1"/>
    <col min="5" max="6" width="8.90625" customWidth="1"/>
    <col min="7" max="7" width="8.81640625" customWidth="1"/>
    <col min="10" max="10" width="8.81640625" customWidth="1"/>
  </cols>
  <sheetData>
    <row r="2" spans="2:11" ht="14.25" customHeight="1" x14ac:dyDescent="0.35">
      <c r="B2" s="29" t="s">
        <v>11</v>
      </c>
      <c r="C2" s="30">
        <v>2021</v>
      </c>
      <c r="D2" s="30">
        <v>2022</v>
      </c>
      <c r="E2" s="30">
        <v>2023</v>
      </c>
      <c r="F2" s="30">
        <v>2024</v>
      </c>
      <c r="G2" s="30">
        <v>2025</v>
      </c>
      <c r="H2" s="11"/>
      <c r="I2" s="11"/>
      <c r="J2" s="11"/>
      <c r="K2" s="11"/>
    </row>
    <row r="3" spans="2:11" ht="14.25" customHeight="1" x14ac:dyDescent="0.35">
      <c r="B3" s="7" t="s">
        <v>159</v>
      </c>
      <c r="C3" s="31">
        <f>'Consolidated FS'!D5</f>
        <v>37855</v>
      </c>
      <c r="D3" s="31">
        <f>'Consolidated FS'!E5</f>
        <v>44646</v>
      </c>
      <c r="E3" s="31">
        <f>'Consolidated FS'!F5</f>
        <v>53290</v>
      </c>
      <c r="F3" s="31">
        <f>'Consolidated FS'!G5</f>
        <v>51996</v>
      </c>
      <c r="G3" s="31">
        <f>'Consolidated FS'!H5</f>
        <v>52988</v>
      </c>
      <c r="H3" s="11"/>
      <c r="I3" s="11"/>
      <c r="J3" s="11"/>
      <c r="K3" s="11"/>
    </row>
    <row r="4" spans="2:11" ht="14.25" customHeight="1" x14ac:dyDescent="0.35">
      <c r="B4" s="32" t="s">
        <v>160</v>
      </c>
      <c r="C4" s="7"/>
      <c r="D4" s="33">
        <f>(D3-C3)/C3</f>
        <v>0.17939506009774139</v>
      </c>
      <c r="E4" s="33">
        <f>(E3-D3)/D3</f>
        <v>0.19361196971733191</v>
      </c>
      <c r="F4" s="33">
        <f>(F3-E3)/E3</f>
        <v>-2.4282229311315445E-2</v>
      </c>
      <c r="G4" s="33">
        <f>(G3-F3)/F3</f>
        <v>1.9078390645434266E-2</v>
      </c>
      <c r="H4" s="11"/>
      <c r="I4" s="11"/>
      <c r="J4" s="11"/>
      <c r="K4" s="11"/>
    </row>
    <row r="5" spans="2:11" ht="14.25" customHeight="1" x14ac:dyDescent="0.35">
      <c r="B5" s="7" t="s">
        <v>161</v>
      </c>
      <c r="C5" s="31">
        <f>'Consolidated FS'!D8*'Consolidated FS'!D5</f>
        <v>8706.65</v>
      </c>
      <c r="D5" s="31">
        <f>'Consolidated FS'!E8*'Consolidated FS'!E5</f>
        <v>11607.960000000001</v>
      </c>
      <c r="E5" s="31">
        <f>'Consolidated FS'!F8*'Consolidated FS'!F5</f>
        <v>13855.4</v>
      </c>
      <c r="F5" s="31">
        <f>'Consolidated FS'!G8*'Consolidated FS'!G5</f>
        <v>12999</v>
      </c>
      <c r="G5" s="31">
        <f>'Consolidated FS'!H8*'Consolidated FS'!H5</f>
        <v>12187.24</v>
      </c>
      <c r="H5" s="11"/>
      <c r="I5" s="11"/>
      <c r="J5" s="34"/>
      <c r="K5" s="11"/>
    </row>
    <row r="6" spans="2:11" ht="14.25" customHeight="1" x14ac:dyDescent="0.35">
      <c r="B6" s="7" t="s">
        <v>162</v>
      </c>
      <c r="C6" s="31">
        <f>'Consolidated FS'!D9*'Consolidated FS'!D5</f>
        <v>19306.05</v>
      </c>
      <c r="D6" s="31">
        <f>'Consolidated FS'!E9*'Consolidated FS'!E5</f>
        <v>22323</v>
      </c>
      <c r="E6" s="31">
        <f>'Consolidated FS'!F9*'Consolidated FS'!F5</f>
        <v>27710.799999999999</v>
      </c>
      <c r="F6" s="31">
        <f>'Consolidated FS'!G9*'Consolidated FS'!G5</f>
        <v>29117.760000000002</v>
      </c>
      <c r="G6" s="31">
        <f>'Consolidated FS'!H9*'Consolidated FS'!H5</f>
        <v>29673.280000000002</v>
      </c>
      <c r="H6" s="11"/>
      <c r="I6" s="11"/>
      <c r="J6" s="11"/>
      <c r="K6" s="11"/>
    </row>
    <row r="7" spans="2:11" ht="14.25" customHeight="1" x14ac:dyDescent="0.35">
      <c r="B7" s="7" t="s">
        <v>163</v>
      </c>
      <c r="C7" s="31">
        <f>'Consolidated FS'!D10*'Consolidated FS'!D5</f>
        <v>3028.4</v>
      </c>
      <c r="D7" s="31">
        <f>'Consolidated FS'!E10*'Consolidated FS'!E5</f>
        <v>3125.2200000000003</v>
      </c>
      <c r="E7" s="31">
        <f>'Consolidated FS'!F10*'Consolidated FS'!F5</f>
        <v>4263.2</v>
      </c>
      <c r="F7" s="31">
        <f>'Consolidated FS'!G10*'Consolidated FS'!G5</f>
        <v>5199.6000000000004</v>
      </c>
      <c r="G7" s="31">
        <f>'Consolidated FS'!H10*'Consolidated FS'!H5</f>
        <v>4239.04</v>
      </c>
      <c r="H7" s="11"/>
      <c r="I7" s="11"/>
      <c r="J7" s="11"/>
      <c r="K7" s="11"/>
    </row>
    <row r="8" spans="2:11" ht="14.25" customHeight="1" x14ac:dyDescent="0.35">
      <c r="B8" s="35" t="s">
        <v>164</v>
      </c>
      <c r="C8" s="31">
        <f>SUM(C5:C7)</f>
        <v>31041.1</v>
      </c>
      <c r="D8" s="31">
        <f>SUM(D5:D7)</f>
        <v>37056.18</v>
      </c>
      <c r="E8" s="31">
        <f>SUM(E5:E7)</f>
        <v>45829.399999999994</v>
      </c>
      <c r="F8" s="31">
        <f>SUM(F5:F7)</f>
        <v>47316.36</v>
      </c>
      <c r="G8" s="31">
        <f>SUM(G5:G7)</f>
        <v>46099.560000000005</v>
      </c>
      <c r="H8" s="11"/>
      <c r="I8" s="11"/>
      <c r="J8" s="11"/>
      <c r="K8" s="11"/>
    </row>
    <row r="9" spans="2:11" ht="14.25" customHeight="1" x14ac:dyDescent="0.35">
      <c r="B9" s="7" t="s">
        <v>165</v>
      </c>
      <c r="C9" s="31">
        <f>C3-C8</f>
        <v>6813.9000000000015</v>
      </c>
      <c r="D9" s="31">
        <f>D3-D8</f>
        <v>7589.82</v>
      </c>
      <c r="E9" s="31">
        <f>E3-E8</f>
        <v>7460.6000000000058</v>
      </c>
      <c r="F9" s="31">
        <f>F3-F8</f>
        <v>4679.6399999999994</v>
      </c>
      <c r="G9" s="31">
        <f>G3-G8</f>
        <v>6888.4399999999951</v>
      </c>
      <c r="H9" s="11"/>
      <c r="I9" s="11"/>
      <c r="J9" s="11"/>
      <c r="K9" s="11"/>
    </row>
    <row r="10" spans="2:11" ht="14.25" customHeight="1" x14ac:dyDescent="0.35">
      <c r="B10" s="7" t="s">
        <v>166</v>
      </c>
      <c r="C10" s="36">
        <f>'Consolidated FS'!D17</f>
        <v>1458</v>
      </c>
      <c r="D10" s="36">
        <f>'Consolidated FS'!E17</f>
        <v>1520</v>
      </c>
      <c r="E10" s="36">
        <f>'Consolidated FS'!F17</f>
        <v>1957</v>
      </c>
      <c r="F10" s="36">
        <f>'Consolidated FS'!G17</f>
        <v>1817</v>
      </c>
      <c r="G10" s="36">
        <f>'Consolidated FS'!H17</f>
        <v>1853</v>
      </c>
      <c r="H10" s="11"/>
      <c r="I10" s="11"/>
      <c r="J10" s="11"/>
      <c r="K10" s="11"/>
    </row>
    <row r="11" spans="2:11" ht="14.25" customHeight="1" x14ac:dyDescent="0.35">
      <c r="B11" s="7" t="s">
        <v>167</v>
      </c>
      <c r="C11" s="31">
        <f>C9-C10</f>
        <v>5355.9000000000015</v>
      </c>
      <c r="D11" s="31">
        <f>D9-D10</f>
        <v>6069.82</v>
      </c>
      <c r="E11" s="31">
        <f>E9-E10</f>
        <v>5503.6000000000058</v>
      </c>
      <c r="F11" s="31">
        <f>F9-F10</f>
        <v>2862.6399999999994</v>
      </c>
      <c r="G11" s="31">
        <f>G9-G10</f>
        <v>5035.4399999999951</v>
      </c>
      <c r="H11" s="11"/>
      <c r="I11" s="11"/>
      <c r="J11" s="11"/>
      <c r="K11" s="11"/>
    </row>
    <row r="12" spans="2:11" ht="14.25" customHeight="1" x14ac:dyDescent="0.35">
      <c r="B12" s="7" t="s">
        <v>168</v>
      </c>
      <c r="C12" s="7">
        <f>'Consolidated FS'!D15</f>
        <v>787</v>
      </c>
      <c r="D12" s="36">
        <f>'Consolidated FS'!E15</f>
        <v>1109</v>
      </c>
      <c r="E12" s="7">
        <f>'Consolidated FS'!F15</f>
        <v>961</v>
      </c>
      <c r="F12" s="7">
        <f>'Consolidated FS'!G15</f>
        <v>925</v>
      </c>
      <c r="G12" s="7">
        <f>'Consolidated FS'!H15</f>
        <v>410</v>
      </c>
      <c r="H12" s="11"/>
      <c r="I12" s="11"/>
      <c r="J12" s="37"/>
      <c r="K12" s="11"/>
    </row>
    <row r="13" spans="2:11" ht="14.25" customHeight="1" x14ac:dyDescent="0.35">
      <c r="B13" s="7" t="s">
        <v>169</v>
      </c>
      <c r="C13" s="7">
        <f>'Consolidated FS'!D16</f>
        <v>174</v>
      </c>
      <c r="D13" s="7">
        <f>'Consolidated FS'!E16</f>
        <v>163</v>
      </c>
      <c r="E13" s="7">
        <f>'Consolidated FS'!F16</f>
        <v>326</v>
      </c>
      <c r="F13" s="7">
        <f>'Consolidated FS'!G16</f>
        <v>392</v>
      </c>
      <c r="G13" s="7">
        <f>'Consolidated FS'!H16</f>
        <v>322</v>
      </c>
      <c r="H13" s="11"/>
      <c r="I13" s="11"/>
      <c r="J13" s="11"/>
      <c r="K13" s="11"/>
    </row>
    <row r="14" spans="2:11" ht="14.25" customHeight="1" x14ac:dyDescent="0.35">
      <c r="B14" s="7" t="s">
        <v>170</v>
      </c>
      <c r="C14" s="31">
        <f>C11+C12-C13</f>
        <v>5968.9000000000015</v>
      </c>
      <c r="D14" s="31">
        <f>D11+D12-D13</f>
        <v>7015.82</v>
      </c>
      <c r="E14" s="31">
        <f>E11+E12-E13</f>
        <v>6138.6000000000058</v>
      </c>
      <c r="F14" s="31">
        <f>F11+F12-F13</f>
        <v>3395.6399999999994</v>
      </c>
      <c r="G14" s="31">
        <f>G11+G12-G13</f>
        <v>5123.4399999999951</v>
      </c>
      <c r="H14" s="11"/>
      <c r="I14" s="11"/>
      <c r="J14" s="11"/>
      <c r="K14" s="11"/>
    </row>
    <row r="15" spans="2:11" ht="14.25" customHeight="1" x14ac:dyDescent="0.35">
      <c r="B15" s="7" t="s">
        <v>171</v>
      </c>
      <c r="C15" s="7">
        <f>'Consolidated FS'!D19*'Consolidated FS'!D18</f>
        <v>1607.3100000000002</v>
      </c>
      <c r="D15" s="7">
        <f>'Consolidated FS'!E19*'Consolidated FS'!E18</f>
        <v>1788.48</v>
      </c>
      <c r="E15" s="7">
        <f>'Consolidated FS'!F19*'Consolidated FS'!F18</f>
        <v>1611.5</v>
      </c>
      <c r="F15" s="7">
        <f>'Consolidated FS'!G19*'Consolidated FS'!G18</f>
        <v>838.24</v>
      </c>
      <c r="G15" s="7">
        <f>'Consolidated FS'!H19*'Consolidated FS'!H18</f>
        <v>1413.25</v>
      </c>
      <c r="H15" s="11"/>
      <c r="I15" s="11"/>
      <c r="J15" s="11"/>
      <c r="K15" s="11"/>
    </row>
    <row r="16" spans="2:11" ht="14.25" customHeight="1" x14ac:dyDescent="0.35">
      <c r="B16" s="7" t="s">
        <v>172</v>
      </c>
      <c r="C16" s="7">
        <f>'Consolidated FS'!D22</f>
        <v>75</v>
      </c>
      <c r="D16" s="7">
        <f>'Consolidated FS'!E22</f>
        <v>-64</v>
      </c>
      <c r="E16" s="7">
        <f>'Consolidated FS'!F22</f>
        <v>-26</v>
      </c>
      <c r="F16" s="7">
        <f>'Consolidated FS'!G22</f>
        <v>-39</v>
      </c>
      <c r="G16" s="7">
        <f>'Consolidated FS'!H22</f>
        <v>-2</v>
      </c>
      <c r="H16" s="11"/>
      <c r="I16" s="11"/>
      <c r="J16" s="11"/>
      <c r="K16" s="11"/>
    </row>
    <row r="17" spans="2:11" ht="14.25" customHeight="1" x14ac:dyDescent="0.35">
      <c r="B17" s="35" t="s">
        <v>173</v>
      </c>
      <c r="C17" s="38">
        <f>C14-C15-C16</f>
        <v>4286.5900000000011</v>
      </c>
      <c r="D17" s="38">
        <f>D14-D15-D16</f>
        <v>5291.34</v>
      </c>
      <c r="E17" s="38">
        <f>E14-E15-E16</f>
        <v>4553.1000000000058</v>
      </c>
      <c r="F17" s="38">
        <f>F14-F15-F16</f>
        <v>2596.3999999999996</v>
      </c>
      <c r="G17" s="38">
        <f>G14-G15-G16</f>
        <v>3712.1899999999951</v>
      </c>
      <c r="H17" s="11"/>
      <c r="I17" s="11"/>
      <c r="J17" s="11"/>
      <c r="K17" s="11"/>
    </row>
    <row r="18" spans="2:11" ht="14.25" customHeight="1" x14ac:dyDescent="0.35">
      <c r="B18" s="11"/>
      <c r="C18" s="11"/>
      <c r="D18" s="11"/>
      <c r="E18" s="11"/>
      <c r="F18" s="11"/>
      <c r="G18" s="11"/>
      <c r="H18" s="11"/>
      <c r="I18" s="11"/>
      <c r="J18" s="11"/>
      <c r="K18" s="11"/>
    </row>
    <row r="19" spans="2:11" ht="14.25" customHeight="1" x14ac:dyDescent="0.35">
      <c r="B19" s="230" t="s">
        <v>174</v>
      </c>
      <c r="C19" s="230"/>
      <c r="D19" s="230"/>
      <c r="E19" s="11"/>
      <c r="F19" s="11"/>
      <c r="G19" s="11"/>
      <c r="H19" s="11"/>
      <c r="I19" s="11"/>
      <c r="J19" s="11"/>
      <c r="K19" s="11"/>
    </row>
    <row r="20" spans="2:11" ht="14.25" customHeight="1" x14ac:dyDescent="0.35">
      <c r="B20" s="7" t="s">
        <v>175</v>
      </c>
      <c r="C20" s="40">
        <f>AVERAGE(D4:G4)</f>
        <v>9.1950797787298019E-2</v>
      </c>
      <c r="D20" s="40"/>
      <c r="E20" s="34"/>
      <c r="F20" s="34"/>
      <c r="G20" s="34"/>
      <c r="H20" s="11"/>
      <c r="I20" s="11"/>
      <c r="J20" s="11"/>
      <c r="K20" s="11"/>
    </row>
    <row r="21" spans="2:11" ht="14.25" customHeight="1" x14ac:dyDescent="0.35">
      <c r="B21" s="7" t="s">
        <v>176</v>
      </c>
      <c r="C21" s="40">
        <f>(G3/C3)^(1/4)-1</f>
        <v>8.7711122005835085E-2</v>
      </c>
      <c r="D21" s="40">
        <f>(G3/C3)^(1/4)-1</f>
        <v>8.7711122005835085E-2</v>
      </c>
      <c r="E21" s="34"/>
      <c r="F21" s="34"/>
      <c r="G21" s="34"/>
      <c r="H21" s="11"/>
      <c r="I21" s="11"/>
      <c r="J21" s="11"/>
      <c r="K21" s="11"/>
    </row>
    <row r="22" spans="2:11" ht="14.25" customHeight="1" x14ac:dyDescent="0.35">
      <c r="B22" s="41" t="s">
        <v>177</v>
      </c>
      <c r="C22" s="34"/>
      <c r="D22" s="34"/>
      <c r="E22" s="34"/>
      <c r="F22" s="34"/>
      <c r="G22" s="34"/>
      <c r="H22" s="11"/>
      <c r="I22" s="11"/>
      <c r="J22" s="11"/>
      <c r="K22" s="11"/>
    </row>
    <row r="23" spans="2:11" ht="14.25" customHeight="1" x14ac:dyDescent="0.35">
      <c r="B23" s="42" t="s">
        <v>178</v>
      </c>
      <c r="C23" s="43">
        <f>C9/C3</f>
        <v>0.18000000000000005</v>
      </c>
      <c r="D23" s="43">
        <f>D9/D3</f>
        <v>0.16999999999999998</v>
      </c>
      <c r="E23" s="43">
        <f>E9/E3</f>
        <v>0.1400000000000001</v>
      </c>
      <c r="F23" s="43">
        <f>F9/F3</f>
        <v>8.9999999999999983E-2</v>
      </c>
      <c r="G23" s="43">
        <f>G9/G3</f>
        <v>0.12999999999999989</v>
      </c>
      <c r="H23" s="11"/>
      <c r="I23" s="11"/>
      <c r="J23" s="11"/>
      <c r="K23" s="11"/>
    </row>
    <row r="24" spans="2:11" ht="14.25" customHeight="1" x14ac:dyDescent="0.35">
      <c r="B24" s="42" t="s">
        <v>179</v>
      </c>
      <c r="C24" s="43">
        <f>C11/C3</f>
        <v>0.14148461233654738</v>
      </c>
      <c r="D24" s="43">
        <f>D11/D3</f>
        <v>0.13595439681046453</v>
      </c>
      <c r="E24" s="43">
        <f>E11/E3</f>
        <v>0.10327641208481902</v>
      </c>
      <c r="F24" s="43">
        <f>F11/F3</f>
        <v>5.505500423109469E-2</v>
      </c>
      <c r="G24" s="43">
        <f>G11/G3</f>
        <v>9.5029818072016214E-2</v>
      </c>
      <c r="H24" s="11"/>
      <c r="I24" s="11"/>
      <c r="J24" s="11"/>
      <c r="K24" s="11"/>
    </row>
    <row r="25" spans="2:11" ht="14.25" customHeight="1" x14ac:dyDescent="0.35">
      <c r="B25" s="42" t="s">
        <v>180</v>
      </c>
      <c r="C25" s="43">
        <f>C14/C3</f>
        <v>0.15767798177255321</v>
      </c>
      <c r="D25" s="43">
        <f>D14/D3</f>
        <v>0.15714330511132016</v>
      </c>
      <c r="E25" s="43">
        <f>E14/E3</f>
        <v>0.1151923437793208</v>
      </c>
      <c r="F25" s="43">
        <f>F14/F3</f>
        <v>6.5305792753288697E-2</v>
      </c>
      <c r="G25" s="43">
        <f>G14/G3</f>
        <v>9.6690571450139567E-2</v>
      </c>
      <c r="H25" s="11"/>
      <c r="I25" s="11"/>
      <c r="J25" s="11"/>
      <c r="K25" s="11"/>
    </row>
    <row r="26" spans="2:11" ht="14.25" customHeight="1" x14ac:dyDescent="0.35">
      <c r="B26" s="42" t="s">
        <v>181</v>
      </c>
      <c r="C26" s="43">
        <f>C17/C3</f>
        <v>0.1132370888918241</v>
      </c>
      <c r="D26" s="43">
        <f>D17/D3</f>
        <v>0.11851767235586615</v>
      </c>
      <c r="E26" s="43">
        <f>E17/E3</f>
        <v>8.5440045036592346E-2</v>
      </c>
      <c r="F26" s="43">
        <f>F17/F3</f>
        <v>4.993461035464266E-2</v>
      </c>
      <c r="G26" s="43">
        <f>G17/G3</f>
        <v>7.0057182758360287E-2</v>
      </c>
      <c r="H26" s="11"/>
      <c r="I26" s="11"/>
      <c r="J26" s="11"/>
      <c r="K26" s="11"/>
    </row>
    <row r="27" spans="2:11" ht="14.25" customHeight="1" x14ac:dyDescent="0.35">
      <c r="B27" s="7"/>
      <c r="C27" s="40"/>
      <c r="D27" s="40"/>
      <c r="E27" s="40"/>
      <c r="F27" s="40"/>
      <c r="G27" s="40"/>
      <c r="H27" s="11"/>
      <c r="I27" s="11"/>
      <c r="J27" s="11"/>
      <c r="K27" s="11"/>
    </row>
    <row r="28" spans="2:11" ht="14.25" customHeight="1" x14ac:dyDescent="0.35">
      <c r="B28" s="41" t="s">
        <v>182</v>
      </c>
      <c r="C28" s="11"/>
      <c r="D28" s="11"/>
      <c r="E28" s="11"/>
      <c r="F28" s="11"/>
      <c r="G28" s="11"/>
      <c r="H28" s="11"/>
      <c r="I28" s="11"/>
      <c r="J28" s="11"/>
      <c r="K28" s="11"/>
    </row>
    <row r="29" spans="2:11" ht="14.25" customHeight="1" x14ac:dyDescent="0.35">
      <c r="B29" s="44" t="s">
        <v>183</v>
      </c>
      <c r="C29" s="45">
        <f>C15/C14</f>
        <v>0.26928077200154127</v>
      </c>
      <c r="D29" s="45">
        <f>D15/D14</f>
        <v>0.25492102134889438</v>
      </c>
      <c r="E29" s="45">
        <f>E15/E14</f>
        <v>0.262519141172254</v>
      </c>
      <c r="F29" s="45">
        <f>F15/F14</f>
        <v>0.24685773521339133</v>
      </c>
      <c r="G29" s="45">
        <f>G15/G14</f>
        <v>0.27584006058429517</v>
      </c>
      <c r="H29" s="11"/>
      <c r="I29" s="11"/>
      <c r="J29" s="11"/>
      <c r="K29" s="11"/>
    </row>
    <row r="30" spans="2:11" ht="14.25" customHeight="1" x14ac:dyDescent="0.35">
      <c r="B30" s="42" t="s">
        <v>150</v>
      </c>
      <c r="C30" s="40">
        <v>0.25</v>
      </c>
      <c r="D30" s="40">
        <v>0.25</v>
      </c>
      <c r="E30" s="40">
        <v>0.25</v>
      </c>
      <c r="F30" s="40">
        <v>0.25</v>
      </c>
      <c r="G30" s="40">
        <v>0.25</v>
      </c>
      <c r="H30" s="11"/>
      <c r="I30" s="11"/>
      <c r="J30" s="11"/>
      <c r="K30" s="11"/>
    </row>
    <row r="31" spans="2:11" ht="14.25" customHeight="1" x14ac:dyDescent="0.35">
      <c r="B31" s="42"/>
      <c r="C31" s="40"/>
      <c r="D31" s="40"/>
      <c r="E31" s="40"/>
      <c r="F31" s="40"/>
      <c r="G31" s="40"/>
      <c r="H31" s="11"/>
      <c r="I31" s="11"/>
      <c r="J31" s="11"/>
      <c r="K31" s="11"/>
    </row>
    <row r="32" spans="2:11" ht="14.25" customHeight="1" x14ac:dyDescent="0.35">
      <c r="B32" s="46" t="s">
        <v>184</v>
      </c>
      <c r="C32" s="40"/>
      <c r="D32" s="40"/>
      <c r="E32" s="40"/>
      <c r="F32" s="40"/>
      <c r="G32" s="40"/>
      <c r="H32" s="11"/>
      <c r="I32" s="11"/>
      <c r="J32" s="11"/>
      <c r="K32" s="11"/>
    </row>
    <row r="33" spans="2:11" ht="14.25" customHeight="1" x14ac:dyDescent="0.35">
      <c r="B33" s="47" t="s">
        <v>185</v>
      </c>
      <c r="C33" s="11">
        <f>C11*(1-C30)</f>
        <v>4016.9250000000011</v>
      </c>
      <c r="D33" s="11">
        <f>D11*(1-D30)</f>
        <v>4552.3649999999998</v>
      </c>
      <c r="E33" s="11">
        <f>E11*(1-E30)</f>
        <v>4127.7000000000044</v>
      </c>
      <c r="F33" s="11">
        <f>F11*(1-F30)</f>
        <v>2146.9799999999996</v>
      </c>
      <c r="G33" s="11">
        <f>G11*(1-G30)</f>
        <v>3776.5799999999963</v>
      </c>
      <c r="H33" s="11"/>
      <c r="I33" s="11"/>
      <c r="J33" s="11"/>
      <c r="K33" s="11"/>
    </row>
    <row r="34" spans="2:11" ht="14.25" customHeight="1" x14ac:dyDescent="0.35">
      <c r="B34" s="44" t="s">
        <v>186</v>
      </c>
      <c r="C34" s="48">
        <f>'Consolidated FS'!R5+'Consolidated FS'!R6</f>
        <v>24865</v>
      </c>
      <c r="D34" s="48">
        <f>'Consolidated FS'!S5+'Consolidated FS'!S6</f>
        <v>26886</v>
      </c>
      <c r="E34" s="48">
        <f>'Consolidated FS'!T5+'Consolidated FS'!T6</f>
        <v>27924</v>
      </c>
      <c r="F34" s="48">
        <f>'Consolidated FS'!U5+'Consolidated FS'!U6</f>
        <v>26669</v>
      </c>
      <c r="G34" s="48">
        <f>'Consolidated FS'!V5+'Consolidated FS'!V6</f>
        <v>27361</v>
      </c>
      <c r="H34" s="11"/>
      <c r="I34" s="11"/>
      <c r="J34" s="11"/>
      <c r="K34" s="11"/>
    </row>
    <row r="35" spans="2:11" ht="14.25" customHeight="1" x14ac:dyDescent="0.35">
      <c r="B35" s="42" t="s">
        <v>187</v>
      </c>
      <c r="C35" s="31">
        <f>'Consolidated FS'!R7</f>
        <v>2901</v>
      </c>
      <c r="D35" s="31">
        <f>'Consolidated FS'!S7</f>
        <v>2618</v>
      </c>
      <c r="E35" s="31">
        <f>'Consolidated FS'!T7</f>
        <v>2740</v>
      </c>
      <c r="F35" s="31">
        <f>'Consolidated FS'!U7</f>
        <v>2537</v>
      </c>
      <c r="G35" s="31">
        <f>'Consolidated FS'!V7</f>
        <v>2025</v>
      </c>
      <c r="H35" s="11"/>
      <c r="I35" s="11"/>
      <c r="J35" s="11"/>
      <c r="K35" s="11"/>
    </row>
    <row r="36" spans="2:11" ht="14.25" customHeight="1" x14ac:dyDescent="0.35">
      <c r="B36" s="42" t="s">
        <v>188</v>
      </c>
      <c r="C36" s="31">
        <f>'Consolidated FS'!R38</f>
        <v>2835</v>
      </c>
      <c r="D36" s="31">
        <f>'Consolidated FS'!S38</f>
        <v>3974</v>
      </c>
      <c r="E36" s="31">
        <f>'Consolidated FS'!T38</f>
        <v>4255</v>
      </c>
      <c r="F36" s="31">
        <f>'Consolidated FS'!U38</f>
        <v>4736</v>
      </c>
      <c r="G36" s="31">
        <f>'Consolidated FS'!V38</f>
        <v>4542</v>
      </c>
      <c r="H36" s="11"/>
      <c r="I36" s="11"/>
      <c r="J36" s="11"/>
      <c r="K36" s="11"/>
    </row>
    <row r="37" spans="2:11" ht="14.25" customHeight="1" x14ac:dyDescent="0.35">
      <c r="B37" s="42" t="s">
        <v>189</v>
      </c>
      <c r="C37" s="31">
        <f>C34+C35+C36</f>
        <v>30601</v>
      </c>
      <c r="D37" s="31">
        <f>D34+D35+D36</f>
        <v>33478</v>
      </c>
      <c r="E37" s="31">
        <f>E34+E35+E36</f>
        <v>34919</v>
      </c>
      <c r="F37" s="31">
        <f>F34+F35+F36</f>
        <v>33942</v>
      </c>
      <c r="G37" s="31">
        <f>G34+G35+G36</f>
        <v>33928</v>
      </c>
      <c r="H37" s="49"/>
      <c r="I37" s="11"/>
      <c r="J37" s="11"/>
      <c r="K37" s="11"/>
    </row>
    <row r="38" spans="2:11" ht="14.25" customHeight="1" x14ac:dyDescent="0.35">
      <c r="B38" s="42"/>
      <c r="C38" s="31"/>
      <c r="D38" s="31"/>
      <c r="E38" s="31"/>
      <c r="F38" s="31"/>
      <c r="G38" s="31"/>
      <c r="H38" s="49"/>
      <c r="I38" s="11"/>
      <c r="J38" s="11"/>
      <c r="K38" s="11"/>
    </row>
    <row r="39" spans="2:11" ht="14.25" customHeight="1" x14ac:dyDescent="0.35">
      <c r="B39" s="42" t="s">
        <v>190</v>
      </c>
      <c r="C39" s="31">
        <f>C11/C37</f>
        <v>0.17502369203620802</v>
      </c>
      <c r="D39" s="31">
        <f>D11/D37</f>
        <v>0.18130772447577512</v>
      </c>
      <c r="E39" s="31">
        <f>E11/E37</f>
        <v>0.15761046994472941</v>
      </c>
      <c r="F39" s="31">
        <f>F11/F37</f>
        <v>8.4339166813976768E-2</v>
      </c>
      <c r="G39" s="31">
        <f>G11/G37</f>
        <v>0.14841546804998806</v>
      </c>
      <c r="H39" s="49"/>
      <c r="I39" s="11"/>
      <c r="J39" s="11"/>
      <c r="K39" s="11"/>
    </row>
    <row r="40" spans="2:11" ht="14.25" customHeight="1" x14ac:dyDescent="0.35">
      <c r="B40" s="47" t="s">
        <v>191</v>
      </c>
      <c r="C40" s="45">
        <f>C33/C37</f>
        <v>0.13126776902715601</v>
      </c>
      <c r="D40" s="45">
        <f>D33/D37</f>
        <v>0.13598079335683136</v>
      </c>
      <c r="E40" s="45">
        <f>E33/E37</f>
        <v>0.11820785245854705</v>
      </c>
      <c r="F40" s="45">
        <f>F33/F37</f>
        <v>6.3254375110482569E-2</v>
      </c>
      <c r="G40" s="45">
        <f>G33/G37</f>
        <v>0.11131160103749105</v>
      </c>
      <c r="H40" s="49"/>
      <c r="I40" s="11"/>
      <c r="J40" s="11"/>
      <c r="K40" s="11"/>
    </row>
    <row r="41" spans="2:11" ht="14.25" customHeight="1" x14ac:dyDescent="0.35">
      <c r="B41" s="11"/>
      <c r="C41" s="11"/>
      <c r="D41" s="11"/>
      <c r="E41" s="11"/>
      <c r="F41" s="11"/>
      <c r="G41" s="11"/>
      <c r="H41" s="11"/>
      <c r="I41" s="11"/>
      <c r="J41" s="11"/>
      <c r="K41" s="11"/>
    </row>
    <row r="42" spans="2:11" ht="14.25" customHeight="1" x14ac:dyDescent="0.35">
      <c r="B42" s="41" t="s">
        <v>192</v>
      </c>
      <c r="C42" s="11"/>
      <c r="D42" s="11"/>
      <c r="E42" s="11"/>
      <c r="F42" s="11"/>
      <c r="G42" s="11"/>
      <c r="H42" s="11"/>
      <c r="I42" s="11"/>
      <c r="J42" s="11"/>
      <c r="K42" s="11"/>
    </row>
    <row r="43" spans="2:11" ht="14.25" customHeight="1" x14ac:dyDescent="0.35">
      <c r="B43" s="47" t="s">
        <v>193</v>
      </c>
      <c r="C43" s="50">
        <f>AVERAGE(D4:G4)</f>
        <v>9.1950797787298019E-2</v>
      </c>
      <c r="D43" s="11"/>
      <c r="E43" s="11"/>
      <c r="F43" s="11"/>
      <c r="G43" s="11"/>
      <c r="H43" s="11"/>
      <c r="I43" s="11"/>
      <c r="J43" s="11"/>
      <c r="K43" s="11"/>
    </row>
    <row r="44" spans="2:11" ht="14.25" customHeight="1" x14ac:dyDescent="0.35">
      <c r="B44" s="47" t="s">
        <v>194</v>
      </c>
      <c r="C44" s="49">
        <f>(G3/C3)^(1/4)-1</f>
        <v>8.7711122005835085E-2</v>
      </c>
      <c r="D44" s="11"/>
      <c r="E44" s="11"/>
      <c r="F44" s="11"/>
      <c r="G44" s="11"/>
      <c r="H44" s="11"/>
      <c r="I44" s="11"/>
      <c r="J44" s="11"/>
      <c r="K44" s="11"/>
    </row>
    <row r="45" spans="2:11" ht="14.25" customHeight="1" x14ac:dyDescent="0.35">
      <c r="B45" s="11"/>
      <c r="C45" s="11"/>
      <c r="D45" s="11"/>
      <c r="E45" s="11"/>
      <c r="F45" s="11"/>
      <c r="G45" s="11"/>
      <c r="H45" s="11"/>
      <c r="I45" s="11"/>
      <c r="J45" s="11"/>
      <c r="K45" s="11"/>
    </row>
    <row r="46" spans="2:11" ht="14.25" customHeight="1" x14ac:dyDescent="0.35">
      <c r="B46" s="11" t="s">
        <v>195</v>
      </c>
      <c r="C46" s="51">
        <f>FCFF!C13*G40</f>
        <v>3.4078656923405892E-2</v>
      </c>
      <c r="D46" s="11"/>
      <c r="E46" s="11"/>
      <c r="F46" s="11"/>
      <c r="G46" s="11"/>
      <c r="H46" s="11"/>
      <c r="I46" s="11"/>
      <c r="J46" s="11"/>
      <c r="K46" s="11"/>
    </row>
    <row r="47" spans="2:11" ht="14.25" customHeight="1" x14ac:dyDescent="0.35">
      <c r="B47" s="11"/>
      <c r="C47" s="11"/>
      <c r="D47" s="11"/>
      <c r="E47" s="11"/>
      <c r="F47" s="11"/>
      <c r="G47" s="11"/>
      <c r="H47" s="11"/>
      <c r="I47" s="11"/>
      <c r="J47" s="11"/>
      <c r="K47" s="11"/>
    </row>
    <row r="48" spans="2:11" ht="14.25" customHeight="1" x14ac:dyDescent="0.35">
      <c r="B48" s="11"/>
      <c r="C48" s="11"/>
      <c r="D48" s="11"/>
      <c r="E48" s="11"/>
      <c r="F48" s="11"/>
      <c r="G48" s="11"/>
      <c r="H48" s="11"/>
      <c r="I48" s="11"/>
      <c r="J48" s="11"/>
      <c r="K48" s="11"/>
    </row>
    <row r="49" spans="2:11" ht="14.25" customHeight="1" x14ac:dyDescent="0.35">
      <c r="B49" s="11"/>
      <c r="C49" s="11"/>
      <c r="D49" s="11"/>
      <c r="E49" s="11"/>
      <c r="F49" s="11"/>
      <c r="G49" s="11"/>
      <c r="H49" s="11"/>
      <c r="I49" s="11"/>
      <c r="J49" s="11"/>
      <c r="K49" s="11"/>
    </row>
  </sheetData>
  <mergeCells count="1">
    <mergeCell ref="B19:D19"/>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22"/>
  <sheetViews>
    <sheetView zoomScaleNormal="100" workbookViewId="0">
      <selection activeCell="C23" sqref="C23"/>
    </sheetView>
  </sheetViews>
  <sheetFormatPr defaultColWidth="8.54296875" defaultRowHeight="14.5" x14ac:dyDescent="0.35"/>
  <cols>
    <col min="2" max="2" width="16.453125" customWidth="1"/>
  </cols>
  <sheetData>
    <row r="2" spans="2:10" ht="16.5" customHeight="1" x14ac:dyDescent="0.35">
      <c r="B2" s="231" t="s">
        <v>196</v>
      </c>
      <c r="C2" s="231"/>
      <c r="D2" s="231"/>
      <c r="E2" s="231"/>
      <c r="F2" s="231"/>
      <c r="G2" s="231"/>
      <c r="H2" s="231"/>
      <c r="I2" s="231"/>
      <c r="J2" s="231"/>
    </row>
    <row r="3" spans="2:10" ht="27.75" customHeight="1" x14ac:dyDescent="0.35">
      <c r="B3" s="52" t="s">
        <v>11</v>
      </c>
      <c r="C3" s="116">
        <v>2021</v>
      </c>
      <c r="D3" s="116">
        <v>2022</v>
      </c>
      <c r="E3" s="116">
        <v>2023</v>
      </c>
      <c r="F3" s="116">
        <v>2024</v>
      </c>
      <c r="G3" s="116">
        <v>2025</v>
      </c>
      <c r="H3" s="52" t="s">
        <v>197</v>
      </c>
      <c r="I3" s="52" t="s">
        <v>198</v>
      </c>
      <c r="J3" s="52" t="s">
        <v>199</v>
      </c>
    </row>
    <row r="4" spans="2:10" ht="14.25" customHeight="1" x14ac:dyDescent="0.35">
      <c r="B4" s="232" t="s">
        <v>200</v>
      </c>
      <c r="C4" s="232"/>
      <c r="D4" s="232"/>
      <c r="E4" s="232"/>
      <c r="F4" s="232"/>
      <c r="G4" s="232"/>
      <c r="H4" s="232"/>
      <c r="I4" s="232"/>
      <c r="J4" s="232"/>
    </row>
    <row r="5" spans="2:10" ht="14.25" customHeight="1" x14ac:dyDescent="0.35">
      <c r="B5" s="42" t="s">
        <v>201</v>
      </c>
      <c r="C5" s="53"/>
      <c r="D5" s="54">
        <f>(Assumptions!D3-Assumptions!C3)/ABS(Assumptions!C3)</f>
        <v>0.17939506009774139</v>
      </c>
      <c r="E5" s="54">
        <f>(Assumptions!E3-Assumptions!D3)/ABS(Assumptions!D3)</f>
        <v>0.19361196971733191</v>
      </c>
      <c r="F5" s="54">
        <f>(Assumptions!F3-Assumptions!E3)/ABS(Assumptions!E3)</f>
        <v>-2.4282229311315445E-2</v>
      </c>
      <c r="G5" s="54">
        <f>(Assumptions!G3-Assumptions!F3)/ABS(Assumptions!F3)</f>
        <v>1.9078390645434266E-2</v>
      </c>
      <c r="H5" s="53"/>
      <c r="I5" s="55">
        <f>AVERAGE(D5:G5)</f>
        <v>9.1950797787298019E-2</v>
      </c>
      <c r="J5" s="55">
        <f>MEDIAN(D5:G5)</f>
        <v>9.9236725371587828E-2</v>
      </c>
    </row>
    <row r="6" spans="2:10" ht="14.25" customHeight="1" x14ac:dyDescent="0.35">
      <c r="B6" s="42" t="s">
        <v>202</v>
      </c>
      <c r="C6" s="53"/>
      <c r="D6" s="54">
        <f>(Assumptions!D9-Assumptions!C9)/ABS(Assumptions!C9)</f>
        <v>0.11387311231453325</v>
      </c>
      <c r="E6" s="54">
        <f>(Assumptions!E9-Assumptions!D9)/ABS(Assumptions!D9)</f>
        <v>-1.7025436703372924E-2</v>
      </c>
      <c r="F6" s="54">
        <f>(Assumptions!F9-Assumptions!E9)/ABS(Assumptions!E9)</f>
        <v>-0.37275286170013194</v>
      </c>
      <c r="G6" s="54">
        <f>(Assumptions!G9-Assumptions!F9)/ABS(Assumptions!F9)</f>
        <v>0.47200211982118195</v>
      </c>
      <c r="H6" s="53"/>
      <c r="I6" s="55">
        <f>AVERAGE(D6:G6)</f>
        <v>4.902423343305258E-2</v>
      </c>
      <c r="J6" s="55">
        <f>MEDIAN(D6:G6)</f>
        <v>4.8423837805580169E-2</v>
      </c>
    </row>
    <row r="7" spans="2:10" ht="14.25" customHeight="1" x14ac:dyDescent="0.35">
      <c r="B7" s="42" t="s">
        <v>203</v>
      </c>
      <c r="C7" s="53"/>
      <c r="D7" s="54">
        <f>(Assumptions!D11-Assumptions!C11)/ABS(Assumptions!C11)</f>
        <v>0.1332959913366564</v>
      </c>
      <c r="E7" s="54">
        <f>(Assumptions!E11-Assumptions!D11)/ABS(Assumptions!D11)</f>
        <v>-9.3284479605654516E-2</v>
      </c>
      <c r="F7" s="54">
        <f>(Assumptions!F11-Assumptions!E11)/ABS(Assumptions!E11)</f>
        <v>-0.47986045497492613</v>
      </c>
      <c r="G7" s="54">
        <f>(Assumptions!G11-Assumptions!F11)/ABS(Assumptions!F11)</f>
        <v>0.7590196462007085</v>
      </c>
      <c r="H7" s="53"/>
      <c r="I7" s="55">
        <f>AVERAGE(D7:G7)</f>
        <v>7.9792675739196059E-2</v>
      </c>
      <c r="J7" s="55">
        <f>MEDIAN(D7:G7)</f>
        <v>2.0005755865500949E-2</v>
      </c>
    </row>
    <row r="8" spans="2:10" ht="14.25" customHeight="1" x14ac:dyDescent="0.35">
      <c r="B8" s="42" t="s">
        <v>204</v>
      </c>
      <c r="C8" s="53"/>
      <c r="D8" s="54">
        <f>(Assumptions!D17-Assumptions!C17)/ABS(Assumptions!C17)</f>
        <v>0.23439377220587901</v>
      </c>
      <c r="E8" s="54">
        <f>(Assumptions!E17-Assumptions!D17)/ABS(Assumptions!D17)</f>
        <v>-0.13951853405753445</v>
      </c>
      <c r="F8" s="54">
        <f>(Assumptions!F17-Assumptions!E17)/ABS(Assumptions!E17)</f>
        <v>-0.42975115855131751</v>
      </c>
      <c r="G8" s="54">
        <f>(Assumptions!G17-Assumptions!F17)/ABS(Assumptions!F17)</f>
        <v>0.42974503158218902</v>
      </c>
      <c r="H8" s="53"/>
      <c r="I8" s="55">
        <f>AVERAGE(D8:G8)</f>
        <v>2.3717277794804009E-2</v>
      </c>
      <c r="J8" s="55">
        <f>MEDIAN(D8:G8)</f>
        <v>4.7437619074172266E-2</v>
      </c>
    </row>
    <row r="9" spans="2:10" ht="14.25" customHeight="1" x14ac:dyDescent="0.35">
      <c r="B9" s="1"/>
      <c r="C9" s="1"/>
      <c r="D9" s="1"/>
      <c r="E9" s="1"/>
      <c r="F9" s="1"/>
      <c r="G9" s="1"/>
      <c r="H9" s="1"/>
      <c r="I9" s="56"/>
      <c r="J9" s="56"/>
    </row>
    <row r="10" spans="2:10" ht="14.25" customHeight="1" x14ac:dyDescent="0.35">
      <c r="B10" s="233" t="s">
        <v>205</v>
      </c>
      <c r="C10" s="233"/>
      <c r="D10" s="233"/>
      <c r="E10" s="233"/>
      <c r="F10" s="233"/>
      <c r="G10" s="233"/>
      <c r="H10" s="233"/>
      <c r="I10" s="233"/>
      <c r="J10" s="233"/>
    </row>
    <row r="11" spans="2:10" ht="14.25" customHeight="1" x14ac:dyDescent="0.35">
      <c r="B11" s="42" t="s">
        <v>178</v>
      </c>
      <c r="C11" s="54">
        <f>Assumptions!C9/Assumptions!C3</f>
        <v>0.18000000000000005</v>
      </c>
      <c r="D11" s="54">
        <f>Assumptions!D9/Assumptions!D3</f>
        <v>0.16999999999999998</v>
      </c>
      <c r="E11" s="54">
        <f>Assumptions!E9/Assumptions!E3</f>
        <v>0.1400000000000001</v>
      </c>
      <c r="F11" s="54">
        <f>Assumptions!F9/Assumptions!F3</f>
        <v>8.9999999999999983E-2</v>
      </c>
      <c r="G11" s="54">
        <f>Assumptions!G9/Assumptions!G3</f>
        <v>0.12999999999999989</v>
      </c>
      <c r="H11" s="53"/>
      <c r="I11" s="55">
        <f>AVERAGE(C11:G11)</f>
        <v>0.14199999999999999</v>
      </c>
      <c r="J11" s="55">
        <f>MEDIAN(C11:G11)</f>
        <v>0.1400000000000001</v>
      </c>
    </row>
    <row r="12" spans="2:10" ht="14.25" customHeight="1" x14ac:dyDescent="0.35">
      <c r="B12" s="42" t="s">
        <v>179</v>
      </c>
      <c r="C12" s="54">
        <f>Assumptions!C11/Assumptions!C3</f>
        <v>0.14148461233654738</v>
      </c>
      <c r="D12" s="54">
        <f>Assumptions!D11/Assumptions!D3</f>
        <v>0.13595439681046453</v>
      </c>
      <c r="E12" s="54">
        <f>Assumptions!E11/Assumptions!E3</f>
        <v>0.10327641208481902</v>
      </c>
      <c r="F12" s="54">
        <f>Assumptions!F11/Assumptions!F3</f>
        <v>5.505500423109469E-2</v>
      </c>
      <c r="G12" s="54">
        <f>Assumptions!G11/Assumptions!G3</f>
        <v>9.5029818072016214E-2</v>
      </c>
      <c r="H12" s="53"/>
      <c r="I12" s="55">
        <f>AVERAGE(C12:G12)</f>
        <v>0.10616004870698839</v>
      </c>
      <c r="J12" s="55">
        <f>MEDIAN(C12:G12)</f>
        <v>0.10327641208481902</v>
      </c>
    </row>
    <row r="13" spans="2:10" ht="14.25" customHeight="1" x14ac:dyDescent="0.35">
      <c r="B13" s="42" t="s">
        <v>180</v>
      </c>
      <c r="C13" s="54">
        <f>Assumptions!C14/Assumptions!C3</f>
        <v>0.15767798177255321</v>
      </c>
      <c r="D13" s="54">
        <f>Assumptions!D14/Assumptions!D3</f>
        <v>0.15714330511132016</v>
      </c>
      <c r="E13" s="54">
        <f>Assumptions!E14/Assumptions!E3</f>
        <v>0.1151923437793208</v>
      </c>
      <c r="F13" s="54">
        <f>Assumptions!F14/Assumptions!F3</f>
        <v>6.5305792753288697E-2</v>
      </c>
      <c r="G13" s="54">
        <f>Assumptions!G14/Assumptions!G3</f>
        <v>9.6690571450139567E-2</v>
      </c>
      <c r="H13" s="53"/>
      <c r="I13" s="55">
        <f>AVERAGE(C13:G13)</f>
        <v>0.11840199897332448</v>
      </c>
      <c r="J13" s="55">
        <f>MEDIAN(C13:G13)</f>
        <v>0.1151923437793208</v>
      </c>
    </row>
    <row r="14" spans="2:10" ht="14.25" customHeight="1" x14ac:dyDescent="0.35">
      <c r="B14" s="42" t="s">
        <v>181</v>
      </c>
      <c r="C14" s="54">
        <f>Assumptions!C17/Assumptions!C3</f>
        <v>0.1132370888918241</v>
      </c>
      <c r="D14" s="54">
        <f>Assumptions!D17/Assumptions!D3</f>
        <v>0.11851767235586615</v>
      </c>
      <c r="E14" s="54">
        <f>Assumptions!E17/Assumptions!E3</f>
        <v>8.5440045036592346E-2</v>
      </c>
      <c r="F14" s="54">
        <f>Assumptions!F17/Assumptions!F3</f>
        <v>4.993461035464266E-2</v>
      </c>
      <c r="G14" s="54">
        <f>Assumptions!G17/Assumptions!G3</f>
        <v>7.0057182758360287E-2</v>
      </c>
      <c r="H14" s="53"/>
      <c r="I14" s="55">
        <f>AVERAGE(C14:G14)</f>
        <v>8.7437319879457104E-2</v>
      </c>
      <c r="J14" s="55">
        <f>MEDIAN(C14:G14)</f>
        <v>8.5440045036592346E-2</v>
      </c>
    </row>
    <row r="15" spans="2:10" ht="14.25" customHeight="1" x14ac:dyDescent="0.35">
      <c r="B15" s="1"/>
      <c r="C15" s="1"/>
      <c r="D15" s="1"/>
      <c r="E15" s="1"/>
      <c r="F15" s="1"/>
      <c r="G15" s="1"/>
      <c r="H15" s="1"/>
      <c r="I15" s="56"/>
      <c r="J15" s="56"/>
    </row>
    <row r="16" spans="2:10" ht="14.25" customHeight="1" x14ac:dyDescent="0.35">
      <c r="B16" s="233" t="s">
        <v>206</v>
      </c>
      <c r="C16" s="233"/>
      <c r="D16" s="233"/>
      <c r="E16" s="233"/>
      <c r="F16" s="233"/>
      <c r="G16" s="233"/>
      <c r="H16" s="233"/>
      <c r="I16" s="233"/>
      <c r="J16" s="233"/>
    </row>
    <row r="17" spans="2:10" ht="14.25" customHeight="1" x14ac:dyDescent="0.35">
      <c r="B17" s="42" t="s">
        <v>207</v>
      </c>
      <c r="C17" s="57">
        <f>Assumptions!C39</f>
        <v>0.17502369203620802</v>
      </c>
      <c r="D17" s="57">
        <f>Assumptions!D39</f>
        <v>0.18130772447577512</v>
      </c>
      <c r="E17" s="57">
        <f>Assumptions!E39</f>
        <v>0.15761046994472941</v>
      </c>
      <c r="F17" s="57">
        <f>Assumptions!F39</f>
        <v>8.4339166813976768E-2</v>
      </c>
      <c r="G17" s="57">
        <f>Assumptions!G39</f>
        <v>0.14841546804998806</v>
      </c>
      <c r="H17" s="53"/>
      <c r="I17" s="55">
        <f>AVERAGE(C17:G17)</f>
        <v>0.1493393042641355</v>
      </c>
      <c r="J17" s="55">
        <f>MEDIAN(C17:G17)</f>
        <v>0.15761046994472941</v>
      </c>
    </row>
    <row r="18" spans="2:10" ht="14.25" customHeight="1" x14ac:dyDescent="0.35">
      <c r="B18" s="42" t="s">
        <v>208</v>
      </c>
      <c r="C18" s="57">
        <f>Assumptions!C40</f>
        <v>0.13126776902715601</v>
      </c>
      <c r="D18" s="57">
        <f>Assumptions!D40</f>
        <v>0.13598079335683136</v>
      </c>
      <c r="E18" s="57">
        <f>Assumptions!E40</f>
        <v>0.11820785245854705</v>
      </c>
      <c r="F18" s="57">
        <f>Assumptions!F40</f>
        <v>6.3254375110482569E-2</v>
      </c>
      <c r="G18" s="57">
        <f>Assumptions!G40</f>
        <v>0.11131160103749105</v>
      </c>
      <c r="H18" s="53"/>
      <c r="I18" s="55">
        <f>AVERAGE(C18:G18)</f>
        <v>0.1120044781981016</v>
      </c>
      <c r="J18" s="55">
        <f>MEDIAN(C18:G18)</f>
        <v>0.11820785245854705</v>
      </c>
    </row>
    <row r="19" spans="2:10" ht="14.25" customHeight="1" x14ac:dyDescent="0.35">
      <c r="B19" s="1"/>
      <c r="C19" s="1"/>
      <c r="D19" s="1"/>
      <c r="E19" s="1"/>
      <c r="F19" s="1"/>
      <c r="G19" s="1"/>
      <c r="H19" s="1"/>
      <c r="I19" s="1"/>
      <c r="J19" s="1"/>
    </row>
    <row r="20" spans="2:10" ht="14.25" customHeight="1" x14ac:dyDescent="0.35">
      <c r="B20" s="233" t="s">
        <v>209</v>
      </c>
      <c r="C20" s="233"/>
      <c r="D20" s="233"/>
      <c r="E20" s="233"/>
      <c r="F20" s="233"/>
      <c r="G20" s="233"/>
      <c r="H20" s="233"/>
      <c r="I20" s="233"/>
      <c r="J20" s="233"/>
    </row>
    <row r="21" spans="2:10" ht="14.25" customHeight="1" x14ac:dyDescent="0.35">
      <c r="B21" s="42" t="s">
        <v>210</v>
      </c>
      <c r="C21" s="53"/>
      <c r="D21" s="7">
        <f>('Consolidated FS'!E29-'Consolidated FS'!D29)/ABS('Consolidated FS'!D29)</f>
        <v>-0.4719101123595506</v>
      </c>
      <c r="E21" s="54">
        <f>('Consolidated FS'!F29-'Consolidated FS'!E29)/ABS('Consolidated FS'!E29)</f>
        <v>0.93617021276595758</v>
      </c>
      <c r="F21" s="54">
        <f>('Consolidated FS'!G29-'Consolidated FS'!F29)/ABS('Consolidated FS'!F29)</f>
        <v>0.64835164835164827</v>
      </c>
      <c r="G21" s="54">
        <f>('Consolidated FS'!H29-'Consolidated FS'!G29)/ABS('Consolidated FS'!G29)</f>
        <v>-0.37333333333333335</v>
      </c>
      <c r="H21" s="53"/>
      <c r="I21" s="55">
        <f>AVERAGE(D21:G21)</f>
        <v>0.18481960385618051</v>
      </c>
      <c r="J21" s="55">
        <f>MEDIAN(D21:G21)</f>
        <v>0.13750915750915743</v>
      </c>
    </row>
    <row r="22" spans="2:10" ht="14.25" customHeight="1" x14ac:dyDescent="0.35">
      <c r="B22" s="42" t="s">
        <v>211</v>
      </c>
      <c r="C22" s="53"/>
      <c r="D22" s="7">
        <f>('Consolidated FS'!E28-'Consolidated FS'!D28)/ABS('Consolidated FS'!D28)</f>
        <v>0.25235075442816546</v>
      </c>
      <c r="E22" s="54">
        <f>('Consolidated FS'!F28-'Consolidated FS'!E28)/ABS('Consolidated FS'!E28)</f>
        <v>-0.13392701239741578</v>
      </c>
      <c r="F22" s="54">
        <f>('Consolidated FS'!G28-'Consolidated FS'!F28)/ABS('Consolidated FS'!F28)</f>
        <v>-0.51330645161290323</v>
      </c>
      <c r="G22" s="54">
        <f>('Consolidated FS'!H28-'Consolidated FS'!G28)/ABS('Consolidated FS'!G28)</f>
        <v>0.79908864954432468</v>
      </c>
      <c r="H22" s="53"/>
      <c r="I22" s="55">
        <f>AVERAGE(D22:G22)</f>
        <v>0.10105148499054278</v>
      </c>
      <c r="J22" s="55">
        <f>MEDIAN(D22:G22)</f>
        <v>5.921187101537484E-2</v>
      </c>
    </row>
  </sheetData>
  <mergeCells count="5">
    <mergeCell ref="B2:J2"/>
    <mergeCell ref="B4:J4"/>
    <mergeCell ref="B10:J10"/>
    <mergeCell ref="B16:J16"/>
    <mergeCell ref="B20:J20"/>
  </mergeCells>
  <pageMargins left="0.7" right="0.7" top="0.75" bottom="0.75" header="0.511811023622047" footer="0.511811023622047"/>
  <pageSetup paperSize="9" orientation="portrait" horizontalDpi="300" verticalDpi="300"/>
  <extLst>
    <ext xmlns:x14="http://schemas.microsoft.com/office/spreadsheetml/2009/9/main" uri="{05C60535-1F16-4fd2-B633-F4F36F0B64E0}">
      <x14:sparklineGroups xmlns:xm="http://schemas.microsoft.com/office/excel/2006/main">
        <x14:sparklineGroup displayEmptyCellsAs="gap" xr2:uid="{7438C5A9-3154-4286-966F-A64332CD87B5}">
          <x14:colorSeries rgb="FF376092"/>
          <x14:colorNegative rgb="FFD00000"/>
          <x14:colorAxis rgb="FF000000"/>
          <x14:colorMarkers rgb="FFD00000"/>
          <x14:colorFirst rgb="FFD00000"/>
          <x14:colorLast rgb="FFD00000"/>
          <x14:colorHigh rgb="FFD00000"/>
          <x14:colorLow rgb="FFD00000"/>
          <x14:sparklines>
            <x14:sparkline>
              <xm:f>Ratios!D5:G5</xm:f>
              <xm:sqref>H5</xm:sqref>
            </x14:sparkline>
            <x14:sparkline>
              <xm:f>Ratios!D6:G6</xm:f>
              <xm:sqref>H6</xm:sqref>
            </x14:sparkline>
            <x14:sparkline>
              <xm:f>Ratios!D7:G7</xm:f>
              <xm:sqref>H7</xm:sqref>
            </x14:sparkline>
            <x14:sparkline>
              <xm:f>Ratios!D8:G8</xm:f>
              <xm:sqref>H8</xm:sqref>
            </x14:sparkline>
          </x14:sparklines>
        </x14:sparklineGroup>
        <x14:sparklineGroup displayEmptyCellsAs="gap" xr2:uid="{92EFAD36-E392-4BDE-B961-767897976EAE}">
          <x14:colorSeries rgb="FF376092"/>
          <x14:colorNegative rgb="FFD00000"/>
          <x14:colorAxis rgb="FF000000"/>
          <x14:colorMarkers rgb="FFD00000"/>
          <x14:colorFirst rgb="FFD00000"/>
          <x14:colorLast rgb="FFD00000"/>
          <x14:colorHigh rgb="FFD00000"/>
          <x14:colorLow rgb="FFD00000"/>
          <x14:sparklines>
            <x14:sparkline>
              <xm:f>Ratios!C11:G11</xm:f>
              <xm:sqref>H11</xm:sqref>
            </x14:sparkline>
            <x14:sparkline>
              <xm:f>Ratios!C12:G12</xm:f>
              <xm:sqref>H12</xm:sqref>
            </x14:sparkline>
            <x14:sparkline>
              <xm:f>Ratios!C13:G13</xm:f>
              <xm:sqref>H13</xm:sqref>
            </x14:sparkline>
            <x14:sparkline>
              <xm:f>Ratios!C14:G14</xm:f>
              <xm:sqref>H14</xm:sqref>
            </x14:sparkline>
          </x14:sparklines>
        </x14:sparklineGroup>
        <x14:sparklineGroup displayEmptyCellsAs="gap" xr2:uid="{B93661D0-5CB6-40CC-9EA7-439D6F747444}">
          <x14:colorSeries rgb="FF376092"/>
          <x14:colorNegative rgb="FFD00000"/>
          <x14:colorAxis rgb="FF000000"/>
          <x14:colorMarkers rgb="FFD00000"/>
          <x14:colorFirst rgb="FFD00000"/>
          <x14:colorLast rgb="FFD00000"/>
          <x14:colorHigh rgb="FFD00000"/>
          <x14:colorLow rgb="FFD00000"/>
          <x14:sparklines>
            <x14:sparkline>
              <xm:f>Ratios!C17:G17</xm:f>
              <xm:sqref>H17</xm:sqref>
            </x14:sparkline>
            <x14:sparkline>
              <xm:f>Ratios!C18:G18</xm:f>
              <xm:sqref>H18</xm:sqref>
            </x14:sparkline>
          </x14:sparklines>
        </x14:sparklineGroup>
        <x14:sparklineGroup displayEmptyCellsAs="gap" xr2:uid="{05CA5D1C-D2D2-4365-A8FD-A946A860AE24}">
          <x14:colorSeries rgb="FF376092"/>
          <x14:colorNegative rgb="FFD00000"/>
          <x14:colorAxis rgb="FF000000"/>
          <x14:colorMarkers rgb="FFD00000"/>
          <x14:colorFirst rgb="FFD00000"/>
          <x14:colorLast rgb="FFD00000"/>
          <x14:colorHigh rgb="FFD00000"/>
          <x14:colorLow rgb="FFD00000"/>
          <x14:sparklines>
            <x14:sparkline>
              <xm:f>Ratios!C21:G21</xm:f>
              <xm:sqref>H21</xm:sqref>
            </x14:sparkline>
          </x14:sparklines>
        </x14:sparklineGroup>
        <x14:sparklineGroup displayEmptyCellsAs="gap" xr2:uid="{A1F0EC13-1E17-4606-9232-2DBB839E1A5C}">
          <x14:colorSeries rgb="FF376092"/>
          <x14:colorNegative rgb="FFD00000"/>
          <x14:colorAxis rgb="FF000000"/>
          <x14:colorMarkers rgb="FFD00000"/>
          <x14:colorFirst rgb="FFD00000"/>
          <x14:colorLast rgb="FFD00000"/>
          <x14:colorHigh rgb="FFD00000"/>
          <x14:colorLow rgb="FFD00000"/>
          <x14:sparklines>
            <x14:sparkline>
              <xm:f>Ratios!C22:G22</xm:f>
              <xm:sqref>H22</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16"/>
  <sheetViews>
    <sheetView zoomScaleNormal="100" workbookViewId="0">
      <selection activeCell="C13" sqref="C13"/>
    </sheetView>
  </sheetViews>
  <sheetFormatPr defaultColWidth="8.54296875" defaultRowHeight="14.5" x14ac:dyDescent="0.35"/>
  <cols>
    <col min="2" max="2" width="35.81640625" customWidth="1"/>
  </cols>
  <sheetData>
    <row r="2" spans="2:7" ht="14.25" customHeight="1" x14ac:dyDescent="0.35">
      <c r="B2" s="58" t="s">
        <v>11</v>
      </c>
      <c r="C2" s="59">
        <v>2021</v>
      </c>
      <c r="D2" s="59">
        <v>2022</v>
      </c>
      <c r="E2" s="59">
        <v>2023</v>
      </c>
      <c r="F2" s="59">
        <v>2024</v>
      </c>
      <c r="G2" s="59">
        <v>2025</v>
      </c>
    </row>
    <row r="3" spans="2:7" ht="14.25" customHeight="1" x14ac:dyDescent="0.35">
      <c r="B3" s="42" t="s">
        <v>167</v>
      </c>
      <c r="C3" s="31">
        <f>Assumptions!C11</f>
        <v>5355.9000000000015</v>
      </c>
      <c r="D3" s="31">
        <f>Assumptions!D11</f>
        <v>6069.82</v>
      </c>
      <c r="E3" s="31">
        <f>Assumptions!E11</f>
        <v>5503.6000000000058</v>
      </c>
      <c r="F3" s="31">
        <f>Assumptions!F11</f>
        <v>2862.6399999999994</v>
      </c>
      <c r="G3" s="31">
        <f>Assumptions!G11</f>
        <v>5035.4399999999951</v>
      </c>
    </row>
    <row r="4" spans="2:7" ht="14.25" customHeight="1" x14ac:dyDescent="0.35">
      <c r="B4" s="42" t="s">
        <v>212</v>
      </c>
      <c r="C4" s="7">
        <f>25%*C3</f>
        <v>1338.9750000000004</v>
      </c>
      <c r="D4" s="7">
        <f>25%*D3</f>
        <v>1517.4549999999999</v>
      </c>
      <c r="E4" s="7">
        <f>25%*E3</f>
        <v>1375.9000000000015</v>
      </c>
      <c r="F4" s="7">
        <f>25%*F3</f>
        <v>715.65999999999985</v>
      </c>
      <c r="G4" s="7">
        <f>25%*G3</f>
        <v>1258.8599999999988</v>
      </c>
    </row>
    <row r="5" spans="2:7" ht="14.25" customHeight="1" x14ac:dyDescent="0.35">
      <c r="B5" s="42" t="s">
        <v>213</v>
      </c>
      <c r="C5" s="7">
        <f>C3-C4</f>
        <v>4016.9250000000011</v>
      </c>
      <c r="D5" s="7">
        <f>D3-D4</f>
        <v>4552.3649999999998</v>
      </c>
      <c r="E5" s="7">
        <f>E3-E4</f>
        <v>4127.7000000000044</v>
      </c>
      <c r="F5" s="7">
        <f>F3-F4</f>
        <v>2146.9799999999996</v>
      </c>
      <c r="G5" s="7">
        <f>G3-G4</f>
        <v>3776.5799999999963</v>
      </c>
    </row>
    <row r="6" spans="2:7" ht="14.25" customHeight="1" x14ac:dyDescent="0.35">
      <c r="B6" s="42" t="s">
        <v>214</v>
      </c>
      <c r="C6" s="7"/>
      <c r="D6" s="31">
        <f>'Fixed Asset Schedule'!D9</f>
        <v>146</v>
      </c>
      <c r="E6" s="7">
        <f>'Fixed Asset Schedule'!E9</f>
        <v>5766</v>
      </c>
      <c r="F6" s="7">
        <f>'Fixed Asset Schedule'!F9</f>
        <v>148</v>
      </c>
      <c r="G6" s="7">
        <f>'Fixed Asset Schedule'!G9</f>
        <v>-1029</v>
      </c>
    </row>
    <row r="7" spans="2:7" ht="14.25" customHeight="1" x14ac:dyDescent="0.35">
      <c r="B7" s="42" t="s">
        <v>215</v>
      </c>
      <c r="C7" s="7"/>
      <c r="D7" s="31">
        <f>'Changes in WC'!D7</f>
        <v>4166</v>
      </c>
      <c r="E7" s="31">
        <f>'Changes in WC'!E7</f>
        <v>643</v>
      </c>
      <c r="F7" s="31">
        <f>'Changes in WC'!F7</f>
        <v>-867</v>
      </c>
      <c r="G7" s="31">
        <f>'Changes in WC'!G7</f>
        <v>-479</v>
      </c>
    </row>
    <row r="8" spans="2:7" ht="14.25" customHeight="1" x14ac:dyDescent="0.35">
      <c r="B8" s="42" t="s">
        <v>216</v>
      </c>
      <c r="C8" s="7">
        <f>SUM(C6:C7)</f>
        <v>0</v>
      </c>
      <c r="D8" s="7">
        <f>SUM(D6:D7)</f>
        <v>4312</v>
      </c>
      <c r="E8" s="7">
        <f>SUM(E6:E7)</f>
        <v>6409</v>
      </c>
      <c r="F8" s="7">
        <f>SUM(F6:F7)</f>
        <v>-719</v>
      </c>
      <c r="G8" s="7">
        <f>SUM(G6:G7)</f>
        <v>-1508</v>
      </c>
    </row>
    <row r="9" spans="2:7" ht="14.25" customHeight="1" x14ac:dyDescent="0.35">
      <c r="B9" s="42" t="s">
        <v>217</v>
      </c>
      <c r="C9" s="7">
        <f>C5-C8</f>
        <v>4016.9250000000011</v>
      </c>
      <c r="D9" s="7">
        <f>D5-D8</f>
        <v>240.36499999999978</v>
      </c>
      <c r="E9" s="7">
        <f>E5-E8</f>
        <v>-2281.2999999999956</v>
      </c>
      <c r="F9" s="7">
        <f>F5-F8</f>
        <v>2865.9799999999996</v>
      </c>
      <c r="G9" s="7">
        <f>G5-G8</f>
        <v>5284.5799999999963</v>
      </c>
    </row>
    <row r="10" spans="2:7" ht="14.25" customHeight="1" x14ac:dyDescent="0.35">
      <c r="B10" s="11"/>
      <c r="C10" s="11"/>
      <c r="D10" s="11"/>
      <c r="E10" s="11"/>
      <c r="F10" s="11"/>
      <c r="G10" s="11"/>
    </row>
    <row r="11" spans="2:7" ht="14.25" customHeight="1" x14ac:dyDescent="0.35">
      <c r="B11" s="7" t="s">
        <v>218</v>
      </c>
      <c r="C11" s="40"/>
      <c r="D11" s="40">
        <f>D8/D5</f>
        <v>0.94719997188274674</v>
      </c>
      <c r="E11" s="40">
        <f>E8/E5</f>
        <v>1.5526806696223061</v>
      </c>
      <c r="F11" s="40">
        <f>F8/F5</f>
        <v>-0.3348890068840884</v>
      </c>
      <c r="G11" s="40">
        <f>G8/G5</f>
        <v>-0.39930307315084057</v>
      </c>
    </row>
    <row r="12" spans="2:7" ht="14.25" customHeight="1" x14ac:dyDescent="0.35">
      <c r="B12" s="11"/>
      <c r="C12" s="11"/>
      <c r="D12" s="11"/>
      <c r="E12" s="11"/>
      <c r="F12" s="11"/>
      <c r="G12" s="11"/>
    </row>
    <row r="13" spans="2:7" ht="14.25" customHeight="1" x14ac:dyDescent="0.35">
      <c r="B13" s="7" t="s">
        <v>219</v>
      </c>
      <c r="C13" s="40">
        <f>MEDIAN(D11:G11)</f>
        <v>0.30615548249932911</v>
      </c>
      <c r="D13" s="11"/>
      <c r="E13" s="11"/>
      <c r="F13" s="11"/>
      <c r="G13" s="11"/>
    </row>
    <row r="14" spans="2:7" ht="14.25" customHeight="1" x14ac:dyDescent="0.35">
      <c r="B14" s="7" t="s">
        <v>220</v>
      </c>
      <c r="C14" s="40">
        <f>AVERAGE(D11:G11)</f>
        <v>0.44142214036753091</v>
      </c>
      <c r="D14" s="11"/>
      <c r="E14" s="11"/>
      <c r="F14" s="11"/>
      <c r="G14" s="11"/>
    </row>
    <row r="15" spans="2:7" ht="14.25" customHeight="1" x14ac:dyDescent="0.35">
      <c r="B15" s="11"/>
      <c r="C15" s="11"/>
      <c r="D15" s="11"/>
      <c r="E15" s="11"/>
      <c r="F15" s="11"/>
      <c r="G15" s="11"/>
    </row>
    <row r="16" spans="2:7" ht="14.25" customHeight="1" x14ac:dyDescent="0.35">
      <c r="B16" s="11"/>
      <c r="C16" s="11"/>
      <c r="D16" s="11"/>
      <c r="E16" s="11"/>
      <c r="F16" s="11"/>
      <c r="G16" s="11"/>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G14"/>
  <sheetViews>
    <sheetView zoomScaleNormal="100" workbookViewId="0">
      <selection activeCell="H1" sqref="H1"/>
    </sheetView>
  </sheetViews>
  <sheetFormatPr defaultColWidth="8.54296875" defaultRowHeight="14.5" x14ac:dyDescent="0.35"/>
  <cols>
    <col min="2" max="2" width="36.453125" customWidth="1"/>
  </cols>
  <sheetData>
    <row r="2" spans="2:7" ht="14.25" customHeight="1" x14ac:dyDescent="0.35">
      <c r="B2" s="58" t="s">
        <v>11</v>
      </c>
      <c r="C2" s="59">
        <v>2021</v>
      </c>
      <c r="D2" s="59">
        <v>2022</v>
      </c>
      <c r="E2" s="59">
        <v>2023</v>
      </c>
      <c r="F2" s="59">
        <v>2024</v>
      </c>
      <c r="G2" s="59">
        <v>2025</v>
      </c>
    </row>
    <row r="3" spans="2:7" ht="14.25" customHeight="1" x14ac:dyDescent="0.35">
      <c r="B3" s="42" t="s">
        <v>221</v>
      </c>
      <c r="C3" s="7"/>
      <c r="D3" s="31">
        <f>C7</f>
        <v>8872</v>
      </c>
      <c r="E3" s="31">
        <f>D7</f>
        <v>9018</v>
      </c>
      <c r="F3" s="31">
        <f>E7</f>
        <v>14784</v>
      </c>
      <c r="G3" s="31">
        <f>F7</f>
        <v>14932</v>
      </c>
    </row>
    <row r="4" spans="2:7" ht="14.25" customHeight="1" x14ac:dyDescent="0.35">
      <c r="B4" s="42" t="s">
        <v>222</v>
      </c>
      <c r="C4" s="7"/>
      <c r="D4" s="31">
        <f>D5-D3</f>
        <v>1666</v>
      </c>
      <c r="E4" s="7">
        <f>E5-E3</f>
        <v>7723</v>
      </c>
      <c r="F4" s="7">
        <f>F5-F3</f>
        <v>1965</v>
      </c>
      <c r="G4" s="7">
        <f>G5-G3</f>
        <v>824</v>
      </c>
    </row>
    <row r="5" spans="2:7" ht="14.25" customHeight="1" x14ac:dyDescent="0.35">
      <c r="B5" s="42" t="s">
        <v>223</v>
      </c>
      <c r="C5" s="31">
        <f>C6+C7</f>
        <v>10330</v>
      </c>
      <c r="D5" s="7">
        <f>D6+D7</f>
        <v>10538</v>
      </c>
      <c r="E5" s="7">
        <f>E6+E7</f>
        <v>16741</v>
      </c>
      <c r="F5" s="7">
        <f>F6+F7</f>
        <v>16749</v>
      </c>
      <c r="G5" s="7">
        <f>G6+G7</f>
        <v>15756</v>
      </c>
    </row>
    <row r="6" spans="2:7" ht="14.25" customHeight="1" x14ac:dyDescent="0.35">
      <c r="B6" s="42" t="s">
        <v>224</v>
      </c>
      <c r="C6" s="36">
        <f>Assumptions!C10</f>
        <v>1458</v>
      </c>
      <c r="D6" s="36">
        <f>Assumptions!D10</f>
        <v>1520</v>
      </c>
      <c r="E6" s="36">
        <f>Assumptions!E10</f>
        <v>1957</v>
      </c>
      <c r="F6" s="36">
        <f>Assumptions!F10</f>
        <v>1817</v>
      </c>
      <c r="G6" s="36">
        <f>Assumptions!G10</f>
        <v>1853</v>
      </c>
    </row>
    <row r="7" spans="2:7" ht="14.25" customHeight="1" x14ac:dyDescent="0.35">
      <c r="B7" s="42" t="s">
        <v>225</v>
      </c>
      <c r="C7" s="31">
        <f>'Consolidated FS'!Q18</f>
        <v>8872</v>
      </c>
      <c r="D7" s="31">
        <f>'Consolidated FS'!R18</f>
        <v>9018</v>
      </c>
      <c r="E7" s="31">
        <f>'Consolidated FS'!S18</f>
        <v>14784</v>
      </c>
      <c r="F7" s="31">
        <f>'Consolidated FS'!T18</f>
        <v>14932</v>
      </c>
      <c r="G7" s="31">
        <f>'Consolidated FS'!U18</f>
        <v>13903</v>
      </c>
    </row>
    <row r="8" spans="2:7" ht="14.25" customHeight="1" x14ac:dyDescent="0.35">
      <c r="B8" s="7"/>
      <c r="C8" s="7"/>
      <c r="D8" s="7"/>
      <c r="E8" s="7"/>
      <c r="F8" s="7"/>
      <c r="G8" s="7"/>
    </row>
    <row r="9" spans="2:7" ht="14.25" customHeight="1" x14ac:dyDescent="0.35">
      <c r="B9" s="42" t="s">
        <v>226</v>
      </c>
      <c r="C9" s="7"/>
      <c r="D9" s="31">
        <f>D4-D6</f>
        <v>146</v>
      </c>
      <c r="E9" s="7">
        <f>E4-E6</f>
        <v>5766</v>
      </c>
      <c r="F9" s="7">
        <f>F4-F6</f>
        <v>148</v>
      </c>
      <c r="G9" s="7">
        <f>G4-G6</f>
        <v>-1029</v>
      </c>
    </row>
    <row r="10" spans="2:7" ht="14.25" customHeight="1" x14ac:dyDescent="0.35">
      <c r="B10" s="42" t="s">
        <v>227</v>
      </c>
      <c r="C10" s="7"/>
      <c r="D10" s="33">
        <f>D9/Assumptions!D3</f>
        <v>3.2701697800474848E-3</v>
      </c>
      <c r="E10" s="33">
        <f>E9/Assumptions!E3</f>
        <v>0.10820041283542879</v>
      </c>
      <c r="F10" s="33">
        <f>F9/Assumptions!F3</f>
        <v>2.8463727979075315E-3</v>
      </c>
      <c r="G10" s="33">
        <f>G9/Assumptions!G3</f>
        <v>-1.9419491205555976E-2</v>
      </c>
    </row>
    <row r="11" spans="2:7" ht="14.25" customHeight="1" x14ac:dyDescent="0.35">
      <c r="B11" s="11"/>
      <c r="C11" s="11"/>
      <c r="D11" s="11"/>
      <c r="E11" s="11"/>
      <c r="F11" s="11"/>
      <c r="G11" s="11"/>
    </row>
    <row r="12" spans="2:7" ht="14.25" customHeight="1" x14ac:dyDescent="0.35">
      <c r="B12" s="7" t="s">
        <v>228</v>
      </c>
      <c r="C12" s="40">
        <f>MEDIAN(D10:G10)</f>
        <v>3.0582712889775081E-3</v>
      </c>
      <c r="D12" s="11"/>
      <c r="E12" s="11"/>
      <c r="F12" s="11"/>
      <c r="G12" s="11"/>
    </row>
    <row r="13" spans="2:7" ht="14.25" customHeight="1" x14ac:dyDescent="0.35">
      <c r="B13" s="7" t="s">
        <v>229</v>
      </c>
      <c r="C13" s="40">
        <f>AVERAGE(D10:G10)</f>
        <v>2.372436605195696E-2</v>
      </c>
      <c r="D13" s="11"/>
      <c r="E13" s="11"/>
      <c r="F13" s="11"/>
      <c r="G13" s="11"/>
    </row>
    <row r="14" spans="2:7" ht="14.25" customHeight="1" x14ac:dyDescent="0.35">
      <c r="B14" s="11"/>
      <c r="C14" s="11"/>
      <c r="D14" s="11"/>
      <c r="E14" s="11"/>
      <c r="F14" s="11"/>
      <c r="G14" s="11"/>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G13"/>
  <sheetViews>
    <sheetView zoomScaleNormal="100" workbookViewId="0">
      <selection activeCell="B14" sqref="B14"/>
    </sheetView>
  </sheetViews>
  <sheetFormatPr defaultColWidth="8.54296875" defaultRowHeight="14.5" x14ac:dyDescent="0.35"/>
  <cols>
    <col min="2" max="2" width="26.81640625" customWidth="1"/>
  </cols>
  <sheetData>
    <row r="2" spans="2:7" ht="14.25" customHeight="1" x14ac:dyDescent="0.35">
      <c r="B2" s="58" t="s">
        <v>11</v>
      </c>
      <c r="C2" s="59">
        <v>2021</v>
      </c>
      <c r="D2" s="59">
        <v>2022</v>
      </c>
      <c r="E2" s="59">
        <v>2023</v>
      </c>
      <c r="F2" s="59">
        <v>2024</v>
      </c>
      <c r="G2" s="59">
        <v>2025</v>
      </c>
    </row>
    <row r="3" spans="2:7" ht="14.25" customHeight="1" x14ac:dyDescent="0.35">
      <c r="B3" s="42" t="s">
        <v>92</v>
      </c>
      <c r="C3" s="31">
        <f>'Consolidated FS'!R33</f>
        <v>24</v>
      </c>
      <c r="D3" s="31">
        <f>'Consolidated FS'!S33</f>
        <v>40</v>
      </c>
      <c r="E3" s="31">
        <f>'Consolidated FS'!T33</f>
        <v>24</v>
      </c>
      <c r="F3" s="31">
        <f>'Consolidated FS'!U33</f>
        <v>38</v>
      </c>
      <c r="G3" s="31">
        <f>'Consolidated FS'!V33</f>
        <v>39</v>
      </c>
    </row>
    <row r="4" spans="2:7" ht="14.25" customHeight="1" x14ac:dyDescent="0.35">
      <c r="B4" s="42" t="s">
        <v>230</v>
      </c>
      <c r="C4" s="31">
        <f>'Consolidated FS'!R34</f>
        <v>6473</v>
      </c>
      <c r="D4" s="31">
        <f>'Consolidated FS'!S34</f>
        <v>11933</v>
      </c>
      <c r="E4" s="31">
        <f>'Consolidated FS'!T34</f>
        <v>12882</v>
      </c>
      <c r="F4" s="31">
        <f>'Consolidated FS'!U34</f>
        <v>11401</v>
      </c>
      <c r="G4" s="31">
        <f>'Consolidated FS'!V34</f>
        <v>11547</v>
      </c>
    </row>
    <row r="5" spans="2:7" ht="14.25" customHeight="1" x14ac:dyDescent="0.35">
      <c r="B5" s="42" t="s">
        <v>61</v>
      </c>
      <c r="C5" s="31">
        <f>'Consolidated FS'!R14</f>
        <v>2785</v>
      </c>
      <c r="D5" s="31">
        <f>'Consolidated FS'!S14</f>
        <v>4095</v>
      </c>
      <c r="E5" s="31">
        <f>'Consolidated FS'!T14</f>
        <v>4385</v>
      </c>
      <c r="F5" s="31">
        <f>'Consolidated FS'!U14</f>
        <v>3785</v>
      </c>
      <c r="G5" s="31">
        <f>'Consolidated FS'!V14</f>
        <v>4411</v>
      </c>
    </row>
    <row r="6" spans="2:7" ht="14.25" customHeight="1" x14ac:dyDescent="0.35">
      <c r="B6" s="42" t="s">
        <v>231</v>
      </c>
      <c r="C6" s="31">
        <f>C3+C4-C5</f>
        <v>3712</v>
      </c>
      <c r="D6" s="31">
        <f>D3+D4-D5</f>
        <v>7878</v>
      </c>
      <c r="E6" s="31">
        <f>E3+E4-E5</f>
        <v>8521</v>
      </c>
      <c r="F6" s="31">
        <f>F3+F4-F5</f>
        <v>7654</v>
      </c>
      <c r="G6" s="31">
        <f>G3+G4-G5</f>
        <v>7175</v>
      </c>
    </row>
    <row r="7" spans="2:7" ht="14.25" customHeight="1" x14ac:dyDescent="0.35">
      <c r="B7" s="42" t="s">
        <v>232</v>
      </c>
      <c r="C7" s="31"/>
      <c r="D7" s="31">
        <f>D6-C6</f>
        <v>4166</v>
      </c>
      <c r="E7" s="31">
        <f>E6-D6</f>
        <v>643</v>
      </c>
      <c r="F7" s="31">
        <f>F6-E6</f>
        <v>-867</v>
      </c>
      <c r="G7" s="31">
        <f>G6-F6</f>
        <v>-479</v>
      </c>
    </row>
    <row r="8" spans="2:7" ht="14.25" customHeight="1" x14ac:dyDescent="0.35">
      <c r="B8" s="42" t="s">
        <v>233</v>
      </c>
      <c r="C8" s="31"/>
      <c r="D8" s="31">
        <f>D7/Assumptions!D3</f>
        <v>9.3311830847108368E-2</v>
      </c>
      <c r="E8" s="31">
        <f>E7/Assumptions!E3</f>
        <v>1.2066053668605742E-2</v>
      </c>
      <c r="F8" s="31">
        <f>F7/Assumptions!F3</f>
        <v>-1.667435956612047E-2</v>
      </c>
      <c r="G8" s="31">
        <f>G7/Assumptions!G3</f>
        <v>-9.0397825922850453E-3</v>
      </c>
    </row>
    <row r="9" spans="2:7" ht="14.25" customHeight="1" x14ac:dyDescent="0.35">
      <c r="B9" s="11"/>
      <c r="C9" s="48"/>
      <c r="D9" s="48"/>
      <c r="E9" s="48"/>
      <c r="F9" s="48"/>
      <c r="G9" s="48"/>
    </row>
    <row r="10" spans="2:7" ht="14.25" customHeight="1" x14ac:dyDescent="0.35">
      <c r="B10" s="42" t="s">
        <v>234</v>
      </c>
      <c r="C10" s="31">
        <f>MEDIAN(D8:G8)</f>
        <v>1.5131355381603484E-3</v>
      </c>
      <c r="D10" s="48"/>
      <c r="E10" s="48"/>
      <c r="F10" s="48"/>
      <c r="G10" s="48"/>
    </row>
    <row r="11" spans="2:7" ht="14.25" customHeight="1" x14ac:dyDescent="0.35">
      <c r="B11" s="25" t="s">
        <v>235</v>
      </c>
      <c r="C11" s="48">
        <f>AVERAGE(D8:G8)</f>
        <v>1.9915935589327149E-2</v>
      </c>
      <c r="D11" s="11"/>
      <c r="E11" s="11"/>
      <c r="F11" s="11"/>
      <c r="G11" s="11"/>
    </row>
    <row r="12" spans="2:7" ht="14.25" customHeight="1" x14ac:dyDescent="0.35">
      <c r="B12" s="11"/>
      <c r="C12" s="11"/>
      <c r="D12" s="11"/>
      <c r="E12" s="11"/>
      <c r="F12" s="11"/>
      <c r="G12" s="11"/>
    </row>
    <row r="13" spans="2:7" ht="14.25" customHeight="1" x14ac:dyDescent="0.35">
      <c r="B13" s="11"/>
      <c r="C13" s="11"/>
      <c r="D13" s="11"/>
      <c r="E13" s="11"/>
      <c r="F13" s="11"/>
      <c r="G13" s="11"/>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Q10"/>
  <sheetViews>
    <sheetView zoomScaleNormal="100" workbookViewId="0">
      <selection activeCell="L14" sqref="L14"/>
    </sheetView>
  </sheetViews>
  <sheetFormatPr defaultColWidth="8.7265625" defaultRowHeight="13" x14ac:dyDescent="0.3"/>
  <cols>
    <col min="1" max="1" width="1.7265625" style="11" customWidth="1"/>
    <col min="2" max="2" width="8.81640625" style="11" customWidth="1"/>
    <col min="3" max="3" width="15.81640625" style="11" customWidth="1"/>
    <col min="4" max="5" width="8.81640625" style="11" customWidth="1"/>
    <col min="6" max="6" width="10.36328125" style="11" customWidth="1"/>
    <col min="7" max="7" width="8.81640625" style="11" customWidth="1"/>
    <col min="8" max="8" width="10.1796875" style="11" customWidth="1"/>
    <col min="9" max="12" width="8.81640625" style="11" customWidth="1"/>
    <col min="13" max="13" width="10.7265625" style="11" customWidth="1"/>
    <col min="14" max="14" width="11.54296875" style="11" customWidth="1"/>
    <col min="15" max="17" width="11.1796875" style="11" customWidth="1"/>
    <col min="18" max="16384" width="8.7265625" style="11"/>
  </cols>
  <sheetData>
    <row r="2" spans="2:17" ht="25.5" customHeight="1" x14ac:dyDescent="0.3">
      <c r="B2" s="60" t="s">
        <v>236</v>
      </c>
      <c r="C2" s="60" t="s">
        <v>237</v>
      </c>
      <c r="D2" s="61" t="s">
        <v>238</v>
      </c>
      <c r="E2" s="61" t="s">
        <v>239</v>
      </c>
      <c r="F2" s="61" t="s">
        <v>240</v>
      </c>
      <c r="G2" s="61" t="s">
        <v>241</v>
      </c>
      <c r="H2" s="61" t="s">
        <v>242</v>
      </c>
      <c r="I2" s="61" t="s">
        <v>243</v>
      </c>
      <c r="J2" s="61" t="s">
        <v>244</v>
      </c>
      <c r="K2" s="61" t="s">
        <v>245</v>
      </c>
      <c r="L2" s="61" t="s">
        <v>246</v>
      </c>
      <c r="M2" s="61" t="s">
        <v>247</v>
      </c>
      <c r="N2" s="61" t="s">
        <v>248</v>
      </c>
      <c r="O2" s="61" t="s">
        <v>249</v>
      </c>
      <c r="P2" s="61" t="s">
        <v>250</v>
      </c>
      <c r="Q2" s="61" t="s">
        <v>251</v>
      </c>
    </row>
    <row r="3" spans="2:17" ht="12.75" customHeight="1" x14ac:dyDescent="0.3">
      <c r="B3" s="16">
        <v>1</v>
      </c>
      <c r="C3" s="7" t="s">
        <v>252</v>
      </c>
      <c r="D3" s="8">
        <v>2161.4</v>
      </c>
      <c r="E3" s="8">
        <v>14.95</v>
      </c>
      <c r="F3" s="8">
        <v>782013.43999999994</v>
      </c>
      <c r="G3" s="8">
        <v>2.96</v>
      </c>
      <c r="H3" s="8">
        <v>13784</v>
      </c>
      <c r="I3" s="8">
        <v>12.22</v>
      </c>
      <c r="J3" s="8">
        <v>63.03</v>
      </c>
      <c r="K3" s="8">
        <v>11283</v>
      </c>
      <c r="L3" s="8">
        <v>10.210000000000001</v>
      </c>
      <c r="M3" s="8">
        <v>361.81</v>
      </c>
      <c r="N3" s="8">
        <v>70890</v>
      </c>
      <c r="O3" s="8">
        <v>49454</v>
      </c>
      <c r="P3" s="8">
        <v>267021</v>
      </c>
      <c r="Q3" s="8">
        <v>12908</v>
      </c>
    </row>
    <row r="4" spans="2:17" ht="12.75" customHeight="1" x14ac:dyDescent="0.3">
      <c r="B4" s="16">
        <v>2</v>
      </c>
      <c r="C4" s="7" t="s">
        <v>253</v>
      </c>
      <c r="D4" s="8">
        <v>1116.4000000000001</v>
      </c>
      <c r="E4" s="8">
        <v>15.06</v>
      </c>
      <c r="F4" s="8">
        <v>452952.05</v>
      </c>
      <c r="G4" s="8">
        <v>4.3</v>
      </c>
      <c r="H4" s="8">
        <v>8509</v>
      </c>
      <c r="I4" s="8">
        <v>20.87</v>
      </c>
      <c r="J4" s="8">
        <v>39.950000000000003</v>
      </c>
      <c r="K4" s="8">
        <v>9176</v>
      </c>
      <c r="L4" s="8">
        <v>9.52</v>
      </c>
      <c r="M4" s="8">
        <v>405.73</v>
      </c>
      <c r="N4" s="8">
        <v>41324</v>
      </c>
      <c r="O4" s="8">
        <v>29474</v>
      </c>
      <c r="P4" s="8">
        <v>178650</v>
      </c>
      <c r="Q4" s="8">
        <v>22201</v>
      </c>
    </row>
    <row r="5" spans="2:17" ht="12.75" customHeight="1" x14ac:dyDescent="0.3">
      <c r="B5" s="16">
        <v>3</v>
      </c>
      <c r="C5" s="7" t="s">
        <v>254</v>
      </c>
      <c r="D5" s="8">
        <v>1109.5999999999999</v>
      </c>
      <c r="E5" s="8">
        <v>17.34</v>
      </c>
      <c r="F5" s="8">
        <v>301108.28000000003</v>
      </c>
      <c r="G5" s="8">
        <v>4.87</v>
      </c>
      <c r="H5" s="8">
        <v>4490</v>
      </c>
      <c r="I5" s="8">
        <v>4.2</v>
      </c>
      <c r="J5" s="8">
        <v>30.6</v>
      </c>
      <c r="K5" s="8">
        <v>5215</v>
      </c>
      <c r="L5" s="8">
        <v>10</v>
      </c>
      <c r="M5" s="8">
        <v>271.37</v>
      </c>
      <c r="N5" s="8">
        <v>23927</v>
      </c>
      <c r="O5" s="8">
        <v>16652</v>
      </c>
      <c r="P5" s="8">
        <v>130144</v>
      </c>
      <c r="Q5" s="8">
        <v>23425</v>
      </c>
    </row>
    <row r="6" spans="2:17" ht="12.75" customHeight="1" x14ac:dyDescent="0.3">
      <c r="B6" s="16">
        <v>4</v>
      </c>
      <c r="C6" s="7" t="s">
        <v>255</v>
      </c>
      <c r="D6" s="8">
        <v>180.14</v>
      </c>
      <c r="E6" s="8">
        <v>14.34</v>
      </c>
      <c r="F6" s="8">
        <v>189201.26</v>
      </c>
      <c r="G6" s="8">
        <v>6.11</v>
      </c>
      <c r="H6" s="8">
        <v>3521.6</v>
      </c>
      <c r="I6" s="8">
        <v>-1.9</v>
      </c>
      <c r="J6" s="8">
        <v>17.88</v>
      </c>
      <c r="K6" s="8">
        <v>20291</v>
      </c>
      <c r="L6" s="8">
        <v>9.16</v>
      </c>
      <c r="M6" s="8">
        <v>1050.3</v>
      </c>
      <c r="N6" s="8">
        <v>18799.900000000001</v>
      </c>
      <c r="O6" s="8">
        <v>13265.5</v>
      </c>
      <c r="P6" s="8">
        <v>92624</v>
      </c>
      <c r="Q6" s="8">
        <v>10555.5</v>
      </c>
    </row>
    <row r="7" spans="2:17" ht="12.75" customHeight="1" x14ac:dyDescent="0.3">
      <c r="B7" s="16">
        <v>5</v>
      </c>
      <c r="C7" s="7" t="s">
        <v>100</v>
      </c>
      <c r="D7" s="8">
        <v>1429.2</v>
      </c>
      <c r="E7" s="8">
        <v>28.01</v>
      </c>
      <c r="F7" s="8">
        <v>140069.88</v>
      </c>
      <c r="G7" s="8">
        <v>3.57</v>
      </c>
      <c r="H7" s="8">
        <v>1356.4</v>
      </c>
      <c r="I7" s="8">
        <v>16.04</v>
      </c>
      <c r="J7" s="8">
        <v>23.14</v>
      </c>
      <c r="K7" s="8">
        <v>2186.1999999999998</v>
      </c>
      <c r="L7" s="8">
        <v>15.13</v>
      </c>
      <c r="M7" s="8">
        <v>98.01</v>
      </c>
      <c r="N7" s="8">
        <v>7182.9</v>
      </c>
      <c r="O7" s="8">
        <v>4805.5</v>
      </c>
      <c r="P7" s="8">
        <v>56815.4</v>
      </c>
      <c r="Q7" s="8">
        <v>5105.3999999999996</v>
      </c>
    </row>
    <row r="8" spans="2:17" ht="12.75" customHeight="1" x14ac:dyDescent="0.3">
      <c r="B8" s="16">
        <v>6</v>
      </c>
      <c r="C8" s="7" t="s">
        <v>256</v>
      </c>
      <c r="D8" s="8">
        <v>3844.7</v>
      </c>
      <c r="E8" s="8">
        <v>21.1</v>
      </c>
      <c r="F8" s="8">
        <v>114042</v>
      </c>
      <c r="G8" s="8">
        <v>1.95</v>
      </c>
      <c r="H8" s="8">
        <v>1387.3</v>
      </c>
      <c r="I8" s="8">
        <v>19.36</v>
      </c>
      <c r="J8" s="8">
        <v>29.6</v>
      </c>
      <c r="K8" s="8">
        <v>2310</v>
      </c>
      <c r="L8" s="8">
        <v>13.13</v>
      </c>
      <c r="M8" s="8">
        <v>29.66</v>
      </c>
      <c r="N8" s="8">
        <v>7595.5</v>
      </c>
      <c r="O8" s="8">
        <v>4982.7</v>
      </c>
      <c r="P8" s="8">
        <v>42307.6</v>
      </c>
      <c r="Q8" s="8">
        <v>2812.4</v>
      </c>
    </row>
    <row r="9" spans="2:17" ht="12.75" customHeight="1" x14ac:dyDescent="0.3">
      <c r="B9" s="16">
        <v>7</v>
      </c>
      <c r="C9" s="7" t="s">
        <v>257</v>
      </c>
      <c r="D9" s="8">
        <v>4811</v>
      </c>
      <c r="E9" s="8">
        <v>39.28</v>
      </c>
      <c r="F9" s="8">
        <v>75893.53</v>
      </c>
      <c r="G9" s="8">
        <v>0.73</v>
      </c>
      <c r="H9" s="8">
        <v>529.26</v>
      </c>
      <c r="I9" s="8">
        <v>33.729999999999997</v>
      </c>
      <c r="J9" s="8">
        <v>34.43</v>
      </c>
      <c r="K9" s="8">
        <v>477.45</v>
      </c>
      <c r="L9" s="8">
        <v>25.25</v>
      </c>
      <c r="M9" s="8">
        <v>15.78</v>
      </c>
      <c r="N9" s="8">
        <v>2572.92</v>
      </c>
      <c r="O9" s="8">
        <v>1865.12</v>
      </c>
      <c r="P9" s="8">
        <v>14748.45</v>
      </c>
      <c r="Q9" s="8">
        <v>1218.25</v>
      </c>
    </row>
    <row r="10" spans="2:17" ht="12.75" customHeight="1" x14ac:dyDescent="0.3">
      <c r="B10" s="62"/>
      <c r="C10" s="20" t="s">
        <v>258</v>
      </c>
      <c r="D10" s="8">
        <v>292.68</v>
      </c>
      <c r="E10" s="8">
        <v>20.190000000000001</v>
      </c>
      <c r="F10" s="8">
        <v>1471.2</v>
      </c>
      <c r="G10" s="8">
        <v>0.49</v>
      </c>
      <c r="H10" s="8">
        <v>13.75</v>
      </c>
      <c r="I10" s="8">
        <v>18.53</v>
      </c>
      <c r="J10" s="8">
        <v>22.38</v>
      </c>
      <c r="K10" s="8">
        <v>43.27</v>
      </c>
      <c r="L10" s="8">
        <v>12.22</v>
      </c>
      <c r="M10" s="8">
        <v>7.35</v>
      </c>
      <c r="N10" s="8">
        <v>52.42</v>
      </c>
      <c r="O10" s="8">
        <v>34.75</v>
      </c>
      <c r="P10" s="8">
        <v>357.16</v>
      </c>
      <c r="Q10" s="8">
        <v>68.63</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Q31"/>
  <sheetViews>
    <sheetView tabSelected="1" zoomScale="91" zoomScaleNormal="100" workbookViewId="0">
      <selection activeCell="C17" sqref="C17"/>
    </sheetView>
  </sheetViews>
  <sheetFormatPr defaultColWidth="8.54296875" defaultRowHeight="13" x14ac:dyDescent="0.3"/>
  <cols>
    <col min="1" max="1" width="3.36328125" style="25" customWidth="1"/>
    <col min="2" max="2" width="22" style="25" customWidth="1"/>
    <col min="3" max="4" width="11.6328125" style="25" customWidth="1"/>
    <col min="5" max="5" width="11.1796875" style="25" customWidth="1"/>
    <col min="6" max="6" width="8.90625" style="25" customWidth="1"/>
    <col min="7" max="7" width="9.08984375" style="25" customWidth="1"/>
    <col min="8" max="8" width="10.1796875" style="25" customWidth="1"/>
    <col min="9" max="14" width="8.54296875" style="25"/>
    <col min="15" max="17" width="10.81640625" style="25" customWidth="1"/>
    <col min="18" max="16384" width="8.54296875" style="25"/>
  </cols>
  <sheetData>
    <row r="2" spans="2:17" ht="15" customHeight="1" x14ac:dyDescent="0.3">
      <c r="B2" s="234" t="s">
        <v>259</v>
      </c>
      <c r="C2" s="234"/>
      <c r="D2" s="234"/>
      <c r="E2" s="234"/>
      <c r="F2" s="234"/>
      <c r="G2" s="234"/>
      <c r="H2" s="234"/>
      <c r="I2" s="234"/>
      <c r="J2" s="234"/>
      <c r="K2" s="234"/>
      <c r="L2" s="234"/>
      <c r="M2" s="234"/>
      <c r="N2" s="234"/>
      <c r="O2" s="234"/>
      <c r="P2" s="234"/>
      <c r="Q2" s="234"/>
    </row>
    <row r="3" spans="2:17" ht="14.25" customHeight="1" x14ac:dyDescent="0.3">
      <c r="B3" s="92" t="s">
        <v>260</v>
      </c>
      <c r="C3" s="11"/>
      <c r="D3" s="11"/>
      <c r="E3" s="11"/>
      <c r="F3" s="11"/>
      <c r="G3" s="11"/>
      <c r="H3" s="11"/>
      <c r="I3" s="11"/>
      <c r="J3" s="11"/>
      <c r="K3" s="11"/>
      <c r="L3" s="11"/>
      <c r="M3" s="11"/>
      <c r="N3" s="11"/>
      <c r="O3" s="11"/>
      <c r="P3" s="11"/>
      <c r="Q3" s="11"/>
    </row>
    <row r="4" spans="2:17" ht="15" customHeight="1" x14ac:dyDescent="0.3">
      <c r="B4" s="235" t="s">
        <v>261</v>
      </c>
      <c r="C4" s="235"/>
      <c r="D4" s="235"/>
      <c r="E4" s="235"/>
      <c r="F4" s="235"/>
      <c r="G4" s="235"/>
      <c r="H4" s="235"/>
      <c r="I4" s="235"/>
      <c r="J4" s="235"/>
      <c r="K4" s="235"/>
      <c r="L4" s="235"/>
      <c r="M4" s="235"/>
      <c r="N4" s="235"/>
      <c r="O4" s="235"/>
      <c r="P4" s="235"/>
      <c r="Q4" s="235"/>
    </row>
    <row r="5" spans="2:17" ht="14.25" customHeight="1" x14ac:dyDescent="0.3">
      <c r="B5" s="236" t="s">
        <v>262</v>
      </c>
      <c r="C5" s="237" t="s">
        <v>263</v>
      </c>
      <c r="D5" s="237"/>
      <c r="E5" s="237"/>
      <c r="F5" s="237"/>
      <c r="G5" s="237"/>
      <c r="H5" s="237"/>
      <c r="I5" s="238"/>
      <c r="J5" s="236" t="s">
        <v>264</v>
      </c>
      <c r="K5" s="236"/>
      <c r="L5" s="236"/>
      <c r="M5" s="236"/>
      <c r="N5" s="238"/>
      <c r="O5" s="236" t="s">
        <v>265</v>
      </c>
      <c r="P5" s="236"/>
      <c r="Q5" s="236"/>
    </row>
    <row r="6" spans="2:17" ht="27.75" customHeight="1" x14ac:dyDescent="0.3">
      <c r="B6" s="236"/>
      <c r="C6" s="118" t="s">
        <v>266</v>
      </c>
      <c r="D6" s="118" t="s">
        <v>267</v>
      </c>
      <c r="E6" s="118" t="s">
        <v>268</v>
      </c>
      <c r="F6" s="118" t="s">
        <v>157</v>
      </c>
      <c r="G6" s="118" t="s">
        <v>269</v>
      </c>
      <c r="H6" s="119" t="s">
        <v>270</v>
      </c>
      <c r="I6" s="238"/>
      <c r="J6" s="117" t="s">
        <v>271</v>
      </c>
      <c r="K6" s="118" t="s">
        <v>165</v>
      </c>
      <c r="L6" s="118" t="s">
        <v>272</v>
      </c>
      <c r="M6" s="119" t="s">
        <v>273</v>
      </c>
      <c r="N6" s="238"/>
      <c r="O6" s="117" t="s">
        <v>274</v>
      </c>
      <c r="P6" s="118" t="s">
        <v>275</v>
      </c>
      <c r="Q6" s="119" t="s">
        <v>276</v>
      </c>
    </row>
    <row r="7" spans="2:17" ht="14.25" customHeight="1" x14ac:dyDescent="0.3">
      <c r="B7" s="7" t="s">
        <v>252</v>
      </c>
      <c r="C7" s="120">
        <f>'Raw FSValuation'!M3</f>
        <v>361.81</v>
      </c>
      <c r="D7" s="121">
        <f>'Raw FSValuation'!D3</f>
        <v>2161.4</v>
      </c>
      <c r="E7" s="121">
        <f t="shared" ref="E7:E13" si="0">C7*D7</f>
        <v>782016.13400000008</v>
      </c>
      <c r="F7" s="121">
        <f>'Raw FSValuation'!K3</f>
        <v>11283</v>
      </c>
      <c r="G7" s="121">
        <f>'Raw FSValuation'!Q3</f>
        <v>12908</v>
      </c>
      <c r="H7" s="122">
        <f t="shared" ref="H7:H13" si="1">E7+F7-G7</f>
        <v>780391.13400000008</v>
      </c>
      <c r="I7" s="11"/>
      <c r="J7" s="123">
        <f>'Raw FSValuation'!P3</f>
        <v>267021</v>
      </c>
      <c r="K7" s="121">
        <f>H7/'Raw FSValuation'!L3</f>
        <v>76433.99941234084</v>
      </c>
      <c r="L7" s="121">
        <f>'Raw FSValuation'!O3</f>
        <v>49454</v>
      </c>
      <c r="M7" s="124">
        <f t="shared" ref="M7:M13" si="2">L7/C7</f>
        <v>136.68500041458225</v>
      </c>
      <c r="N7" s="11"/>
      <c r="O7" s="125">
        <f t="shared" ref="O7:O13" si="3">H7/J7</f>
        <v>2.9225833698473158</v>
      </c>
      <c r="P7" s="126">
        <f t="shared" ref="P7:P13" si="4">H7/K7</f>
        <v>10.210000000000001</v>
      </c>
      <c r="Q7" s="127">
        <f t="shared" ref="Q7:Q13" si="5">D7/M7</f>
        <v>15.813000647065961</v>
      </c>
    </row>
    <row r="8" spans="2:17" ht="14.25" customHeight="1" x14ac:dyDescent="0.3">
      <c r="B8" s="7" t="s">
        <v>253</v>
      </c>
      <c r="C8" s="120">
        <f>'Raw FSValuation'!M4</f>
        <v>405.73</v>
      </c>
      <c r="D8" s="121">
        <f>'Raw FSValuation'!D4</f>
        <v>1116.4000000000001</v>
      </c>
      <c r="E8" s="121">
        <f t="shared" si="0"/>
        <v>452956.97200000007</v>
      </c>
      <c r="F8" s="121">
        <f>'Raw FSValuation'!K4</f>
        <v>9176</v>
      </c>
      <c r="G8" s="121">
        <f>'Raw FSValuation'!Q4</f>
        <v>22201</v>
      </c>
      <c r="H8" s="122">
        <f t="shared" si="1"/>
        <v>439931.97200000007</v>
      </c>
      <c r="I8" s="11"/>
      <c r="J8" s="123">
        <f>'Raw FSValuation'!P4</f>
        <v>178650</v>
      </c>
      <c r="K8" s="121">
        <f>H8/'Raw FSValuation'!L4</f>
        <v>46211.341596638667</v>
      </c>
      <c r="L8" s="121">
        <f>'Raw FSValuation'!O4</f>
        <v>29474</v>
      </c>
      <c r="M8" s="124">
        <f t="shared" si="2"/>
        <v>72.644369408227149</v>
      </c>
      <c r="N8" s="11"/>
      <c r="O8" s="125">
        <f t="shared" si="3"/>
        <v>2.4625355275678706</v>
      </c>
      <c r="P8" s="126">
        <f t="shared" si="4"/>
        <v>9.52</v>
      </c>
      <c r="Q8" s="127">
        <f t="shared" si="5"/>
        <v>15.368018321232274</v>
      </c>
    </row>
    <row r="9" spans="2:17" ht="14.25" customHeight="1" x14ac:dyDescent="0.3">
      <c r="B9" s="7" t="s">
        <v>254</v>
      </c>
      <c r="C9" s="120">
        <f>'Raw FSValuation'!M5</f>
        <v>271.37</v>
      </c>
      <c r="D9" s="121">
        <f>'Raw FSValuation'!D5</f>
        <v>1109.5999999999999</v>
      </c>
      <c r="E9" s="121">
        <f t="shared" si="0"/>
        <v>301112.152</v>
      </c>
      <c r="F9" s="121">
        <f>'Raw FSValuation'!K5</f>
        <v>5215</v>
      </c>
      <c r="G9" s="121">
        <f>'Raw FSValuation'!Q5</f>
        <v>23425</v>
      </c>
      <c r="H9" s="122">
        <f t="shared" si="1"/>
        <v>282902.152</v>
      </c>
      <c r="I9" s="11"/>
      <c r="J9" s="123">
        <f>'Raw FSValuation'!P5</f>
        <v>130144</v>
      </c>
      <c r="K9" s="121">
        <f>H9/'Raw FSValuation'!L5</f>
        <v>28290.215199999999</v>
      </c>
      <c r="L9" s="121">
        <f>'Raw FSValuation'!O5</f>
        <v>16652</v>
      </c>
      <c r="M9" s="124">
        <f t="shared" si="2"/>
        <v>61.36271511220842</v>
      </c>
      <c r="N9" s="11"/>
      <c r="O9" s="125">
        <f t="shared" si="3"/>
        <v>2.1737625399557414</v>
      </c>
      <c r="P9" s="126">
        <f t="shared" si="4"/>
        <v>10</v>
      </c>
      <c r="Q9" s="127">
        <f t="shared" si="5"/>
        <v>18.082641844823446</v>
      </c>
    </row>
    <row r="10" spans="2:17" ht="14.25" customHeight="1" x14ac:dyDescent="0.3">
      <c r="B10" s="7" t="s">
        <v>255</v>
      </c>
      <c r="C10" s="120">
        <f>'Raw FSValuation'!M6</f>
        <v>1050.3</v>
      </c>
      <c r="D10" s="121">
        <f>'Raw FSValuation'!D6</f>
        <v>180.14</v>
      </c>
      <c r="E10" s="121">
        <f t="shared" si="0"/>
        <v>189201.04199999999</v>
      </c>
      <c r="F10" s="121">
        <f>'Raw FSValuation'!K6</f>
        <v>20291</v>
      </c>
      <c r="G10" s="121">
        <f>'Raw FSValuation'!Q6</f>
        <v>10555.5</v>
      </c>
      <c r="H10" s="122">
        <f t="shared" si="1"/>
        <v>198936.54199999999</v>
      </c>
      <c r="I10" s="11"/>
      <c r="J10" s="123">
        <f>'Raw FSValuation'!P6</f>
        <v>92624</v>
      </c>
      <c r="K10" s="121">
        <f>H10/'Raw FSValuation'!L6</f>
        <v>21717.963100436678</v>
      </c>
      <c r="L10" s="121">
        <f>'Raw FSValuation'!O6</f>
        <v>13265.5</v>
      </c>
      <c r="M10" s="124">
        <f t="shared" si="2"/>
        <v>12.630200894982387</v>
      </c>
      <c r="N10" s="11"/>
      <c r="O10" s="125">
        <f t="shared" si="3"/>
        <v>2.1477861245465535</v>
      </c>
      <c r="P10" s="126">
        <f t="shared" si="4"/>
        <v>9.16</v>
      </c>
      <c r="Q10" s="127">
        <f t="shared" si="5"/>
        <v>14.262639327579056</v>
      </c>
    </row>
    <row r="11" spans="2:17" ht="14.25" customHeight="1" x14ac:dyDescent="0.3">
      <c r="B11" s="136" t="s">
        <v>100</v>
      </c>
      <c r="C11" s="137">
        <f>'Raw FSValuation'!M7</f>
        <v>98.01</v>
      </c>
      <c r="D11" s="138">
        <f>'Raw FSValuation'!D7</f>
        <v>1429.2</v>
      </c>
      <c r="E11" s="138">
        <f t="shared" si="0"/>
        <v>140075.89200000002</v>
      </c>
      <c r="F11" s="138">
        <f>'Raw FSValuation'!K7</f>
        <v>2186.1999999999998</v>
      </c>
      <c r="G11" s="138">
        <f>'Raw FSValuation'!Q7</f>
        <v>5105.3999999999996</v>
      </c>
      <c r="H11" s="139">
        <f t="shared" si="1"/>
        <v>137156.69200000004</v>
      </c>
      <c r="I11" s="11"/>
      <c r="J11" s="140">
        <f>'Raw FSValuation'!P7</f>
        <v>56815.4</v>
      </c>
      <c r="K11" s="138">
        <f>H11/'Raw FSValuation'!L7</f>
        <v>9065.2142762723088</v>
      </c>
      <c r="L11" s="138">
        <f>'Raw FSValuation'!O7</f>
        <v>4805.5</v>
      </c>
      <c r="M11" s="141">
        <f t="shared" si="2"/>
        <v>49.030711151923271</v>
      </c>
      <c r="N11" s="11"/>
      <c r="O11" s="142">
        <f t="shared" si="3"/>
        <v>2.4140759723596075</v>
      </c>
      <c r="P11" s="143">
        <f t="shared" si="4"/>
        <v>15.13</v>
      </c>
      <c r="Q11" s="144">
        <f t="shared" si="5"/>
        <v>29.149077515346999</v>
      </c>
    </row>
    <row r="12" spans="2:17" ht="14.25" customHeight="1" x14ac:dyDescent="0.3">
      <c r="B12" s="7" t="s">
        <v>256</v>
      </c>
      <c r="C12" s="120">
        <f>'Raw FSValuation'!M8</f>
        <v>29.66</v>
      </c>
      <c r="D12" s="121">
        <f>'Raw FSValuation'!D8</f>
        <v>3844.7</v>
      </c>
      <c r="E12" s="121">
        <f t="shared" si="0"/>
        <v>114033.802</v>
      </c>
      <c r="F12" s="121">
        <f>'Raw FSValuation'!K8</f>
        <v>2310</v>
      </c>
      <c r="G12" s="121">
        <f>'Raw FSValuation'!Q8</f>
        <v>2812.4</v>
      </c>
      <c r="H12" s="122">
        <f t="shared" si="1"/>
        <v>113531.402</v>
      </c>
      <c r="I12" s="11"/>
      <c r="J12" s="123">
        <f>'Raw FSValuation'!P8</f>
        <v>42307.6</v>
      </c>
      <c r="K12" s="121">
        <f>H12/'Raw FSValuation'!L8</f>
        <v>8646.7175932977916</v>
      </c>
      <c r="L12" s="121">
        <f>'Raw FSValuation'!O8</f>
        <v>4982.7</v>
      </c>
      <c r="M12" s="124">
        <f t="shared" si="2"/>
        <v>167.99393122049898</v>
      </c>
      <c r="N12" s="11"/>
      <c r="O12" s="125">
        <f t="shared" si="3"/>
        <v>2.6834753566735055</v>
      </c>
      <c r="P12" s="126">
        <f t="shared" si="4"/>
        <v>13.129999999999999</v>
      </c>
      <c r="Q12" s="127">
        <f t="shared" si="5"/>
        <v>22.885945772372409</v>
      </c>
    </row>
    <row r="13" spans="2:17" ht="14.25" customHeight="1" x14ac:dyDescent="0.3">
      <c r="B13" s="7" t="s">
        <v>257</v>
      </c>
      <c r="C13" s="120">
        <f>'Raw FSValuation'!M9</f>
        <v>15.78</v>
      </c>
      <c r="D13" s="121">
        <f>'Raw FSValuation'!D9</f>
        <v>4811</v>
      </c>
      <c r="E13" s="121">
        <f t="shared" si="0"/>
        <v>75917.58</v>
      </c>
      <c r="F13" s="121">
        <f>'Raw FSValuation'!K9</f>
        <v>477.45</v>
      </c>
      <c r="G13" s="121">
        <f>'Raw FSValuation'!Q9</f>
        <v>1218.25</v>
      </c>
      <c r="H13" s="122">
        <f t="shared" si="1"/>
        <v>75176.78</v>
      </c>
      <c r="I13" s="11"/>
      <c r="J13" s="123">
        <f>'Raw FSValuation'!P9</f>
        <v>14748.45</v>
      </c>
      <c r="K13" s="121">
        <f>H13/'Raw FSValuation'!L9</f>
        <v>2977.2982178217821</v>
      </c>
      <c r="L13" s="121">
        <f>'Raw FSValuation'!O9</f>
        <v>1865.12</v>
      </c>
      <c r="M13" s="124">
        <f t="shared" si="2"/>
        <v>118.19518377693282</v>
      </c>
      <c r="N13" s="11"/>
      <c r="O13" s="125">
        <f t="shared" si="3"/>
        <v>5.0972664924110669</v>
      </c>
      <c r="P13" s="126">
        <f t="shared" si="4"/>
        <v>25.25</v>
      </c>
      <c r="Q13" s="127">
        <f t="shared" si="5"/>
        <v>40.703858196791629</v>
      </c>
    </row>
    <row r="14" spans="2:17" ht="14.25" customHeight="1" x14ac:dyDescent="0.3">
      <c r="B14" s="128"/>
      <c r="C14" s="129"/>
      <c r="D14" s="130"/>
      <c r="E14" s="130"/>
      <c r="F14" s="130"/>
      <c r="G14" s="130"/>
      <c r="H14" s="130"/>
      <c r="I14" s="11"/>
      <c r="J14" s="130"/>
      <c r="K14" s="130"/>
      <c r="L14" s="130"/>
      <c r="M14" s="131"/>
      <c r="N14" s="11"/>
      <c r="O14" s="132"/>
      <c r="P14" s="132"/>
      <c r="Q14" s="133"/>
    </row>
    <row r="15" spans="2:17" ht="23.5" customHeight="1" x14ac:dyDescent="0.3">
      <c r="B15" s="145" t="s">
        <v>11</v>
      </c>
      <c r="C15" s="135" t="s">
        <v>274</v>
      </c>
      <c r="D15" s="135" t="s">
        <v>275</v>
      </c>
      <c r="E15" s="135" t="s">
        <v>276</v>
      </c>
      <c r="G15" s="130"/>
      <c r="H15" s="130"/>
      <c r="I15" s="11"/>
      <c r="J15" s="130"/>
      <c r="K15" s="130"/>
      <c r="L15" s="130"/>
      <c r="M15" s="131"/>
      <c r="N15" s="11"/>
      <c r="O15" s="132"/>
      <c r="P15" s="132"/>
      <c r="Q15" s="133"/>
    </row>
    <row r="16" spans="2:17" x14ac:dyDescent="0.3">
      <c r="B16" s="11" t="s">
        <v>283</v>
      </c>
      <c r="C16" s="93">
        <f>J11*O19</f>
        <v>139909.9410129796</v>
      </c>
      <c r="D16" s="93">
        <f>K11*P19</f>
        <v>92555.83776074028</v>
      </c>
      <c r="E16" s="93">
        <f>L11*Q19</f>
        <v>86896.135385299072</v>
      </c>
      <c r="G16" s="11"/>
      <c r="H16" s="11"/>
      <c r="I16" s="11"/>
      <c r="J16" s="11"/>
      <c r="K16" s="11"/>
      <c r="L16" s="11"/>
      <c r="M16" s="239" t="s">
        <v>277</v>
      </c>
      <c r="N16" s="239"/>
      <c r="O16" s="126">
        <f>MAX(O7:O13)</f>
        <v>5.0972664924110669</v>
      </c>
      <c r="P16" s="126">
        <f>MAX(P7:P13)</f>
        <v>25.25</v>
      </c>
      <c r="Q16" s="126">
        <f>MAX(Q7:Q13)</f>
        <v>40.703858196791629</v>
      </c>
    </row>
    <row r="17" spans="2:17" ht="14.25" customHeight="1" x14ac:dyDescent="0.3">
      <c r="B17" s="11" t="s">
        <v>284</v>
      </c>
      <c r="C17" s="93">
        <f>F11-G11</f>
        <v>-2919.2</v>
      </c>
      <c r="D17" s="93">
        <f>C17</f>
        <v>-2919.2</v>
      </c>
      <c r="E17" s="93">
        <f>D17</f>
        <v>-2919.2</v>
      </c>
      <c r="G17" s="11"/>
      <c r="H17" s="11"/>
      <c r="I17" s="11"/>
      <c r="J17" s="11"/>
      <c r="K17" s="11"/>
      <c r="L17" s="11"/>
      <c r="M17" s="239" t="s">
        <v>278</v>
      </c>
      <c r="N17" s="239"/>
      <c r="O17" s="146">
        <f>QUARTILE(O7:O13,3)</f>
        <v>2.8030293632604106</v>
      </c>
      <c r="P17" s="146">
        <f>QUARTILE(P7:P13,3)</f>
        <v>14.129999999999999</v>
      </c>
      <c r="Q17" s="146">
        <f>QUARTILE(Q7:Q13,3)</f>
        <v>26.017511643859706</v>
      </c>
    </row>
    <row r="18" spans="2:17" ht="14.25" customHeight="1" x14ac:dyDescent="0.3">
      <c r="B18" s="11" t="s">
        <v>285</v>
      </c>
      <c r="C18" s="93">
        <f>C16-C17</f>
        <v>142829.14101297961</v>
      </c>
      <c r="D18" s="93">
        <f>D16-D17</f>
        <v>95475.037760740277</v>
      </c>
      <c r="E18" s="93">
        <f>E16-E17</f>
        <v>89815.335385299069</v>
      </c>
      <c r="G18" s="11"/>
      <c r="H18" s="11"/>
      <c r="I18" s="11"/>
      <c r="J18" s="11"/>
      <c r="K18" s="11"/>
      <c r="L18" s="11"/>
      <c r="M18" s="239" t="s">
        <v>279</v>
      </c>
      <c r="N18" s="239"/>
      <c r="O18" s="126">
        <f>AVERAGE(O7:O13)</f>
        <v>2.8430693404802372</v>
      </c>
      <c r="P18" s="126">
        <f>AVERAGE(P7:P13)</f>
        <v>13.200000000000001</v>
      </c>
      <c r="Q18" s="126">
        <f>AVERAGE(Q7:Q13)</f>
        <v>22.323597375030253</v>
      </c>
    </row>
    <row r="19" spans="2:17" ht="14.25" customHeight="1" x14ac:dyDescent="0.3">
      <c r="B19" s="11" t="s">
        <v>286</v>
      </c>
      <c r="C19" s="93">
        <f>C11</f>
        <v>98.01</v>
      </c>
      <c r="D19" s="93">
        <f>C19</f>
        <v>98.01</v>
      </c>
      <c r="E19" s="93">
        <f>D19</f>
        <v>98.01</v>
      </c>
      <c r="G19" s="11"/>
      <c r="H19" s="11"/>
      <c r="I19" s="11"/>
      <c r="J19" s="11"/>
      <c r="K19" s="11"/>
      <c r="L19" s="132"/>
      <c r="M19" s="239" t="s">
        <v>280</v>
      </c>
      <c r="N19" s="239"/>
      <c r="O19" s="126">
        <f>MEDIAN(O7:O13)</f>
        <v>2.4625355275678706</v>
      </c>
      <c r="P19" s="126">
        <f>MEDIAN(P7:P13)</f>
        <v>10.210000000000001</v>
      </c>
      <c r="Q19" s="126">
        <f>MEDIAN(Q7:Q13)</f>
        <v>18.082641844823446</v>
      </c>
    </row>
    <row r="20" spans="2:17" ht="14.25" customHeight="1" x14ac:dyDescent="0.3">
      <c r="B20" s="11"/>
      <c r="C20" s="11"/>
      <c r="D20" s="11"/>
      <c r="E20" s="11"/>
      <c r="G20" s="11"/>
      <c r="H20" s="11"/>
      <c r="I20" s="11"/>
      <c r="J20" s="11"/>
      <c r="K20" s="11"/>
      <c r="L20" s="11"/>
      <c r="M20" s="239" t="s">
        <v>281</v>
      </c>
      <c r="N20" s="239"/>
      <c r="O20" s="126">
        <f>QUARTILE(O7:O13,1)</f>
        <v>2.2939192561576744</v>
      </c>
      <c r="P20" s="126">
        <f>QUARTILE(P7:P13,1)</f>
        <v>9.76</v>
      </c>
      <c r="Q20" s="126">
        <f>QUARTILE(Q7:Q13,1)</f>
        <v>15.590509484149116</v>
      </c>
    </row>
    <row r="21" spans="2:17" ht="14.25" customHeight="1" thickBot="1" x14ac:dyDescent="0.35">
      <c r="B21" s="94" t="s">
        <v>287</v>
      </c>
      <c r="C21" s="94">
        <f>C18/C19</f>
        <v>1457.2915112027304</v>
      </c>
      <c r="D21" s="95">
        <f>D18/D19</f>
        <v>974.13567759147304</v>
      </c>
      <c r="E21" s="95">
        <f>E18/E19</f>
        <v>916.38950500254123</v>
      </c>
      <c r="G21" s="11"/>
      <c r="H21" s="11"/>
      <c r="I21" s="11"/>
      <c r="J21" s="11"/>
      <c r="K21" s="11"/>
      <c r="L21" s="11"/>
      <c r="M21" s="239" t="s">
        <v>282</v>
      </c>
      <c r="N21" s="239"/>
      <c r="O21" s="126">
        <f>MIN(O7:O13)</f>
        <v>2.1477861245465535</v>
      </c>
      <c r="P21" s="126">
        <f>MIN(P7:P13)</f>
        <v>9.16</v>
      </c>
      <c r="Q21" s="126">
        <f>MIN(Q7:Q13)</f>
        <v>14.262639327579056</v>
      </c>
    </row>
    <row r="22" spans="2:17" ht="14.25" customHeight="1" thickTop="1" x14ac:dyDescent="0.3">
      <c r="G22" s="11"/>
      <c r="H22" s="11"/>
      <c r="I22" s="11"/>
      <c r="J22" s="11"/>
      <c r="K22" s="11"/>
      <c r="L22" s="11"/>
      <c r="M22" s="11"/>
      <c r="N22" s="11"/>
      <c r="O22" s="132"/>
      <c r="P22" s="132"/>
      <c r="Q22" s="132"/>
    </row>
    <row r="23" spans="2:17" ht="14.25" customHeight="1" x14ac:dyDescent="0.3">
      <c r="B23" s="11"/>
      <c r="C23" s="11"/>
      <c r="D23" s="11"/>
      <c r="E23" s="11"/>
      <c r="F23" s="11"/>
      <c r="G23" s="11"/>
      <c r="H23" s="11"/>
      <c r="I23" s="11"/>
      <c r="J23" s="11"/>
      <c r="K23" s="11"/>
      <c r="L23" s="11"/>
      <c r="M23" s="11"/>
      <c r="N23" s="11"/>
      <c r="O23" s="11"/>
      <c r="P23" s="11"/>
      <c r="Q23" s="11"/>
    </row>
    <row r="24" spans="2:17" ht="27.75" customHeight="1" x14ac:dyDescent="0.3">
      <c r="B24" s="134"/>
      <c r="C24" s="134"/>
      <c r="D24" s="134"/>
      <c r="E24" s="134"/>
      <c r="F24" s="134"/>
      <c r="G24" s="134"/>
      <c r="H24" s="134"/>
      <c r="I24" s="134"/>
      <c r="J24" s="134"/>
      <c r="K24" s="134"/>
      <c r="L24" s="134"/>
    </row>
    <row r="25" spans="2:17" ht="14.25" customHeight="1" x14ac:dyDescent="0.3">
      <c r="B25" s="11"/>
      <c r="C25" s="11"/>
      <c r="D25" s="11"/>
      <c r="E25" s="11"/>
      <c r="F25" s="11"/>
      <c r="G25" s="11"/>
      <c r="H25" s="11"/>
      <c r="I25" s="11"/>
      <c r="J25" s="11"/>
      <c r="K25" s="11"/>
      <c r="L25" s="11"/>
    </row>
    <row r="26" spans="2:17" ht="14.25" customHeight="1" x14ac:dyDescent="0.3">
      <c r="B26" s="11"/>
      <c r="C26" s="11"/>
      <c r="D26" s="11"/>
      <c r="E26" s="11"/>
      <c r="F26" s="11"/>
      <c r="G26" s="11"/>
      <c r="H26" s="11"/>
      <c r="I26" s="11"/>
      <c r="J26" s="11"/>
      <c r="K26" s="11"/>
      <c r="L26" s="11"/>
    </row>
    <row r="27" spans="2:17" ht="14.25" customHeight="1" x14ac:dyDescent="0.3">
      <c r="B27" s="11"/>
      <c r="C27" s="11"/>
      <c r="D27" s="11"/>
      <c r="E27" s="11"/>
      <c r="F27" s="11"/>
      <c r="G27" s="11"/>
      <c r="H27" s="11"/>
      <c r="I27" s="11"/>
      <c r="J27" s="11"/>
      <c r="K27" s="11"/>
      <c r="L27" s="11"/>
    </row>
    <row r="28" spans="2:17" ht="14.25" customHeight="1" x14ac:dyDescent="0.3">
      <c r="B28" s="11"/>
      <c r="C28" s="11"/>
      <c r="D28" s="11"/>
      <c r="E28" s="11"/>
      <c r="F28" s="11"/>
      <c r="G28" s="11"/>
      <c r="H28" s="11"/>
      <c r="I28" s="11"/>
      <c r="J28" s="11"/>
      <c r="K28" s="11"/>
      <c r="L28" s="11"/>
    </row>
    <row r="29" spans="2:17" ht="14.25" customHeight="1" x14ac:dyDescent="0.3">
      <c r="B29" s="11"/>
      <c r="C29" s="11"/>
      <c r="D29" s="11"/>
      <c r="E29" s="11"/>
      <c r="F29" s="11"/>
      <c r="G29" s="11"/>
      <c r="H29" s="11"/>
      <c r="I29" s="11"/>
      <c r="J29" s="11"/>
      <c r="K29" s="11"/>
      <c r="L29" s="11"/>
    </row>
    <row r="30" spans="2:17" ht="15" customHeight="1" x14ac:dyDescent="0.3">
      <c r="B30" s="11"/>
      <c r="C30" s="11"/>
      <c r="D30" s="11"/>
      <c r="E30" s="11"/>
      <c r="F30" s="11"/>
      <c r="G30" s="11"/>
      <c r="H30" s="11"/>
      <c r="I30" s="11"/>
      <c r="J30" s="11"/>
      <c r="K30" s="11"/>
      <c r="L30" s="11"/>
    </row>
    <row r="31" spans="2:17" ht="15" customHeight="1" x14ac:dyDescent="0.3"/>
  </sheetData>
  <mergeCells count="14">
    <mergeCell ref="M19:N19"/>
    <mergeCell ref="M20:N20"/>
    <mergeCell ref="M21:N21"/>
    <mergeCell ref="M16:N16"/>
    <mergeCell ref="M17:N17"/>
    <mergeCell ref="M18:N18"/>
    <mergeCell ref="B2:Q2"/>
    <mergeCell ref="B4:Q4"/>
    <mergeCell ref="B5:B6"/>
    <mergeCell ref="C5:H5"/>
    <mergeCell ref="I5:I6"/>
    <mergeCell ref="J5:M5"/>
    <mergeCell ref="N5:N6"/>
    <mergeCell ref="O5:Q5"/>
  </mergeCells>
  <pageMargins left="0.7" right="0.7" top="0.75" bottom="0.75" header="0.511811023622047" footer="0.511811023622047"/>
  <pageSetup paperSize="9" orientation="portrait" horizontalDpi="300" verticalDpi="300"/>
  <ignoredErrors>
    <ignoredError sqref="D18:E18"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P24"/>
  <sheetViews>
    <sheetView zoomScale="96" zoomScaleNormal="100" workbookViewId="0">
      <selection activeCell="C21" sqref="C21"/>
    </sheetView>
  </sheetViews>
  <sheetFormatPr defaultColWidth="8.7265625" defaultRowHeight="13" x14ac:dyDescent="0.3"/>
  <cols>
    <col min="1" max="1" width="5" style="11" customWidth="1"/>
    <col min="2" max="2" width="15.6328125" style="11" customWidth="1"/>
    <col min="3" max="9" width="9.26953125" style="11" bestFit="1" customWidth="1"/>
    <col min="10" max="13" width="10.6328125" style="11" bestFit="1" customWidth="1"/>
    <col min="14" max="14" width="5" style="11" customWidth="1"/>
    <col min="15" max="15" width="23.36328125" style="11" customWidth="1"/>
    <col min="16" max="16" width="8.81640625" style="11" bestFit="1" customWidth="1"/>
    <col min="17" max="16384" width="8.7265625" style="11"/>
  </cols>
  <sheetData>
    <row r="2" spans="2:16" ht="12.75" customHeight="1" x14ac:dyDescent="0.3">
      <c r="B2" s="240" t="s">
        <v>288</v>
      </c>
      <c r="C2" s="240"/>
      <c r="D2" s="240"/>
      <c r="E2" s="240"/>
      <c r="F2" s="240"/>
      <c r="G2" s="240"/>
      <c r="H2" s="240"/>
      <c r="I2" s="240"/>
      <c r="J2" s="240"/>
      <c r="K2" s="240"/>
      <c r="L2" s="240"/>
      <c r="M2" s="240"/>
      <c r="N2" s="240"/>
      <c r="O2" s="240"/>
      <c r="P2" s="240"/>
    </row>
    <row r="3" spans="2:16" ht="13.5" customHeight="1" x14ac:dyDescent="0.3"/>
    <row r="4" spans="2:16" ht="12.75" customHeight="1" x14ac:dyDescent="0.3">
      <c r="B4" s="241" t="s">
        <v>289</v>
      </c>
      <c r="C4" s="241"/>
      <c r="D4" s="241"/>
      <c r="E4" s="241"/>
      <c r="F4" s="241"/>
      <c r="G4" s="241"/>
      <c r="H4" s="241"/>
      <c r="I4" s="241"/>
      <c r="J4" s="241"/>
      <c r="K4" s="241"/>
      <c r="L4" s="241"/>
      <c r="M4" s="241"/>
      <c r="O4" s="63" t="s">
        <v>290</v>
      </c>
      <c r="P4" s="64">
        <f>MEDIAN(Assumptions!D4:G4)</f>
        <v>9.9236725371587828E-2</v>
      </c>
    </row>
    <row r="5" spans="2:16" ht="12.75" customHeight="1" x14ac:dyDescent="0.3">
      <c r="B5" s="148" t="s">
        <v>291</v>
      </c>
      <c r="C5" s="39" t="s">
        <v>256</v>
      </c>
      <c r="D5" s="39" t="s">
        <v>292</v>
      </c>
      <c r="E5" s="39" t="s">
        <v>293</v>
      </c>
      <c r="F5" s="39" t="s">
        <v>294</v>
      </c>
      <c r="G5" s="39" t="s">
        <v>295</v>
      </c>
      <c r="H5" s="39" t="s">
        <v>296</v>
      </c>
      <c r="I5" s="39" t="s">
        <v>297</v>
      </c>
      <c r="J5" s="39" t="s">
        <v>298</v>
      </c>
      <c r="K5" s="39" t="s">
        <v>299</v>
      </c>
      <c r="L5" s="39" t="s">
        <v>300</v>
      </c>
      <c r="M5" s="39" t="s">
        <v>301</v>
      </c>
      <c r="O5" s="65" t="s">
        <v>302</v>
      </c>
      <c r="P5" s="66">
        <v>6.7000000000000004E-2</v>
      </c>
    </row>
    <row r="6" spans="2:16" ht="13.5" customHeight="1" x14ac:dyDescent="0.3">
      <c r="B6" s="7" t="s">
        <v>303</v>
      </c>
      <c r="C6" s="67">
        <f>Assumptions!G3</f>
        <v>52988</v>
      </c>
      <c r="D6" s="67">
        <f t="shared" ref="D6:M6" si="0">C6*(1+D7)</f>
        <v>58246.355603989694</v>
      </c>
      <c r="E6" s="67">
        <f t="shared" si="0"/>
        <v>63817.903002347375</v>
      </c>
      <c r="F6" s="67">
        <f t="shared" si="0"/>
        <v>69693.809335742553</v>
      </c>
      <c r="G6" s="67">
        <f t="shared" si="0"/>
        <v>75861.094689008067</v>
      </c>
      <c r="H6" s="67">
        <f t="shared" si="0"/>
        <v>82302.406519770258</v>
      </c>
      <c r="I6" s="67">
        <f t="shared" si="0"/>
        <v>88995.850012772033</v>
      </c>
      <c r="J6" s="67">
        <f t="shared" si="0"/>
        <v>95914.883555652021</v>
      </c>
      <c r="K6" s="67">
        <f t="shared" si="0"/>
        <v>103028.2878117099</v>
      </c>
      <c r="L6" s="67">
        <f t="shared" si="0"/>
        <v>110300.21583061569</v>
      </c>
      <c r="M6" s="67">
        <f t="shared" si="0"/>
        <v>117690.33029126693</v>
      </c>
      <c r="O6" s="68"/>
      <c r="P6" s="69">
        <f>P4-P5</f>
        <v>3.2236725371587824E-2</v>
      </c>
    </row>
    <row r="7" spans="2:16" ht="13.5" customHeight="1" x14ac:dyDescent="0.3">
      <c r="B7" s="7" t="s">
        <v>48</v>
      </c>
      <c r="C7" s="70"/>
      <c r="D7" s="71">
        <f>P4</f>
        <v>9.9236725371587828E-2</v>
      </c>
      <c r="E7" s="71">
        <f>D7-$P$7</f>
        <v>9.5654866996966958E-2</v>
      </c>
      <c r="F7" s="71">
        <f t="shared" ref="F7:M7" si="1">E7-$P$7</f>
        <v>9.2073008622346089E-2</v>
      </c>
      <c r="G7" s="71">
        <f t="shared" si="1"/>
        <v>8.849115024772522E-2</v>
      </c>
      <c r="H7" s="71">
        <f t="shared" si="1"/>
        <v>8.4909291873104351E-2</v>
      </c>
      <c r="I7" s="71">
        <f t="shared" si="1"/>
        <v>8.1327433498483481E-2</v>
      </c>
      <c r="J7" s="71">
        <f t="shared" si="1"/>
        <v>7.7745575123862612E-2</v>
      </c>
      <c r="K7" s="71">
        <f t="shared" si="1"/>
        <v>7.4163716749241743E-2</v>
      </c>
      <c r="L7" s="71">
        <f t="shared" si="1"/>
        <v>7.0581858374620873E-2</v>
      </c>
      <c r="M7" s="71">
        <f t="shared" si="1"/>
        <v>6.7000000000000004E-2</v>
      </c>
      <c r="O7" s="27" t="s">
        <v>304</v>
      </c>
      <c r="P7" s="72">
        <f>P6/9</f>
        <v>3.5818583746208693E-3</v>
      </c>
    </row>
    <row r="8" spans="2:16" ht="12.75" customHeight="1" x14ac:dyDescent="0.3">
      <c r="C8" s="73"/>
      <c r="D8" s="74"/>
      <c r="E8" s="74"/>
      <c r="F8" s="74"/>
      <c r="G8" s="74"/>
      <c r="H8" s="74"/>
      <c r="I8" s="74"/>
      <c r="J8" s="74"/>
      <c r="K8" s="74"/>
      <c r="L8" s="74"/>
      <c r="M8" s="74"/>
    </row>
    <row r="9" spans="2:16" ht="13.5" customHeight="1" x14ac:dyDescent="0.3">
      <c r="C9" s="73"/>
      <c r="D9" s="75"/>
      <c r="E9" s="75"/>
      <c r="F9" s="75"/>
      <c r="G9" s="75"/>
      <c r="H9" s="75"/>
      <c r="I9" s="75"/>
      <c r="J9" s="75"/>
      <c r="K9" s="75"/>
      <c r="L9" s="75"/>
      <c r="M9" s="75"/>
    </row>
    <row r="10" spans="2:16" ht="12.75" customHeight="1" x14ac:dyDescent="0.3">
      <c r="B10" s="241" t="s">
        <v>305</v>
      </c>
      <c r="C10" s="241"/>
      <c r="D10" s="241"/>
      <c r="E10" s="241"/>
      <c r="F10" s="241"/>
      <c r="G10" s="241"/>
      <c r="H10" s="241"/>
      <c r="I10" s="241"/>
      <c r="J10" s="241"/>
      <c r="K10" s="241"/>
      <c r="L10" s="241"/>
      <c r="M10" s="241"/>
      <c r="O10" s="76" t="s">
        <v>175</v>
      </c>
      <c r="P10" s="77">
        <f>Assumptions!C20</f>
        <v>9.1950797787298019E-2</v>
      </c>
    </row>
    <row r="11" spans="2:16" ht="12.75" customHeight="1" x14ac:dyDescent="0.3">
      <c r="B11" s="148" t="s">
        <v>291</v>
      </c>
      <c r="C11" s="39" t="s">
        <v>256</v>
      </c>
      <c r="D11" s="39" t="s">
        <v>292</v>
      </c>
      <c r="E11" s="39" t="s">
        <v>293</v>
      </c>
      <c r="F11" s="39" t="s">
        <v>294</v>
      </c>
      <c r="G11" s="39" t="s">
        <v>295</v>
      </c>
      <c r="H11" s="39" t="s">
        <v>296</v>
      </c>
      <c r="I11" s="39" t="s">
        <v>297</v>
      </c>
      <c r="J11" s="39" t="s">
        <v>298</v>
      </c>
      <c r="K11" s="39" t="s">
        <v>299</v>
      </c>
      <c r="L11" s="39" t="s">
        <v>300</v>
      </c>
      <c r="M11" s="39" t="s">
        <v>301</v>
      </c>
      <c r="O11" s="78" t="s">
        <v>302</v>
      </c>
      <c r="P11" s="79">
        <v>6.7000000000000004E-2</v>
      </c>
    </row>
    <row r="12" spans="2:16" ht="13.5" customHeight="1" x14ac:dyDescent="0.3">
      <c r="B12" s="7" t="s">
        <v>303</v>
      </c>
      <c r="C12" s="67">
        <f>C6</f>
        <v>52988</v>
      </c>
      <c r="D12" s="67">
        <f t="shared" ref="D12:M12" si="2">C12*(1+D13)</f>
        <v>57860.288873153346</v>
      </c>
      <c r="E12" s="67">
        <f t="shared" si="2"/>
        <v>63020.181887733459</v>
      </c>
      <c r="F12" s="67">
        <f t="shared" si="2"/>
        <v>68465.514819055723</v>
      </c>
      <c r="G12" s="67">
        <f t="shared" si="2"/>
        <v>74191.550455701465</v>
      </c>
      <c r="H12" s="67">
        <f t="shared" si="2"/>
        <v>80190.794543425873</v>
      </c>
      <c r="I12" s="67">
        <f t="shared" si="2"/>
        <v>86452.833021860206</v>
      </c>
      <c r="J12" s="67">
        <f t="shared" si="2"/>
        <v>92964.195219280649</v>
      </c>
      <c r="K12" s="67">
        <f t="shared" si="2"/>
        <v>99708.247595944704</v>
      </c>
      <c r="L12" s="67">
        <f t="shared" si="2"/>
        <v>106665.1224430388</v>
      </c>
      <c r="M12" s="67">
        <f t="shared" si="2"/>
        <v>113811.68564672238</v>
      </c>
      <c r="O12" s="68"/>
      <c r="P12" s="80">
        <f>P10-P11</f>
        <v>2.4950797787298015E-2</v>
      </c>
    </row>
    <row r="13" spans="2:16" ht="13.5" customHeight="1" x14ac:dyDescent="0.3">
      <c r="B13" s="7" t="s">
        <v>48</v>
      </c>
      <c r="C13" s="70"/>
      <c r="D13" s="81">
        <f>P10</f>
        <v>9.1950797787298019E-2</v>
      </c>
      <c r="E13" s="82">
        <f>D13-$P$13</f>
        <v>8.917848692204268E-2</v>
      </c>
      <c r="F13" s="82">
        <f t="shared" ref="F13:M13" si="3">E13-$P$13</f>
        <v>8.640617605678734E-2</v>
      </c>
      <c r="G13" s="82">
        <f t="shared" si="3"/>
        <v>8.3633865191532E-2</v>
      </c>
      <c r="H13" s="82">
        <f t="shared" si="3"/>
        <v>8.0861554326276661E-2</v>
      </c>
      <c r="I13" s="82">
        <f t="shared" si="3"/>
        <v>7.8089243461021321E-2</v>
      </c>
      <c r="J13" s="82">
        <f t="shared" si="3"/>
        <v>7.5316932595765981E-2</v>
      </c>
      <c r="K13" s="82">
        <f t="shared" si="3"/>
        <v>7.2544621730510642E-2</v>
      </c>
      <c r="L13" s="82">
        <f t="shared" si="3"/>
        <v>6.9772310865255302E-2</v>
      </c>
      <c r="M13" s="82">
        <f t="shared" si="3"/>
        <v>6.6999999999999962E-2</v>
      </c>
      <c r="N13" s="75"/>
      <c r="O13" s="27" t="s">
        <v>304</v>
      </c>
      <c r="P13" s="147">
        <f>P12/9</f>
        <v>2.7723108652553349E-3</v>
      </c>
    </row>
    <row r="14" spans="2:16" ht="13.5" customHeight="1" x14ac:dyDescent="0.3">
      <c r="B14" s="83"/>
      <c r="C14" s="84"/>
      <c r="D14" s="28"/>
      <c r="E14" s="84"/>
      <c r="F14" s="84"/>
      <c r="G14" s="84"/>
      <c r="H14" s="84"/>
      <c r="I14" s="84"/>
      <c r="J14" s="84"/>
      <c r="K14" s="84"/>
      <c r="L14" s="84"/>
      <c r="M14" s="85"/>
    </row>
    <row r="15" spans="2:16" ht="13.5" customHeight="1" x14ac:dyDescent="0.3">
      <c r="C15" s="73"/>
      <c r="D15" s="73"/>
      <c r="E15" s="73"/>
      <c r="F15" s="73"/>
      <c r="G15" s="73"/>
      <c r="H15" s="73"/>
      <c r="I15" s="73"/>
      <c r="J15" s="73"/>
      <c r="K15" s="73"/>
      <c r="L15" s="73"/>
      <c r="M15" s="73"/>
      <c r="O15" s="34"/>
      <c r="P15" s="86"/>
    </row>
    <row r="16" spans="2:16" ht="12.75" customHeight="1" x14ac:dyDescent="0.3">
      <c r="B16" s="242" t="s">
        <v>306</v>
      </c>
      <c r="C16" s="242"/>
      <c r="D16" s="242"/>
      <c r="E16" s="242"/>
      <c r="F16" s="242"/>
      <c r="G16" s="242"/>
      <c r="H16" s="242"/>
      <c r="I16" s="242"/>
      <c r="J16" s="242"/>
      <c r="K16" s="242"/>
      <c r="L16" s="242"/>
      <c r="M16" s="242"/>
      <c r="O16" s="26" t="s">
        <v>195</v>
      </c>
      <c r="P16" s="87">
        <f>Assumptions!C46</f>
        <v>3.4078656923405892E-2</v>
      </c>
    </row>
    <row r="17" spans="2:16" ht="12.75" customHeight="1" x14ac:dyDescent="0.3">
      <c r="B17" s="148" t="s">
        <v>291</v>
      </c>
      <c r="C17" s="39" t="s">
        <v>256</v>
      </c>
      <c r="D17" s="39" t="s">
        <v>292</v>
      </c>
      <c r="E17" s="39" t="s">
        <v>293</v>
      </c>
      <c r="F17" s="39" t="s">
        <v>294</v>
      </c>
      <c r="G17" s="39" t="s">
        <v>295</v>
      </c>
      <c r="H17" s="39" t="s">
        <v>296</v>
      </c>
      <c r="I17" s="39" t="s">
        <v>297</v>
      </c>
      <c r="J17" s="39" t="s">
        <v>298</v>
      </c>
      <c r="K17" s="39" t="s">
        <v>299</v>
      </c>
      <c r="L17" s="39" t="s">
        <v>300</v>
      </c>
      <c r="M17" s="39" t="s">
        <v>301</v>
      </c>
      <c r="O17" s="88" t="s">
        <v>302</v>
      </c>
      <c r="P17" s="79">
        <v>6.7000000000000004E-2</v>
      </c>
    </row>
    <row r="18" spans="2:16" ht="13.5" customHeight="1" x14ac:dyDescent="0.3">
      <c r="B18" s="7" t="s">
        <v>303</v>
      </c>
      <c r="C18" s="67">
        <f>C12</f>
        <v>52988</v>
      </c>
      <c r="D18" s="67">
        <f t="shared" ref="D18:M18" si="4">C18*(1+D19)</f>
        <v>54793.759873057432</v>
      </c>
      <c r="E18" s="67">
        <f t="shared" si="4"/>
        <v>56861.489191452332</v>
      </c>
      <c r="F18" s="67">
        <f t="shared" si="4"/>
        <v>59215.242727876866</v>
      </c>
      <c r="G18" s="67">
        <f t="shared" si="4"/>
        <v>61883.033776505792</v>
      </c>
      <c r="H18" s="67">
        <f t="shared" si="4"/>
        <v>64897.378936433444</v>
      </c>
      <c r="I18" s="67">
        <f t="shared" si="4"/>
        <v>68295.943824402028</v>
      </c>
      <c r="J18" s="67">
        <f t="shared" si="4"/>
        <v>72122.307328175986</v>
      </c>
      <c r="K18" s="67">
        <f t="shared" si="4"/>
        <v>76426.865647380124</v>
      </c>
      <c r="L18" s="67">
        <f t="shared" si="4"/>
        <v>81267.901749727243</v>
      </c>
      <c r="M18" s="67">
        <f t="shared" si="4"/>
        <v>86712.851166958964</v>
      </c>
      <c r="O18" s="68"/>
      <c r="P18" s="80">
        <f>P16-P17</f>
        <v>-3.2921343076594112E-2</v>
      </c>
    </row>
    <row r="19" spans="2:16" ht="13.5" customHeight="1" x14ac:dyDescent="0.3">
      <c r="B19" s="7" t="s">
        <v>48</v>
      </c>
      <c r="C19" s="70"/>
      <c r="D19" s="82">
        <f>P16</f>
        <v>3.4078656923405892E-2</v>
      </c>
      <c r="E19" s="82">
        <f>D19-$P$19</f>
        <v>3.7736583931916347E-2</v>
      </c>
      <c r="F19" s="82">
        <f t="shared" ref="F19:M19" si="5">E19-$P$19</f>
        <v>4.1394510940426801E-2</v>
      </c>
      <c r="G19" s="82">
        <f t="shared" si="5"/>
        <v>4.5052437948937256E-2</v>
      </c>
      <c r="H19" s="82">
        <f t="shared" si="5"/>
        <v>4.871036495744771E-2</v>
      </c>
      <c r="I19" s="82">
        <f t="shared" si="5"/>
        <v>5.2368291965958165E-2</v>
      </c>
      <c r="J19" s="82">
        <f t="shared" si="5"/>
        <v>5.602621897446862E-2</v>
      </c>
      <c r="K19" s="82">
        <f t="shared" si="5"/>
        <v>5.9684145982979074E-2</v>
      </c>
      <c r="L19" s="82">
        <f t="shared" si="5"/>
        <v>6.3342072991489529E-2</v>
      </c>
      <c r="M19" s="82">
        <f t="shared" si="5"/>
        <v>6.699999999999999E-2</v>
      </c>
      <c r="O19" s="89" t="s">
        <v>304</v>
      </c>
      <c r="P19" s="147">
        <f>P18/9</f>
        <v>-3.6579270085104567E-3</v>
      </c>
    </row>
    <row r="20" spans="2:16" ht="12.75" customHeight="1" x14ac:dyDescent="0.3">
      <c r="C20" s="73"/>
      <c r="D20" s="73"/>
      <c r="E20" s="73"/>
      <c r="F20" s="73"/>
      <c r="G20" s="73"/>
      <c r="H20" s="73"/>
      <c r="I20" s="73"/>
      <c r="J20" s="73"/>
      <c r="K20" s="73"/>
      <c r="L20" s="73"/>
      <c r="M20" s="73"/>
    </row>
    <row r="21" spans="2:16" ht="12.75" customHeight="1" x14ac:dyDescent="0.3">
      <c r="B21" s="90" t="s">
        <v>307</v>
      </c>
      <c r="C21" s="91">
        <v>3</v>
      </c>
      <c r="D21" s="73"/>
      <c r="E21" s="73"/>
      <c r="F21" s="73"/>
      <c r="G21" s="73"/>
      <c r="H21" s="73"/>
      <c r="I21" s="73"/>
      <c r="J21" s="73"/>
      <c r="K21" s="73"/>
      <c r="L21" s="73"/>
      <c r="M21" s="73"/>
    </row>
    <row r="22" spans="2:16" ht="12.75" customHeight="1" x14ac:dyDescent="0.3">
      <c r="B22" s="148" t="s">
        <v>291</v>
      </c>
      <c r="C22" s="39" t="s">
        <v>256</v>
      </c>
      <c r="D22" s="39" t="s">
        <v>292</v>
      </c>
      <c r="E22" s="39" t="s">
        <v>293</v>
      </c>
      <c r="F22" s="39" t="s">
        <v>294</v>
      </c>
      <c r="G22" s="39" t="s">
        <v>295</v>
      </c>
      <c r="H22" s="39" t="s">
        <v>296</v>
      </c>
      <c r="I22" s="39" t="s">
        <v>297</v>
      </c>
      <c r="J22" s="39" t="s">
        <v>298</v>
      </c>
      <c r="K22" s="39" t="s">
        <v>299</v>
      </c>
      <c r="L22" s="39" t="s">
        <v>300</v>
      </c>
      <c r="M22" s="39" t="s">
        <v>301</v>
      </c>
    </row>
    <row r="23" spans="2:16" ht="12.75" customHeight="1" x14ac:dyDescent="0.3">
      <c r="B23" s="7" t="s">
        <v>303</v>
      </c>
      <c r="C23" s="67">
        <f>C6</f>
        <v>52988</v>
      </c>
      <c r="D23" s="70">
        <f t="shared" ref="D23:M23" si="6">C23*(1+D24)</f>
        <v>54793.759873057432</v>
      </c>
      <c r="E23" s="67">
        <f t="shared" si="6"/>
        <v>56861.489191452332</v>
      </c>
      <c r="F23" s="67">
        <f t="shared" si="6"/>
        <v>59215.242727876866</v>
      </c>
      <c r="G23" s="67">
        <f t="shared" si="6"/>
        <v>61883.033776505792</v>
      </c>
      <c r="H23" s="67">
        <f t="shared" si="6"/>
        <v>64897.378936433444</v>
      </c>
      <c r="I23" s="67">
        <f t="shared" si="6"/>
        <v>68295.943824402028</v>
      </c>
      <c r="J23" s="67">
        <f t="shared" si="6"/>
        <v>72122.307328175986</v>
      </c>
      <c r="K23" s="67">
        <f t="shared" si="6"/>
        <v>76426.865647380124</v>
      </c>
      <c r="L23" s="67">
        <f t="shared" si="6"/>
        <v>81267.901749727243</v>
      </c>
      <c r="M23" s="67">
        <f t="shared" si="6"/>
        <v>86712.851166958964</v>
      </c>
    </row>
    <row r="24" spans="2:16" ht="12.75" customHeight="1" x14ac:dyDescent="0.3">
      <c r="B24" s="7" t="s">
        <v>48</v>
      </c>
      <c r="C24" s="70"/>
      <c r="D24" s="82">
        <f t="shared" ref="D24:M24" si="7">CHOOSE($C$21,D7,D13,D19)</f>
        <v>3.4078656923405892E-2</v>
      </c>
      <c r="E24" s="82">
        <f t="shared" si="7"/>
        <v>3.7736583931916347E-2</v>
      </c>
      <c r="F24" s="82">
        <f t="shared" si="7"/>
        <v>4.1394510940426801E-2</v>
      </c>
      <c r="G24" s="82">
        <f t="shared" si="7"/>
        <v>4.5052437948937256E-2</v>
      </c>
      <c r="H24" s="82">
        <f t="shared" si="7"/>
        <v>4.871036495744771E-2</v>
      </c>
      <c r="I24" s="82">
        <f t="shared" si="7"/>
        <v>5.2368291965958165E-2</v>
      </c>
      <c r="J24" s="82">
        <f t="shared" si="7"/>
        <v>5.602621897446862E-2</v>
      </c>
      <c r="K24" s="82">
        <f t="shared" si="7"/>
        <v>5.9684145982979074E-2</v>
      </c>
      <c r="L24" s="82">
        <f t="shared" si="7"/>
        <v>6.3342072991489529E-2</v>
      </c>
      <c r="M24" s="82">
        <f t="shared" si="7"/>
        <v>6.699999999999999E-2</v>
      </c>
    </row>
  </sheetData>
  <mergeCells count="4">
    <mergeCell ref="B2:P2"/>
    <mergeCell ref="B4:M4"/>
    <mergeCell ref="B10:M10"/>
    <mergeCell ref="B16:M16"/>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Q32"/>
  <sheetViews>
    <sheetView zoomScale="78" zoomScaleNormal="87" workbookViewId="0">
      <selection activeCell="C34" sqref="C34"/>
    </sheetView>
  </sheetViews>
  <sheetFormatPr defaultColWidth="8.54296875" defaultRowHeight="13" x14ac:dyDescent="0.3"/>
  <cols>
    <col min="1" max="1" width="2" style="149" customWidth="1"/>
    <col min="2" max="2" width="27.7265625" style="149" customWidth="1"/>
    <col min="3" max="14" width="11.36328125" style="149" customWidth="1"/>
    <col min="15" max="15" width="5.7265625" style="149" customWidth="1"/>
    <col min="16" max="16" width="25.90625" style="149" customWidth="1"/>
    <col min="17" max="17" width="12.54296875" style="149" customWidth="1"/>
    <col min="18" max="16384" width="8.54296875" style="149"/>
  </cols>
  <sheetData>
    <row r="1" spans="2:17" ht="14.25" customHeight="1" x14ac:dyDescent="0.3">
      <c r="B1" s="244" t="s">
        <v>308</v>
      </c>
      <c r="C1" s="244"/>
      <c r="D1" s="244"/>
      <c r="E1" s="244"/>
      <c r="F1" s="244"/>
      <c r="G1" s="244"/>
      <c r="H1" s="244"/>
      <c r="I1" s="244"/>
      <c r="J1" s="244"/>
      <c r="K1" s="244"/>
      <c r="L1" s="244"/>
      <c r="M1" s="244"/>
      <c r="N1" s="244"/>
    </row>
    <row r="2" spans="2:17" ht="14.25" customHeight="1" x14ac:dyDescent="0.3">
      <c r="D2" s="149">
        <v>1</v>
      </c>
      <c r="E2" s="149">
        <v>2</v>
      </c>
      <c r="F2" s="149">
        <v>3</v>
      </c>
      <c r="G2" s="149">
        <v>4</v>
      </c>
      <c r="H2" s="149">
        <v>5</v>
      </c>
      <c r="I2" s="149">
        <v>6</v>
      </c>
      <c r="J2" s="149">
        <v>7</v>
      </c>
      <c r="K2" s="149">
        <v>8</v>
      </c>
      <c r="L2" s="149">
        <v>9</v>
      </c>
      <c r="M2" s="149">
        <v>10</v>
      </c>
    </row>
    <row r="3" spans="2:17" ht="14.25" customHeight="1" x14ac:dyDescent="0.3">
      <c r="B3" s="170" t="s">
        <v>309</v>
      </c>
      <c r="C3" s="170" t="s">
        <v>256</v>
      </c>
      <c r="D3" s="170" t="s">
        <v>292</v>
      </c>
      <c r="E3" s="170" t="s">
        <v>293</v>
      </c>
      <c r="F3" s="170" t="s">
        <v>294</v>
      </c>
      <c r="G3" s="170" t="s">
        <v>295</v>
      </c>
      <c r="H3" s="170" t="s">
        <v>296</v>
      </c>
      <c r="I3" s="170" t="s">
        <v>297</v>
      </c>
      <c r="J3" s="170" t="s">
        <v>298</v>
      </c>
      <c r="K3" s="170" t="s">
        <v>299</v>
      </c>
      <c r="L3" s="170" t="s">
        <v>300</v>
      </c>
      <c r="M3" s="170" t="s">
        <v>301</v>
      </c>
      <c r="N3" s="170" t="s">
        <v>348</v>
      </c>
      <c r="O3" s="150"/>
      <c r="P3" s="167" t="s">
        <v>310</v>
      </c>
      <c r="Q3" s="156">
        <v>0.05</v>
      </c>
    </row>
    <row r="4" spans="2:17" ht="14.25" customHeight="1" x14ac:dyDescent="0.3">
      <c r="B4" s="155" t="s">
        <v>311</v>
      </c>
      <c r="C4" s="153">
        <f>'Growth Scenerio'!C23</f>
        <v>52988</v>
      </c>
      <c r="D4" s="153">
        <f>'Growth Scenerio'!D23</f>
        <v>54793.759873057432</v>
      </c>
      <c r="E4" s="153">
        <f>'Growth Scenerio'!E23</f>
        <v>56861.489191452332</v>
      </c>
      <c r="F4" s="153">
        <f>'Growth Scenerio'!F23</f>
        <v>59215.242727876866</v>
      </c>
      <c r="G4" s="153">
        <f>'Growth Scenerio'!G23</f>
        <v>61883.033776505792</v>
      </c>
      <c r="H4" s="153">
        <f>'Growth Scenerio'!H23</f>
        <v>64897.378936433444</v>
      </c>
      <c r="I4" s="153">
        <f>'Growth Scenerio'!I23</f>
        <v>68295.943824402028</v>
      </c>
      <c r="J4" s="153">
        <f>'Growth Scenerio'!J23</f>
        <v>72122.307328175986</v>
      </c>
      <c r="K4" s="153">
        <f>'Growth Scenerio'!K23</f>
        <v>76426.865647380124</v>
      </c>
      <c r="L4" s="153">
        <f>'Growth Scenerio'!L23</f>
        <v>81267.901749727243</v>
      </c>
      <c r="M4" s="153">
        <f>'Growth Scenerio'!M23</f>
        <v>86712.851166958964</v>
      </c>
      <c r="N4" s="153">
        <f>M4*(1+Q3)</f>
        <v>91048.493725306922</v>
      </c>
      <c r="O4" s="154"/>
      <c r="P4" s="167" t="s">
        <v>312</v>
      </c>
      <c r="Q4" s="156">
        <f>Beta!K4*0.0744+0.067</f>
        <v>0.13314073805617838</v>
      </c>
    </row>
    <row r="5" spans="2:17" ht="14.25" customHeight="1" x14ac:dyDescent="0.3">
      <c r="B5" s="155" t="s">
        <v>201</v>
      </c>
      <c r="C5" s="155"/>
      <c r="D5" s="156">
        <f>'Growth Scenerio'!D24</f>
        <v>3.4078656923405892E-2</v>
      </c>
      <c r="E5" s="156">
        <f>'Growth Scenerio'!E24</f>
        <v>3.7736583931916347E-2</v>
      </c>
      <c r="F5" s="156">
        <f>'Growth Scenerio'!F24</f>
        <v>4.1394510940426801E-2</v>
      </c>
      <c r="G5" s="156">
        <f>'Growth Scenerio'!G24</f>
        <v>4.5052437948937256E-2</v>
      </c>
      <c r="H5" s="156">
        <f>'Growth Scenerio'!H24</f>
        <v>4.871036495744771E-2</v>
      </c>
      <c r="I5" s="156">
        <f>'Growth Scenerio'!I24</f>
        <v>5.2368291965958165E-2</v>
      </c>
      <c r="J5" s="156">
        <f>'Growth Scenerio'!J24</f>
        <v>5.602621897446862E-2</v>
      </c>
      <c r="K5" s="156">
        <f>'Growth Scenerio'!K24</f>
        <v>5.9684145982979074E-2</v>
      </c>
      <c r="L5" s="156">
        <f>'Growth Scenerio'!L24</f>
        <v>6.3342072991489529E-2</v>
      </c>
      <c r="M5" s="156">
        <f>'Growth Scenerio'!M24</f>
        <v>6.699999999999999E-2</v>
      </c>
      <c r="N5" s="156">
        <f>Q3</f>
        <v>0.05</v>
      </c>
      <c r="O5" s="152"/>
      <c r="P5" s="167" t="s">
        <v>313</v>
      </c>
      <c r="Q5" s="156">
        <f>Q3*Q4</f>
        <v>6.6570369028089195E-3</v>
      </c>
    </row>
    <row r="6" spans="2:17" ht="14.25" customHeight="1" x14ac:dyDescent="0.3">
      <c r="B6" s="155" t="s">
        <v>167</v>
      </c>
      <c r="C6" s="155"/>
      <c r="D6" s="157">
        <f t="shared" ref="D6:M6" si="0">D7*D4</f>
        <v>5816.9082169628027</v>
      </c>
      <c r="E6" s="157">
        <f t="shared" si="0"/>
        <v>6036.4184621164732</v>
      </c>
      <c r="F6" s="157">
        <f t="shared" si="0"/>
        <v>6286.2930521875487</v>
      </c>
      <c r="G6" s="157">
        <f t="shared" si="0"/>
        <v>6569.5058798500622</v>
      </c>
      <c r="H6" s="157">
        <f t="shared" si="0"/>
        <v>6889.508908847657</v>
      </c>
      <c r="I6" s="157">
        <f t="shared" si="0"/>
        <v>7250.3007228882625</v>
      </c>
      <c r="J6" s="157">
        <f t="shared" si="0"/>
        <v>7656.5076588195489</v>
      </c>
      <c r="K6" s="157">
        <f t="shared" si="0"/>
        <v>8113.4797796483317</v>
      </c>
      <c r="L6" s="155">
        <f t="shared" si="0"/>
        <v>8627.4044080657914</v>
      </c>
      <c r="M6" s="157">
        <f t="shared" si="0"/>
        <v>9205.4405034061983</v>
      </c>
      <c r="N6" s="158">
        <f>N7*N4</f>
        <v>9665.7125285765105</v>
      </c>
      <c r="O6" s="159"/>
      <c r="P6" s="151"/>
    </row>
    <row r="7" spans="2:17" ht="14.25" customHeight="1" x14ac:dyDescent="0.3">
      <c r="B7" s="155" t="s">
        <v>314</v>
      </c>
      <c r="C7" s="155"/>
      <c r="D7" s="156">
        <f>AVERAGE(Assumptions!$C$24:$G$24)</f>
        <v>0.10616004870698839</v>
      </c>
      <c r="E7" s="156">
        <f>AVERAGE(Assumptions!$C$24:$G$24)</f>
        <v>0.10616004870698839</v>
      </c>
      <c r="F7" s="156">
        <f>AVERAGE(Assumptions!$C$24:$G$24)</f>
        <v>0.10616004870698839</v>
      </c>
      <c r="G7" s="156">
        <f>AVERAGE(Assumptions!$C$24:$G$24)</f>
        <v>0.10616004870698839</v>
      </c>
      <c r="H7" s="156">
        <f>AVERAGE(Assumptions!$C$24:$G$24)</f>
        <v>0.10616004870698839</v>
      </c>
      <c r="I7" s="156">
        <f>AVERAGE(Assumptions!$C$24:$G$24)</f>
        <v>0.10616004870698839</v>
      </c>
      <c r="J7" s="156">
        <f>AVERAGE(Assumptions!$C$24:$G$24)</f>
        <v>0.10616004870698839</v>
      </c>
      <c r="K7" s="156">
        <f>AVERAGE(Assumptions!$C$24:$G$24)</f>
        <v>0.10616004870698839</v>
      </c>
      <c r="L7" s="156">
        <f>AVERAGE(Assumptions!$C$24:$G$24)</f>
        <v>0.10616004870698839</v>
      </c>
      <c r="M7" s="156">
        <f>AVERAGE(Assumptions!$C$24:$G$24)</f>
        <v>0.10616004870698839</v>
      </c>
      <c r="N7" s="156">
        <f>M7</f>
        <v>0.10616004870698839</v>
      </c>
      <c r="O7" s="152"/>
      <c r="P7" s="243"/>
      <c r="Q7" s="243"/>
    </row>
    <row r="8" spans="2:17" ht="14.25" customHeight="1" x14ac:dyDescent="0.3">
      <c r="B8" s="155" t="s">
        <v>315</v>
      </c>
      <c r="C8" s="155"/>
      <c r="D8" s="158">
        <f>Assumptions!$C$30*D6</f>
        <v>1454.2270542407007</v>
      </c>
      <c r="E8" s="158">
        <f>Assumptions!$C$30*E6</f>
        <v>1509.1046155291183</v>
      </c>
      <c r="F8" s="158">
        <f>Assumptions!$C$30*F6</f>
        <v>1571.5732630468872</v>
      </c>
      <c r="G8" s="158">
        <f>Assumptions!$C$30*G6</f>
        <v>1642.3764699625156</v>
      </c>
      <c r="H8" s="158">
        <f>Assumptions!$C$30*H6</f>
        <v>1722.3772272119143</v>
      </c>
      <c r="I8" s="158">
        <f>Assumptions!$C$30*I6</f>
        <v>1812.5751807220656</v>
      </c>
      <c r="J8" s="158">
        <f>Assumptions!$C$30*J6</f>
        <v>1914.1269147048872</v>
      </c>
      <c r="K8" s="158">
        <f>Assumptions!$C$30*K6</f>
        <v>2028.3699449120829</v>
      </c>
      <c r="L8" s="158">
        <f>Assumptions!$C$30*L6</f>
        <v>2156.8511020164478</v>
      </c>
      <c r="M8" s="158">
        <f>Assumptions!$C$30*M6</f>
        <v>2301.3601258515496</v>
      </c>
      <c r="N8" s="158">
        <f>25%*N6</f>
        <v>2416.4281321441276</v>
      </c>
      <c r="O8" s="159"/>
    </row>
    <row r="9" spans="2:17" ht="14.25" customHeight="1" x14ac:dyDescent="0.3">
      <c r="B9" s="161" t="s">
        <v>316</v>
      </c>
      <c r="C9" s="161"/>
      <c r="D9" s="162">
        <f t="shared" ref="D9:M9" si="1">D6-D8</f>
        <v>4362.6811627221023</v>
      </c>
      <c r="E9" s="162">
        <f t="shared" si="1"/>
        <v>4527.3138465873544</v>
      </c>
      <c r="F9" s="162">
        <f t="shared" si="1"/>
        <v>4714.7197891406613</v>
      </c>
      <c r="G9" s="162">
        <f t="shared" si="1"/>
        <v>4927.1294098875469</v>
      </c>
      <c r="H9" s="162">
        <f t="shared" si="1"/>
        <v>5167.131681635743</v>
      </c>
      <c r="I9" s="162">
        <f t="shared" si="1"/>
        <v>5437.7255421661966</v>
      </c>
      <c r="J9" s="162">
        <f t="shared" si="1"/>
        <v>5742.3807441146619</v>
      </c>
      <c r="K9" s="162">
        <f t="shared" si="1"/>
        <v>6085.1098347362486</v>
      </c>
      <c r="L9" s="162">
        <f t="shared" si="1"/>
        <v>6470.5533060493435</v>
      </c>
      <c r="M9" s="162">
        <f t="shared" si="1"/>
        <v>6904.0803775546483</v>
      </c>
      <c r="N9" s="163">
        <f>N6-N8</f>
        <v>7249.2843964323829</v>
      </c>
      <c r="O9" s="164"/>
      <c r="P9" s="150"/>
      <c r="Q9" s="150"/>
    </row>
    <row r="10" spans="2:17" ht="14.25" customHeight="1" x14ac:dyDescent="0.3">
      <c r="B10" s="155" t="s">
        <v>214</v>
      </c>
      <c r="C10" s="155"/>
      <c r="D10" s="158">
        <f>'Fixed Asset Schedule'!$C$12*D4</f>
        <v>167.57418263489942</v>
      </c>
      <c r="E10" s="158">
        <f>'Fixed Asset Schedule'!$C$12*E4</f>
        <v>173.89785984272356</v>
      </c>
      <c r="F10" s="158">
        <f>'Fixed Asset Schedule'!$C$12*F4</f>
        <v>181.09627670450001</v>
      </c>
      <c r="G10" s="158">
        <f>'Fixed Asset Schedule'!$C$12*G4</f>
        <v>189.25510547351305</v>
      </c>
      <c r="H10" s="158">
        <f>'Fixed Asset Schedule'!$C$12*H4</f>
        <v>198.4737907311881</v>
      </c>
      <c r="I10" s="158">
        <f>'Fixed Asset Schedule'!$C$12*I4</f>
        <v>208.86752415178947</v>
      </c>
      <c r="J10" s="158">
        <f>'Fixed Asset Schedule'!$C$12*J4</f>
        <v>220.56958179657275</v>
      </c>
      <c r="K10" s="158">
        <f>'Fixed Asset Schedule'!$C$12*K4</f>
        <v>233.73408891592405</v>
      </c>
      <c r="L10" s="158">
        <f>'Fixed Asset Schedule'!$C$12*L4</f>
        <v>248.53929063663583</v>
      </c>
      <c r="M10" s="158">
        <f>'Fixed Asset Schedule'!$C$12*M4</f>
        <v>265.19142310929044</v>
      </c>
      <c r="N10" s="155"/>
    </row>
    <row r="11" spans="2:17" ht="14.25" customHeight="1" x14ac:dyDescent="0.3">
      <c r="B11" s="155" t="s">
        <v>317</v>
      </c>
      <c r="C11" s="165">
        <f>'Changes in WC'!G6</f>
        <v>7175</v>
      </c>
      <c r="D11" s="153">
        <f>'Changes in WC'!$C$10*D4</f>
        <v>82.910385333347662</v>
      </c>
      <c r="E11" s="153">
        <f>'Changes in WC'!$C$10*E4</f>
        <v>86.039140048307061</v>
      </c>
      <c r="F11" s="153">
        <f>'Changes in WC'!$C$10*F4</f>
        <v>89.60068817234162</v>
      </c>
      <c r="G11" s="153">
        <f>'Changes in WC'!$C$10*G4</f>
        <v>93.637417616408115</v>
      </c>
      <c r="H11" s="153">
        <f>'Changes in WC'!$C$10*H4</f>
        <v>98.198530402176274</v>
      </c>
      <c r="I11" s="153">
        <f>'Changes in WC'!$C$10*I4</f>
        <v>103.34101971290548</v>
      </c>
      <c r="J11" s="153">
        <f>'Changes in WC'!$C$10*J4</f>
        <v>109.13082631238561</v>
      </c>
      <c r="K11" s="153">
        <f>'Changes in WC'!$C$10*K4</f>
        <v>115.64420648125717</v>
      </c>
      <c r="L11" s="153">
        <f>'Changes in WC'!$C$10*L4</f>
        <v>122.96935024923586</v>
      </c>
      <c r="M11" s="153">
        <f>'Changes in WC'!$C$10*M4</f>
        <v>131.20829671593464</v>
      </c>
      <c r="N11" s="155"/>
    </row>
    <row r="12" spans="2:17" ht="14.25" customHeight="1" x14ac:dyDescent="0.3">
      <c r="B12" s="155" t="s">
        <v>215</v>
      </c>
      <c r="C12" s="155"/>
      <c r="D12" s="153">
        <f t="shared" ref="D12:M12" si="2">D11-C11</f>
        <v>-7092.0896146666528</v>
      </c>
      <c r="E12" s="153">
        <f t="shared" si="2"/>
        <v>3.1287547149593991</v>
      </c>
      <c r="F12" s="153">
        <f t="shared" si="2"/>
        <v>3.5615481240345588</v>
      </c>
      <c r="G12" s="153">
        <f t="shared" si="2"/>
        <v>4.0367294440664949</v>
      </c>
      <c r="H12" s="153">
        <f t="shared" si="2"/>
        <v>4.5611127857681595</v>
      </c>
      <c r="I12" s="153">
        <f t="shared" si="2"/>
        <v>5.1424893107292036</v>
      </c>
      <c r="J12" s="153">
        <f t="shared" si="2"/>
        <v>5.78980659948013</v>
      </c>
      <c r="K12" s="153">
        <f t="shared" si="2"/>
        <v>6.5133801688715636</v>
      </c>
      <c r="L12" s="153">
        <f t="shared" si="2"/>
        <v>7.3251437679786875</v>
      </c>
      <c r="M12" s="153">
        <f t="shared" si="2"/>
        <v>8.2389464666987777</v>
      </c>
      <c r="N12" s="155"/>
    </row>
    <row r="13" spans="2:17" ht="14.25" customHeight="1" x14ac:dyDescent="0.3">
      <c r="B13" s="155" t="s">
        <v>318</v>
      </c>
      <c r="C13" s="155"/>
      <c r="D13" s="158">
        <f t="shared" ref="D13:M13" si="3">D10+D12</f>
        <v>-6924.5154320317533</v>
      </c>
      <c r="E13" s="158">
        <f t="shared" si="3"/>
        <v>177.02661455768296</v>
      </c>
      <c r="F13" s="158">
        <f t="shared" si="3"/>
        <v>184.65782482853456</v>
      </c>
      <c r="G13" s="158">
        <f t="shared" si="3"/>
        <v>193.29183491757954</v>
      </c>
      <c r="H13" s="158">
        <f t="shared" si="3"/>
        <v>203.03490351695626</v>
      </c>
      <c r="I13" s="158">
        <f t="shared" si="3"/>
        <v>214.01001346251866</v>
      </c>
      <c r="J13" s="158">
        <f t="shared" si="3"/>
        <v>226.35938839605288</v>
      </c>
      <c r="K13" s="158">
        <f t="shared" si="3"/>
        <v>240.24746908479563</v>
      </c>
      <c r="L13" s="158">
        <f t="shared" si="3"/>
        <v>255.86443440461451</v>
      </c>
      <c r="M13" s="158">
        <f t="shared" si="3"/>
        <v>273.43036957598923</v>
      </c>
      <c r="N13" s="158">
        <f>N9*N15</f>
        <v>48.258753746007258</v>
      </c>
      <c r="O13" s="159"/>
    </row>
    <row r="14" spans="2:17" ht="14.25" customHeight="1" x14ac:dyDescent="0.3">
      <c r="B14" s="161" t="s">
        <v>319</v>
      </c>
      <c r="C14" s="155"/>
      <c r="D14" s="162">
        <f t="shared" ref="D14:M14" si="4">D9-D13</f>
        <v>11287.196594753856</v>
      </c>
      <c r="E14" s="162">
        <f t="shared" si="4"/>
        <v>4350.287232029671</v>
      </c>
      <c r="F14" s="162">
        <f t="shared" si="4"/>
        <v>4530.0619643121263</v>
      </c>
      <c r="G14" s="162">
        <f t="shared" si="4"/>
        <v>4733.8375749699671</v>
      </c>
      <c r="H14" s="162">
        <f t="shared" si="4"/>
        <v>4964.0967781187865</v>
      </c>
      <c r="I14" s="162">
        <f t="shared" si="4"/>
        <v>5223.7155287036776</v>
      </c>
      <c r="J14" s="162">
        <f t="shared" si="4"/>
        <v>5516.0213557186089</v>
      </c>
      <c r="K14" s="162">
        <f t="shared" si="4"/>
        <v>5844.8623656514528</v>
      </c>
      <c r="L14" s="162">
        <f t="shared" si="4"/>
        <v>6214.6888716447293</v>
      </c>
      <c r="M14" s="162">
        <f t="shared" si="4"/>
        <v>6630.6500079786592</v>
      </c>
      <c r="N14" s="158">
        <f>N9-N13</f>
        <v>7201.0256426863752</v>
      </c>
      <c r="O14" s="159"/>
    </row>
    <row r="15" spans="2:17" ht="14.25" customHeight="1" x14ac:dyDescent="0.3">
      <c r="B15" s="155" t="s">
        <v>320</v>
      </c>
      <c r="C15" s="155"/>
      <c r="D15" s="166">
        <f t="shared" ref="D15:M15" si="5">D13/D9</f>
        <v>-1.587215561659608</v>
      </c>
      <c r="E15" s="166">
        <f t="shared" si="5"/>
        <v>3.9101909113529627E-2</v>
      </c>
      <c r="F15" s="166">
        <f t="shared" si="5"/>
        <v>3.9166235341038504E-2</v>
      </c>
      <c r="G15" s="166">
        <f t="shared" si="5"/>
        <v>3.9230111254981444E-2</v>
      </c>
      <c r="H15" s="166">
        <f t="shared" si="5"/>
        <v>3.9293541567472133E-2</v>
      </c>
      <c r="I15" s="166">
        <f t="shared" si="5"/>
        <v>3.9356530925108935E-2</v>
      </c>
      <c r="J15" s="166">
        <f t="shared" si="5"/>
        <v>3.9419083910109502E-2</v>
      </c>
      <c r="K15" s="166">
        <f t="shared" si="5"/>
        <v>3.9481205041422045E-2</v>
      </c>
      <c r="L15" s="166">
        <f t="shared" si="5"/>
        <v>3.954289877581349E-2</v>
      </c>
      <c r="M15" s="166">
        <f t="shared" si="5"/>
        <v>3.960416950893543E-2</v>
      </c>
      <c r="N15" s="156">
        <f>Q5</f>
        <v>6.6570369028089195E-3</v>
      </c>
      <c r="O15" s="152"/>
    </row>
    <row r="16" spans="2:17" ht="14.25" customHeight="1" x14ac:dyDescent="0.3"/>
    <row r="17" spans="2:13" ht="14.25" customHeight="1" x14ac:dyDescent="0.3">
      <c r="B17" s="249" t="s">
        <v>321</v>
      </c>
      <c r="C17" s="249"/>
      <c r="D17" s="153">
        <f>M14/(Q4-Q3)</f>
        <v>79752.118672537108</v>
      </c>
    </row>
    <row r="18" spans="2:13" ht="14.25" customHeight="1" x14ac:dyDescent="0.3"/>
    <row r="19" spans="2:13" ht="14.25" customHeight="1" x14ac:dyDescent="0.3">
      <c r="B19" s="245" t="s">
        <v>322</v>
      </c>
      <c r="C19" s="246"/>
      <c r="D19" s="158">
        <f t="shared" ref="D19:M19" si="6">1/(1+$Q$4)^D2</f>
        <v>0.88250291108183809</v>
      </c>
      <c r="E19" s="158">
        <f t="shared" si="6"/>
        <v>0.7788113880679185</v>
      </c>
      <c r="F19" s="158">
        <f t="shared" si="6"/>
        <v>0.68730331715362514</v>
      </c>
      <c r="G19" s="158">
        <f t="shared" si="6"/>
        <v>0.60654717818427806</v>
      </c>
      <c r="H19" s="158">
        <f t="shared" si="6"/>
        <v>0.53527965045609971</v>
      </c>
      <c r="I19" s="158">
        <f t="shared" si="6"/>
        <v>0.47238584977037662</v>
      </c>
      <c r="J19" s="158">
        <f t="shared" si="6"/>
        <v>0.41688188757622524</v>
      </c>
      <c r="K19" s="158">
        <f t="shared" si="6"/>
        <v>0.3678994793633103</v>
      </c>
      <c r="L19" s="158">
        <f t="shared" si="6"/>
        <v>0.32467236152361395</v>
      </c>
      <c r="M19" s="158">
        <f t="shared" si="6"/>
        <v>0.28652430419240421</v>
      </c>
    </row>
    <row r="20" spans="2:13" ht="14.25" customHeight="1" x14ac:dyDescent="0.3"/>
    <row r="21" spans="2:13" ht="14.25" customHeight="1" x14ac:dyDescent="0.3">
      <c r="B21" s="247" t="s">
        <v>323</v>
      </c>
      <c r="C21" s="248"/>
      <c r="D21" s="155">
        <f>SUMPRODUCT(D14:M14,D19:M19)</f>
        <v>32826.080123692445</v>
      </c>
    </row>
    <row r="22" spans="2:13" ht="14.25" customHeight="1" x14ac:dyDescent="0.3">
      <c r="B22" s="245" t="s">
        <v>324</v>
      </c>
      <c r="C22" s="246"/>
      <c r="D22" s="153">
        <f>D17*M19</f>
        <v>22850.920310518741</v>
      </c>
    </row>
    <row r="23" spans="2:13" ht="14.25" customHeight="1" x14ac:dyDescent="0.3">
      <c r="D23" s="154"/>
    </row>
    <row r="24" spans="2:13" ht="14.25" customHeight="1" x14ac:dyDescent="0.3">
      <c r="B24" s="252" t="s">
        <v>325</v>
      </c>
      <c r="C24" s="253"/>
      <c r="D24" s="162">
        <f>D21+D22</f>
        <v>55677.000434211186</v>
      </c>
    </row>
    <row r="25" spans="2:13" ht="14.25" customHeight="1" x14ac:dyDescent="0.3">
      <c r="B25" s="245" t="s">
        <v>326</v>
      </c>
      <c r="C25" s="246"/>
      <c r="D25" s="168">
        <f>'Consolidated FS'!V38</f>
        <v>4542</v>
      </c>
    </row>
    <row r="26" spans="2:13" ht="14.25" customHeight="1" x14ac:dyDescent="0.3">
      <c r="B26" s="245" t="s">
        <v>327</v>
      </c>
      <c r="C26" s="246"/>
      <c r="D26" s="165">
        <f>'Consolidated FS'!V7</f>
        <v>2025</v>
      </c>
    </row>
    <row r="27" spans="2:13" ht="14.25" customHeight="1" x14ac:dyDescent="0.3">
      <c r="B27" s="245" t="s">
        <v>328</v>
      </c>
      <c r="C27" s="246"/>
      <c r="D27" s="155">
        <f>'Consolidated FS'!V13</f>
        <v>430</v>
      </c>
    </row>
    <row r="28" spans="2:13" ht="15" customHeight="1" x14ac:dyDescent="0.3">
      <c r="B28" s="252" t="s">
        <v>329</v>
      </c>
      <c r="C28" s="253"/>
      <c r="D28" s="162">
        <f>D24+D25-D26-D27</f>
        <v>57764.000434211186</v>
      </c>
    </row>
    <row r="29" spans="2:13" ht="15" customHeight="1" x14ac:dyDescent="0.3">
      <c r="E29" s="154"/>
    </row>
    <row r="30" spans="2:13" ht="14.25" customHeight="1" x14ac:dyDescent="0.3">
      <c r="B30" s="245" t="s">
        <v>330</v>
      </c>
      <c r="C30" s="246"/>
      <c r="D30" s="155">
        <f>'Raw FSValuation'!M7</f>
        <v>98.01</v>
      </c>
      <c r="E30" s="154"/>
    </row>
    <row r="31" spans="2:13" ht="15" customHeight="1" thickBot="1" x14ac:dyDescent="0.35">
      <c r="B31" s="250" t="s">
        <v>331</v>
      </c>
      <c r="C31" s="251"/>
      <c r="D31" s="171">
        <f>D28/D30</f>
        <v>589.3684362229485</v>
      </c>
      <c r="F31" s="169" t="s">
        <v>332</v>
      </c>
    </row>
    <row r="32" spans="2:13" ht="15" customHeight="1" thickTop="1" x14ac:dyDescent="0.3"/>
  </sheetData>
  <mergeCells count="13">
    <mergeCell ref="B30:C30"/>
    <mergeCell ref="B31:C31"/>
    <mergeCell ref="B24:C24"/>
    <mergeCell ref="B25:C25"/>
    <mergeCell ref="B26:C26"/>
    <mergeCell ref="B27:C27"/>
    <mergeCell ref="B28:C28"/>
    <mergeCell ref="P7:Q7"/>
    <mergeCell ref="B1:N1"/>
    <mergeCell ref="B22:C22"/>
    <mergeCell ref="B21:C21"/>
    <mergeCell ref="B19:C19"/>
    <mergeCell ref="B17:C17"/>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About</vt:lpstr>
      <vt:lpstr>Promoters</vt:lpstr>
      <vt:lpstr>Consolidated FS</vt:lpstr>
      <vt:lpstr>Beta</vt:lpstr>
      <vt:lpstr>WACC</vt:lpstr>
      <vt:lpstr>Assumptions</vt:lpstr>
      <vt:lpstr>Ratios</vt:lpstr>
      <vt:lpstr>FCFF</vt:lpstr>
      <vt:lpstr>Fixed Asset Schedule</vt:lpstr>
      <vt:lpstr>Changes in WC</vt:lpstr>
      <vt:lpstr>Raw FSValuation</vt:lpstr>
      <vt:lpstr>Relative Valuation</vt:lpstr>
      <vt:lpstr>Growth Scenerio</vt:lpstr>
      <vt:lpstr>DCF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kiran .</dc:creator>
  <dc:description/>
  <cp:lastModifiedBy>kiran .</cp:lastModifiedBy>
  <cp:revision>0</cp:revision>
  <dcterms:created xsi:type="dcterms:W3CDTF">2026-06-14T03:53:21Z</dcterms:created>
  <dcterms:modified xsi:type="dcterms:W3CDTF">2026-06-23T09:34:09Z</dcterms:modified>
  <dc:language>en-US</dc:language>
</cp:coreProperties>
</file>